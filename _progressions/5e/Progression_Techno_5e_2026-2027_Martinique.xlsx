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Accueil" sheetId="1" state="visible" r:id="rId3"/>
    <sheet name="📅 Calendrier" sheetId="2" state="visible" r:id="rId4"/>
    <sheet name="🗓 Frise de l'année" sheetId="3" state="visible" r:id="rId5"/>
    <sheet name="📚 Référentiel Cycle 4" sheetId="4" state="visible" r:id="rId6"/>
    <sheet name="📗 Référentiel 5e" sheetId="5" state="visible" r:id="rId7"/>
    <sheet name="🧭 Progression" sheetId="6" state="visible" r:id="rId8"/>
    <sheet name="S1" sheetId="7" state="visible" r:id="rId9"/>
    <sheet name="S2" sheetId="8" state="visible" r:id="rId10"/>
    <sheet name="S3" sheetId="9" state="visible" r:id="rId11"/>
    <sheet name="S4" sheetId="10" state="visible" r:id="rId12"/>
    <sheet name="S5" sheetId="11" state="visible" r:id="rId13"/>
    <sheet name="S6" sheetId="12" state="visible" r:id="rId14"/>
    <sheet name="S7" sheetId="13" state="visible" r:id="rId15"/>
    <sheet name="⚙ Moteur" sheetId="14" state="visible" r:id="rId16"/>
  </sheets>
  <definedNames>
    <definedName function="false" hidden="false" localSheetId="1" name="_xlnm.Print_Area" vbProcedure="false">'📅 Calendrier'!$A$1:$F$52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<sst xmlns="http://schemas.openxmlformats.org/spreadsheetml/2006/main" count="2312" uniqueCount="817">
  <si>
    <t xml:space="preserve">TECHNOLOGIE 5e
Progression annuelle 2026-2027 · Académie de Martinique</t>
  </si>
  <si>
    <t xml:space="preserve">Programme 2024 (BO n°9 du 29/02/2024) · 1 h 30 / semaine · cahier Nathan 5e (éd. 2024) · ressources en ligne du dépôt « En ligne pour le cycle 4 »</t>
  </si>
  <si>
    <t xml:space="preserve">📊 L'année en un coup d'œil</t>
  </si>
  <si>
    <t xml:space="preserve">37</t>
  </si>
  <si>
    <t xml:space="preserve">8</t>
  </si>
  <si>
    <t xml:space="preserve">Semaines de cours</t>
  </si>
  <si>
    <t xml:space="preserve">Séances planifiées</t>
  </si>
  <si>
    <t xml:space="preserve">Semaines tampon (aléas)</t>
  </si>
  <si>
    <t xml:space="preserve">7</t>
  </si>
  <si>
    <t xml:space="preserve">38</t>
  </si>
  <si>
    <t xml:space="preserve">2 (+1 partielle)</t>
  </si>
  <si>
    <t xml:space="preserve">Séquences</t>
  </si>
  <si>
    <t xml:space="preserve">Codes 5e travaillés</t>
  </si>
  <si>
    <t xml:space="preserve">Séquences déjà en ligne</t>
  </si>
  <si>
    <t xml:space="preserve">🧭 Naviguer dans le classeur (cliquer)</t>
  </si>
  <si>
    <t xml:space="preserve">▸ 📅 Calendrier</t>
  </si>
  <si>
    <t xml:space="preserve">37 semaines, vacances, fériés, tampons, aléas</t>
  </si>
  <si>
    <t xml:space="preserve">▸ 🗓 Frise de l'année</t>
  </si>
  <si>
    <t xml:space="preserve">les 7 séquences posées sur l'année (vue gantt)</t>
  </si>
  <si>
    <t xml:space="preserve">▸ 📚 Référentiel Cycle 4</t>
  </si>
  <si>
    <t xml:space="preserve">C1 → C9 : les 114 sous-compétences du cycle</t>
  </si>
  <si>
    <t xml:space="preserve">▸ 📗 Référentiel 5e</t>
  </si>
  <si>
    <t xml:space="preserve">les 38 sous-compétences du niveau</t>
  </si>
  <si>
    <t xml:space="preserve">▸ 🧭 Progression</t>
  </si>
  <si>
    <t xml:space="preserve">les 7 séquences : codes, répartition 🏫🏠🔁, ressources</t>
  </si>
  <si>
    <t xml:space="preserve">▸ S1</t>
  </si>
  <si>
    <t xml:space="preserve">Environnement numérique — IA Thème 1 (canevas)</t>
  </si>
  <si>
    <t xml:space="preserve">▸ S2</t>
  </si>
  <si>
    <t xml:space="preserve">Comparer pour choisir — IA Thème 1 (canevas)</t>
  </si>
  <si>
    <t xml:space="preserve">▸ S3</t>
  </si>
  <si>
    <t xml:space="preserve">Chaîne d'énergie — IA Th.1 + Fable (canevas + lampadaire)</t>
  </si>
  <si>
    <t xml:space="preserve">▸ S4</t>
  </si>
  <si>
    <t xml:space="preserve">Lampadaire (1) : information, données, programmes — ✅ rempli</t>
  </si>
  <si>
    <t xml:space="preserve">▸ S5</t>
  </si>
  <si>
    <t xml:space="preserve">Lampadaire (2) : réseau local — ✅ rempli</t>
  </si>
  <si>
    <t xml:space="preserve">▸ S6</t>
  </si>
  <si>
    <t xml:space="preserve">SOS panne — pré-rempli (ressources 🔜)</t>
  </si>
  <si>
    <t xml:space="preserve">▸ S7</t>
  </si>
  <si>
    <t xml:space="preserve">Mini-projet — IA Thème 3 (canevas)</t>
  </si>
  <si>
    <t xml:space="preserve">📖 Mode d'emploi express</t>
  </si>
  <si>
    <t xml:space="preserve">🏫 / 🏠 / 🔁</t>
  </si>
  <si>
    <t xml:space="preserve">En classe (matériel, collectif, évaluations) · À la maison (QCM, synthèses, simulateurs — corrections intégrées, faisables sur téléphone) · Hybride/classe inversée (lancement en classe, simulateur à la maison, exploitation au retour).</t>
  </si>
  <si>
    <t xml:space="preserve">⏳ Tampons</t>
  </si>
  <si>
    <t xml:space="preserve">8 semaines NON planifiées absorbent les aléas. NOUVEAU — moteur automatique : dans 📅 Calendrier, colonne « ⚠ Imprévu ? », choisis l'imprévu dans le menu de la semaine touchée (absence, sortie, Fête de la science, ERASMUS…) : toutes les séances se décalent d'une semaine, la frise et la progression se recalculent, et la réserve de fin d'année absorbe le décalage. Au-delà de 8 imprévus, une alerte 🛑 s'affiche.</t>
  </si>
  <si>
    <t xml:space="preserve">📋 Cahier de texte</t>
  </si>
  <si>
    <t xml:space="preserve">Dans chaque générateur, les blocs jaunes sont prêts à copier-coller dans Pronote : « Contenu de la séance » + « Travail à faire » (lien direct, durée estimée, mention téléphone).</t>
  </si>
  <si>
    <t xml:space="preserve">✅ 🔜 📘</t>
  </si>
  <si>
    <t xml:space="preserve">Ressource en ligne · à produire · cahier Nathan (filet de sécurité sans connexion). Chaque IA de thème remplit les générateurs de SES séquences — canevas à entériner au Conseil du 28/07.</t>
  </si>
  <si>
    <t xml:space="preserve">📆 Calendrier</t>
  </si>
  <si>
    <t xml:space="preserve">Rectorat de Martinique 2026-2027 : rentrée mar. 1/09 · Toussaint 20/10→3/11 · Noël 19/12→4/01 · Carnaval 6→22/02 · Pâques 20/04→3/05 · fin des cours 3/07. À confirmer sur ac-martinique.fr.</t>
  </si>
  <si>
    <t xml:space="preserve">Classeur généré par Fable (IA du Thème 2) — dépôt : https://pll-process.github.io/en-ligne-pour-le-cycle-4/</t>
  </si>
  <si>
    <t xml:space="preserve">CALENDRIER 5e — année scolaire 2026-2027 (académie de Martinique) — 1 séance de 1 h 30 par semaine</t>
  </si>
  <si>
    <t xml:space="preserve">◀ Accueil</t>
  </si>
  <si>
    <t xml:space="preserve">Sem.</t>
  </si>
  <si>
    <t xml:space="preserve">Lundi de la semaine</t>
  </si>
  <si>
    <t xml:space="preserve">Période</t>
  </si>
  <si>
    <t xml:space="preserve">Affectation (séquence · séance)</t>
  </si>
  <si>
    <t xml:space="preserve">Repères / jours fériés</t>
  </si>
  <si>
    <t xml:space="preserve">Aléas / notes (à remplir)</t>
  </si>
  <si>
    <t xml:space="preserve">⚠ Imprévu ? (menu déroulant)</t>
  </si>
  <si>
    <t xml:space="preserve">n° créneau (auto)</t>
  </si>
  <si>
    <t xml:space="preserve">S01</t>
  </si>
  <si>
    <t xml:space="preserve">31/08/2026</t>
  </si>
  <si>
    <t xml:space="preserve">P1</t>
  </si>
  <si>
    <t xml:space="preserve">Rentrée des élèves mardi 1er septembre.</t>
  </si>
  <si>
    <t xml:space="preserve">S02</t>
  </si>
  <si>
    <t xml:space="preserve">07/09/2026</t>
  </si>
  <si>
    <t xml:space="preserve">S03</t>
  </si>
  <si>
    <t xml:space="preserve">14/09/2026</t>
  </si>
  <si>
    <t xml:space="preserve">S04</t>
  </si>
  <si>
    <t xml:space="preserve">21/09/2026</t>
  </si>
  <si>
    <t xml:space="preserve">S05</t>
  </si>
  <si>
    <t xml:space="preserve">28/09/2026</t>
  </si>
  <si>
    <t xml:space="preserve">S06</t>
  </si>
  <si>
    <t xml:space="preserve">05/10/2026</t>
  </si>
  <si>
    <t xml:space="preserve">S07</t>
  </si>
  <si>
    <t xml:space="preserve">12/10/2026</t>
  </si>
  <si>
    <t xml:space="preserve">S08</t>
  </si>
  <si>
    <t xml:space="preserve">19/10/2026</t>
  </si>
  <si>
    <t xml:space="preserve">🏖 Vacances de la Toussaint : 20/10 → 3/11</t>
  </si>
  <si>
    <t xml:space="preserve">S09</t>
  </si>
  <si>
    <t xml:space="preserve">02/11/2026</t>
  </si>
  <si>
    <t xml:space="preserve">P2</t>
  </si>
  <si>
    <t xml:space="preserve">S10</t>
  </si>
  <si>
    <t xml:space="preserve">09/11/2026</t>
  </si>
  <si>
    <t xml:space="preserve">Mer. 11/11 férié (Armistice)</t>
  </si>
  <si>
    <t xml:space="preserve">S11</t>
  </si>
  <si>
    <t xml:space="preserve">16/11/2026</t>
  </si>
  <si>
    <t xml:space="preserve">S12</t>
  </si>
  <si>
    <t xml:space="preserve">23/11/2026</t>
  </si>
  <si>
    <t xml:space="preserve">S13</t>
  </si>
  <si>
    <t xml:space="preserve">30/11/2026</t>
  </si>
  <si>
    <t xml:space="preserve">S14</t>
  </si>
  <si>
    <t xml:space="preserve">07/12/2026</t>
  </si>
  <si>
    <t xml:space="preserve">S15</t>
  </si>
  <si>
    <t xml:space="preserve">14/12/2026</t>
  </si>
  <si>
    <t xml:space="preserve">🏖 Vacances de Noël : 19/12 → 4/01</t>
  </si>
  <si>
    <t xml:space="preserve">S16</t>
  </si>
  <si>
    <t xml:space="preserve">04/01/2027</t>
  </si>
  <si>
    <t xml:space="preserve">P3</t>
  </si>
  <si>
    <t xml:space="preserve">S17</t>
  </si>
  <si>
    <t xml:space="preserve">11/01/2027</t>
  </si>
  <si>
    <t xml:space="preserve">S18</t>
  </si>
  <si>
    <t xml:space="preserve">18/01/2027</t>
  </si>
  <si>
    <t xml:space="preserve">S19</t>
  </si>
  <si>
    <t xml:space="preserve">25/01/2027</t>
  </si>
  <si>
    <t xml:space="preserve">S20</t>
  </si>
  <si>
    <t xml:space="preserve">01/02/2027</t>
  </si>
  <si>
    <t xml:space="preserve">🏖 Vacances de Carnaval : 6/02 → 22/02</t>
  </si>
  <si>
    <t xml:space="preserve">S21</t>
  </si>
  <si>
    <t xml:space="preserve">22/02/2027</t>
  </si>
  <si>
    <t xml:space="preserve">P4</t>
  </si>
  <si>
    <t xml:space="preserve">S22</t>
  </si>
  <si>
    <t xml:space="preserve">01/03/2027</t>
  </si>
  <si>
    <t xml:space="preserve">S23</t>
  </si>
  <si>
    <t xml:space="preserve">08/03/2027</t>
  </si>
  <si>
    <t xml:space="preserve">S24</t>
  </si>
  <si>
    <t xml:space="preserve">15/03/2027</t>
  </si>
  <si>
    <t xml:space="preserve">S25</t>
  </si>
  <si>
    <t xml:space="preserve">22/03/2027</t>
  </si>
  <si>
    <t xml:space="preserve">Ven. 26/03 férié (Vendredi saint, Martinique)</t>
  </si>
  <si>
    <t xml:space="preserve">S26</t>
  </si>
  <si>
    <t xml:space="preserve">29/03/2027</t>
  </si>
  <si>
    <t xml:space="preserve">Lun. 29/03 férié (lundi de Pâques)</t>
  </si>
  <si>
    <t xml:space="preserve">S27</t>
  </si>
  <si>
    <t xml:space="preserve">05/04/2027</t>
  </si>
  <si>
    <t xml:space="preserve">S28</t>
  </si>
  <si>
    <t xml:space="preserve">12/04/2027</t>
  </si>
  <si>
    <t xml:space="preserve">🏖 Vacances de Pâques : 20/04 → 3/05</t>
  </si>
  <si>
    <t xml:space="preserve">S29</t>
  </si>
  <si>
    <t xml:space="preserve">03/05/2027</t>
  </si>
  <si>
    <t xml:space="preserve">P5</t>
  </si>
  <si>
    <t xml:space="preserve">Jeu. 6/05 férié (Ascension) — pont probable ven. 7/05</t>
  </si>
  <si>
    <t xml:space="preserve">S30</t>
  </si>
  <si>
    <t xml:space="preserve">10/05/2027</t>
  </si>
  <si>
    <t xml:space="preserve">S31</t>
  </si>
  <si>
    <t xml:space="preserve">17/05/2027</t>
  </si>
  <si>
    <t xml:space="preserve">Lun. 17/05 férié (Pentecôte); Ven. 21/05 : veille du 22 mai (abolition, samedi) — commémorations</t>
  </si>
  <si>
    <t xml:space="preserve">S32</t>
  </si>
  <si>
    <t xml:space="preserve">24/05/2027</t>
  </si>
  <si>
    <t xml:space="preserve">S33</t>
  </si>
  <si>
    <t xml:space="preserve">31/05/2027</t>
  </si>
  <si>
    <t xml:space="preserve">S34</t>
  </si>
  <si>
    <t xml:space="preserve">07/06/2027</t>
  </si>
  <si>
    <t xml:space="preserve">S35</t>
  </si>
  <si>
    <t xml:space="preserve">14/06/2027</t>
  </si>
  <si>
    <t xml:space="preserve">S36</t>
  </si>
  <si>
    <t xml:space="preserve">21/06/2027</t>
  </si>
  <si>
    <t xml:space="preserve">S37</t>
  </si>
  <si>
    <t xml:space="preserve">28/06/2027</t>
  </si>
  <si>
    <t xml:space="preserve">🏖 Fin des cours : 3 juillet 2027</t>
  </si>
  <si>
    <t xml:space="preserve">Synthèse</t>
  </si>
  <si>
    <t xml:space="preserve">Semaines de cours au total</t>
  </si>
  <si>
    <t xml:space="preserve">… dont semaines tampon</t>
  </si>
  <si>
    <t xml:space="preserve">… dont semaines avec séance planifiée</t>
  </si>
  <si>
    <t xml:space="preserve">Moteur automatique : marquer un ⚠ imprévu en colonne G décale toutes les séances suivantes (calendrier, frise et progression se recalculent). Un jour férié sur ton créneau = un imprévu à marquer aussi.</t>
  </si>
  <si>
    <t xml:space="preserve">FRISE DE L'ANNÉE 5e — se recalcule automatiquement selon les imprévus du Calendrier</t>
  </si>
  <si>
    <t xml:space="preserve">P1 (8 sem.)</t>
  </si>
  <si>
    <t xml:space="preserve">P2 (7 sem.)</t>
  </si>
  <si>
    <t xml:space="preserve">P3 (5 sem.)</t>
  </si>
  <si>
    <t xml:space="preserve">P4 (8 sem.)</t>
  </si>
  <si>
    <t xml:space="preserve">P5 (9 sem.)</t>
  </si>
  <si>
    <t xml:space="preserve">31/08</t>
  </si>
  <si>
    <t xml:space="preserve">07/09</t>
  </si>
  <si>
    <t xml:space="preserve">14/09</t>
  </si>
  <si>
    <t xml:space="preserve">21/09</t>
  </si>
  <si>
    <t xml:space="preserve">28/09</t>
  </si>
  <si>
    <t xml:space="preserve">05/10</t>
  </si>
  <si>
    <t xml:space="preserve">12/10</t>
  </si>
  <si>
    <t xml:space="preserve">19/10</t>
  </si>
  <si>
    <t xml:space="preserve">02/11</t>
  </si>
  <si>
    <t xml:space="preserve">09/11</t>
  </si>
  <si>
    <t xml:space="preserve">16/11</t>
  </si>
  <si>
    <t xml:space="preserve">23/11</t>
  </si>
  <si>
    <t xml:space="preserve">30/11</t>
  </si>
  <si>
    <t xml:space="preserve">07/12</t>
  </si>
  <si>
    <t xml:space="preserve">14/12</t>
  </si>
  <si>
    <t xml:space="preserve">04/01</t>
  </si>
  <si>
    <t xml:space="preserve">11/01</t>
  </si>
  <si>
    <t xml:space="preserve">18/01</t>
  </si>
  <si>
    <t xml:space="preserve">25/01</t>
  </si>
  <si>
    <t xml:space="preserve">01/02</t>
  </si>
  <si>
    <t xml:space="preserve">22/02</t>
  </si>
  <si>
    <t xml:space="preserve">01/03</t>
  </si>
  <si>
    <t xml:space="preserve">08/03</t>
  </si>
  <si>
    <t xml:space="preserve">15/03</t>
  </si>
  <si>
    <t xml:space="preserve">22/03</t>
  </si>
  <si>
    <t xml:space="preserve">29/03</t>
  </si>
  <si>
    <t xml:space="preserve">05/04</t>
  </si>
  <si>
    <t xml:space="preserve">12/04</t>
  </si>
  <si>
    <t xml:space="preserve">03/05</t>
  </si>
  <si>
    <t xml:space="preserve">10/05</t>
  </si>
  <si>
    <t xml:space="preserve">17/05</t>
  </si>
  <si>
    <t xml:space="preserve">24/05</t>
  </si>
  <si>
    <t xml:space="preserve">31/05</t>
  </si>
  <si>
    <t xml:space="preserve">07/06</t>
  </si>
  <si>
    <t xml:space="preserve">14/06</t>
  </si>
  <si>
    <t xml:space="preserve">21/06</t>
  </si>
  <si>
    <t xml:space="preserve">28/06</t>
  </si>
  <si>
    <t xml:space="preserve">S1 · Environnement numérique</t>
  </si>
  <si>
    <t xml:space="preserve">S2 · Comparer pour choisir</t>
  </si>
  <si>
    <t xml:space="preserve">S3 · Chaîne d'énergie</t>
  </si>
  <si>
    <t xml:space="preserve">S4 · Lampadaire (1) : information &amp; programmes</t>
  </si>
  <si>
    <t xml:space="preserve">S5 · Lampadaire (2) : réseau local</t>
  </si>
  <si>
    <t xml:space="preserve">S6 · SOS panne</t>
  </si>
  <si>
    <t xml:space="preserve">S7 · Mini-projet</t>
  </si>
  <si>
    <t xml:space="preserve">⏳ Tampons (rattrapage)</t>
  </si>
  <si>
    <t xml:space="preserve">⚠ Imprévus (saisis au Calendrier)</t>
  </si>
  <si>
    <t xml:space="preserve">Une case = 1 semaine (1 séance de 1 h 30) ; le numéro = n° de séance dans la séquence. Pour insérer un imprévu : onglet 📅 Calendrier, colonne « ⚠ Imprévu ? », choisir dans le menu de la semaine concernée — la frise et la progression se recalculent immédiatement. Cliquer sur un titre de séquence ouvre son générateur.</t>
  </si>
  <si>
    <t xml:space="preserve">RÉFÉRENTIEL DE COMPÉTENCES — TECHNOLOGIE CYCLE 4</t>
  </si>
  <si>
    <t xml:space="preserve">9 compétences × 3 niveaux (5e / 4e / 3e) — programme 2024 · vision complète du cycle pour situer la 5e</t>
  </si>
  <si>
    <t xml:space="preserve">Code</t>
  </si>
  <si>
    <t xml:space="preserve">Niveau</t>
  </si>
  <si>
    <t xml:space="preserve">Compétence / sous-compétence (intitulé officiel 2024)</t>
  </si>
  <si>
    <t xml:space="preserve">Thème</t>
  </si>
  <si>
    <t xml:space="preserve">Domaine(s) socle</t>
  </si>
  <si>
    <t xml:space="preserve">Évaluable</t>
  </si>
  <si>
    <t xml:space="preserve">C1</t>
  </si>
  <si>
    <t xml:space="preserve">—</t>
  </si>
  <si>
    <t xml:space="preserve">Décrire les liens entre usages et évolutions technologiques des objets et des systèmes techniques</t>
  </si>
  <si>
    <t xml:space="preserve">Thème 1 : Les objets et les systèmes techniques : leurs usages et leurs interactions à découvrir et à analyser</t>
  </si>
  <si>
    <t xml:space="preserve">D2, D3, D4, D5</t>
  </si>
  <si>
    <t xml:space="preserve">Oui</t>
  </si>
  <si>
    <t xml:space="preserve">5e_C1.1</t>
  </si>
  <si>
    <t xml:space="preserve">5e</t>
  </si>
  <si>
    <t xml:space="preserve">Collecter, trier et analyser des données.</t>
  </si>
  <si>
    <t xml:space="preserve">Thème 1</t>
  </si>
  <si>
    <t xml:space="preserve">D2, D4</t>
  </si>
  <si>
    <t xml:space="preserve">5e_C1.2</t>
  </si>
  <si>
    <t xml:space="preserve">Comparer des principes techniques pour une même fonction technique.</t>
  </si>
  <si>
    <t xml:space="preserve">5e_C1.3</t>
  </si>
  <si>
    <t xml:space="preserve">Décrire le rôle des systèmes d’information dans le partage d’information.</t>
  </si>
  <si>
    <t xml:space="preserve">D2, D5</t>
  </si>
  <si>
    <t xml:space="preserve">5e_C1.4</t>
  </si>
  <si>
    <t xml:space="preserve">Recenser des données, les identifier, les classer, les représenter, les stocker, les retrouver dans une arborescence.</t>
  </si>
  <si>
    <t xml:space="preserve">D2</t>
  </si>
  <si>
    <t xml:space="preserve">5e_C1.5</t>
  </si>
  <si>
    <t xml:space="preserve">Identifier des règles permettant de sécuriser un environnement numérique (bases de la cybersécurité) et des règles de respect de la propriété intellectuelle.</t>
  </si>
  <si>
    <t xml:space="preserve">D3</t>
  </si>
  <si>
    <t xml:space="preserve">5e_C1.6</t>
  </si>
  <si>
    <t xml:space="preserve">Appréhender la responsabilité de chacun dans les dérives (cyberviolence, atteinte à la vie privée, aux données personnelles, usurpation d’identité).</t>
  </si>
  <si>
    <t xml:space="preserve">4e_C1.1</t>
  </si>
  <si>
    <t xml:space="preserve">4e</t>
  </si>
  <si>
    <t xml:space="preserve">Mettre en relation les OST avec leurs usages.</t>
  </si>
  <si>
    <t xml:space="preserve">D4, D5</t>
  </si>
  <si>
    <t xml:space="preserve">4e_C1.2</t>
  </si>
  <si>
    <t xml:space="preserve">Identifier les avantages et les inconvénients associés aux évolutions technologiques et informatiques.</t>
  </si>
  <si>
    <t xml:space="preserve">D3, D4, D5</t>
  </si>
  <si>
    <t xml:space="preserve">4e_C1.3</t>
  </si>
  <si>
    <t xml:space="preserve">Justifier l’évolution d’un OST pour répondre à l’évolution des besoins.</t>
  </si>
  <si>
    <t xml:space="preserve">4e_C1.4</t>
  </si>
  <si>
    <t xml:space="preserve">Identifier et appliquer les règles pour un usage raisonné des objets communicants et des environnements numériques (propriété intellectuelle, identité numérique, témoins de connexion, géolocalisation).</t>
  </si>
  <si>
    <t xml:space="preserve">D1.3, D2, D3, D4</t>
  </si>
  <si>
    <t xml:space="preserve">3e_C1.1</t>
  </si>
  <si>
    <t xml:space="preserve">3e</t>
  </si>
  <si>
    <t xml:space="preserve">Identifier les innovations de rupture qui sont attachées à l’évolution d’un OST.</t>
  </si>
  <si>
    <t xml:space="preserve">3e_C1.2</t>
  </si>
  <si>
    <t xml:space="preserve">Mettre en relation une découverte scientifique avec ses développements technologiques et leurs effets sur la société.</t>
  </si>
  <si>
    <t xml:space="preserve">3e_C1.3</t>
  </si>
  <si>
    <t xml:space="preserve">Exprimer dans un argumentaire court l’incidence d’un OST sur la société.</t>
  </si>
  <si>
    <t xml:space="preserve">3e_C1.4</t>
  </si>
  <si>
    <t xml:space="preserve">Exprimer dans un argumentaire court l’incidence des contraintes sociétales sur les OST.</t>
  </si>
  <si>
    <t xml:space="preserve">3e_C1.5</t>
  </si>
  <si>
    <t xml:space="preserve">Exprimer dans un argumentaire court le rôle du développement stratégique du numérique au sein de la société et des environnements professionnels (ou des métiers).</t>
  </si>
  <si>
    <t xml:space="preserve">D1.3, D2, D3</t>
  </si>
  <si>
    <t xml:space="preserve">C2</t>
  </si>
  <si>
    <t xml:space="preserve">Décrire les interactions entre un objet ou un système technique, son environnement et les utilisateurs</t>
  </si>
  <si>
    <t xml:space="preserve">5e_C2.1</t>
  </si>
  <si>
    <t xml:space="preserve">Faire la liste des interacteurs extérieurs d’un OST.</t>
  </si>
  <si>
    <t xml:space="preserve">D4</t>
  </si>
  <si>
    <t xml:space="preserve">5e_C2.2</t>
  </si>
  <si>
    <t xml:space="preserve">Repérer et expliquer les choix de conception dans les domaines de l’ergonomie et de la sécurité ou en lien avec des objectifs de développement durable.</t>
  </si>
  <si>
    <t xml:space="preserve">4e_C2.1</t>
  </si>
  <si>
    <t xml:space="preserve">Décrire l’expérience de l’utilisateur (ressenti et facilité d’usage) d’un OST en partant du langage naturel (texte, croquis) pour aboutir aux schémas, graphiques, algorithmes.</t>
  </si>
  <si>
    <t xml:space="preserve">D1.3, D4, D5</t>
  </si>
  <si>
    <t xml:space="preserve">4e_C2.2</t>
  </si>
  <si>
    <t xml:space="preserve">Repérer et expliquer les contraintes, exigences prises en compte (sécurité, incidences environnementales, formes et fonctions, ergonomie, qualité, fiabilité) pour répondre aux attentes des utilisateurs.</t>
  </si>
  <si>
    <t xml:space="preserve">3e_C2.1</t>
  </si>
  <si>
    <t xml:space="preserve">Décrire l’expérience de l’utilisateur d’un OST à l’aide de modes de représentation choisis.</t>
  </si>
  <si>
    <t xml:space="preserve">C3</t>
  </si>
  <si>
    <t xml:space="preserve">Caractériser et choisir un objet ou un système technique selon différents critères</t>
  </si>
  <si>
    <t xml:space="preserve">D1.3, D2, D3, D4, D5</t>
  </si>
  <si>
    <t xml:space="preserve">5e_C3.1</t>
  </si>
  <si>
    <t xml:space="preserve">Repérer pour un OST les matériaux, les sources et les formes d’énergies, le traitement de l’information.</t>
  </si>
  <si>
    <t xml:space="preserve">5e_C3.2</t>
  </si>
  <si>
    <t xml:space="preserve">Identifier les étapes du cycle de vie d’un OST influencées par les choix de matériaux et d’énergie.</t>
  </si>
  <si>
    <t xml:space="preserve">5e_C3.3</t>
  </si>
  <si>
    <t xml:space="preserve">Choisir un OST parmi plusieurs propositions en vue de répondre à un besoin.</t>
  </si>
  <si>
    <t xml:space="preserve">5e_C3.4</t>
  </si>
  <si>
    <t xml:space="preserve">Mesurer et comparer une performance d’un OST à partir d’un protocole fourni.</t>
  </si>
  <si>
    <t xml:space="preserve">D1.3, D2, D4</t>
  </si>
  <si>
    <t xml:space="preserve">4e_C3.1</t>
  </si>
  <si>
    <t xml:space="preserve">Identifier les caractéristiques à prendre en compte dans le choix d’un OST en vue de répondre à un besoin.</t>
  </si>
  <si>
    <t xml:space="preserve">4e_C3.2</t>
  </si>
  <si>
    <t xml:space="preserve">Comparer qualitativement et/ou quantitativement (incidences environnementales, bilan carbone, efficacité énergétique) plusieurs OST répondant au même besoin et arrêter un choix.</t>
  </si>
  <si>
    <t xml:space="preserve">4e_C3.3</t>
  </si>
  <si>
    <t xml:space="preserve">Choisir les appareils de mesure à utiliser pour mesurer une performance d’un OST à partir d’un protocole donné.</t>
  </si>
  <si>
    <t xml:space="preserve">3e_C3.1</t>
  </si>
  <si>
    <t xml:space="preserve">Établir une liste d’OST possibles en vue de répondre à un besoin.</t>
  </si>
  <si>
    <t xml:space="preserve">3e_C3.2</t>
  </si>
  <si>
    <t xml:space="preserve">Choisir un OST et argumenter ce choix en prenant en compte son cycle de vie et les trois piliers du développement durable.</t>
  </si>
  <si>
    <t xml:space="preserve">3e_C3.3</t>
  </si>
  <si>
    <t xml:space="preserve">Évaluer les OST selon des exigences ou des critères identifiés (caractéristiques, performances, coût, indice de réparabilité).</t>
  </si>
  <si>
    <t xml:space="preserve">3e_C3.4</t>
  </si>
  <si>
    <t xml:space="preserve">Définir et mettre en œuvre un protocole pour mesurer une caractéristique, une performance d’un OST.</t>
  </si>
  <si>
    <t xml:space="preserve">C4</t>
  </si>
  <si>
    <t xml:space="preserve">Décrire et caractériser l’organisation interne d’un objet ou d’un système technique et ses échanges avec son environnement (énergies, données)</t>
  </si>
  <si>
    <t xml:space="preserve">Thème 2 : Structure, fonctionnement, comportement : des objets et des systèmes techniques à comprendre</t>
  </si>
  <si>
    <t xml:space="preserve">D1.3, D1.4, D2, D4, D5</t>
  </si>
  <si>
    <t xml:space="preserve">5e_C4.1</t>
  </si>
  <si>
    <t xml:space="preserve">Associer des solutions techniques à une ou des fonctions techniques.</t>
  </si>
  <si>
    <t xml:space="preserve">Thème 2</t>
  </si>
  <si>
    <t xml:space="preserve">D2, D4, D5</t>
  </si>
  <si>
    <t xml:space="preserve">5e_C4.2</t>
  </si>
  <si>
    <t xml:space="preserve">Identifier des constituants de la chaîne d’énergie d’un objet technique (l’organisation de la chaîne d’énergie étant fournie).</t>
  </si>
  <si>
    <t xml:space="preserve">5e_C4.3</t>
  </si>
  <si>
    <t xml:space="preserve">Indiquer la nature des énergies en entrée et en sortie des constituants de la chaîne d’énergie.</t>
  </si>
  <si>
    <t xml:space="preserve">D1.3, D4</t>
  </si>
  <si>
    <t xml:space="preserve">5e_C4.4</t>
  </si>
  <si>
    <t xml:space="preserve">Identifier les principaux matériaux constitutifs d’un OST.</t>
  </si>
  <si>
    <t xml:space="preserve">5e_C4.5</t>
  </si>
  <si>
    <t xml:space="preserve">Identifier des constituants de la chaîne d’information d’un OST (l’organisation de la chaîne d’information étant fournie).</t>
  </si>
  <si>
    <t xml:space="preserve">5e_C4.6</t>
  </si>
  <si>
    <t xml:space="preserve">Déterminer des descripteurs permettant de décrire des objets sous forme de données en précisant leurs types et leurs formats.</t>
  </si>
  <si>
    <t xml:space="preserve">5e_C4.7</t>
  </si>
  <si>
    <t xml:space="preserve">Identifier les composants qui constituent un réseau local (terminaux, commutateurs, liaisons filaires et sans fil (WiFi)) et sa topologie.</t>
  </si>
  <si>
    <t xml:space="preserve">5e_C4.8</t>
  </si>
  <si>
    <t xml:space="preserve">Justifier la nécessité d’identifier les terminaux pour communiquer sur un réseau local (activité débranchée et vérification par un outil de simulation).</t>
  </si>
  <si>
    <t xml:space="preserve">4e_C4.1</t>
  </si>
  <si>
    <t xml:space="preserve">Identifier les constituants d’une chaîne d’énergie et les associer à leurs fonctions.</t>
  </si>
  <si>
    <t xml:space="preserve">4e_C4.2</t>
  </si>
  <si>
    <t xml:space="preserve">Repérer les transformations d’énergie et les flux d’énergie au sein de l’OST.</t>
  </si>
  <si>
    <t xml:space="preserve">4e_C4.3</t>
  </si>
  <si>
    <t xml:space="preserve">Mettre en relation la forme d’une pièce avec le procédé de réalisation.</t>
  </si>
  <si>
    <t xml:space="preserve">4e_C4.4</t>
  </si>
  <si>
    <t xml:space="preserve">Identifier les constituants de la chaîne d’information d’un objet réel et les associer à leur fonction.</t>
  </si>
  <si>
    <t xml:space="preserve">4e_C4.5</t>
  </si>
  <si>
    <t xml:space="preserve">Décrire et analyser la transformation des données téléversées ou issues d’un OST.</t>
  </si>
  <si>
    <t xml:space="preserve">4e_C4.6</t>
  </si>
  <si>
    <t xml:space="preserve">Décrire et analyser la structuration d’une table de données qui permet une exploitation et une interprétation du comportement d’un OST.</t>
  </si>
  <si>
    <t xml:space="preserve">4e_C4.7</t>
  </si>
  <si>
    <t xml:space="preserve">Paramétrer une adresse IP fixe pour ajouter un objet connecté à un réseau local.</t>
  </si>
  <si>
    <t xml:space="preserve">4e_C4.8</t>
  </si>
  <si>
    <t xml:space="preserve">Résoudre des problèmes pour assurer la communication entre les différents terminaux dans un réseau informatique (simulation ou réseau local déconnecté du réseau pédagogique).</t>
  </si>
  <si>
    <t xml:space="preserve">4e_C4.9</t>
  </si>
  <si>
    <t xml:space="preserve">Compléter une simulation fournie pour valider le comportement d’un réseau informatique.</t>
  </si>
  <si>
    <t xml:space="preserve">3e_C4.1</t>
  </si>
  <si>
    <t xml:space="preserve">Élaborer, à l’aide d’un schéma bloc, la chaîne d’énergie d’un OST.</t>
  </si>
  <si>
    <t xml:space="preserve">3e_C4.2</t>
  </si>
  <si>
    <t xml:space="preserve">Justifier le choix d’un matériau et de son procédé de mise en forme au regard des contraintes techniques et environnementales.</t>
  </si>
  <si>
    <t xml:space="preserve">3e_C4.3</t>
  </si>
  <si>
    <t xml:space="preserve">Décrire un OST en caractérisant sa chaîne d’information.</t>
  </si>
  <si>
    <t xml:space="preserve">3e_C4.4</t>
  </si>
  <si>
    <t xml:space="preserve">Associer des grandeurs analogiques issues d’un OST à des données exploitables.</t>
  </si>
  <si>
    <t xml:space="preserve">3e_C4.5</t>
  </si>
  <si>
    <t xml:space="preserve">Représenter sous forme de données les informations de diverses natures utilisées par un OST.</t>
  </si>
  <si>
    <t xml:space="preserve">3e_C4.6</t>
  </si>
  <si>
    <t xml:space="preserve">Identifier, selon les cas, leur mise en forme, leur transmission ou leur stockage dans des fichiers (texte, image, nombre) afin de comprendre le fonctionnement de l’OST.</t>
  </si>
  <si>
    <t xml:space="preserve">3e_C4.7</t>
  </si>
  <si>
    <t xml:space="preserve">Identifier et représenter la circulation d’une information dans le réseau Internet.</t>
  </si>
  <si>
    <t xml:space="preserve">3e_C4.8</t>
  </si>
  <si>
    <t xml:space="preserve">Justifier la nécessité d’un protocole de routage pour faire communiquer plusieurs réseaux (activité débranchée, table de routage donnée).</t>
  </si>
  <si>
    <t xml:space="preserve">C5</t>
  </si>
  <si>
    <t xml:space="preserve">Identifier un dysfonctionnement d’un objet technique et y remédier</t>
  </si>
  <si>
    <t xml:space="preserve">5e_C5.1</t>
  </si>
  <si>
    <t xml:space="preserve">Repérer visuellement une pièce défectueuse.</t>
  </si>
  <si>
    <t xml:space="preserve">5e_C5.2</t>
  </si>
  <si>
    <t xml:space="preserve">Réaliser une réparation en suivant un protocole fourni.</t>
  </si>
  <si>
    <t xml:space="preserve">D2, D3, D4</t>
  </si>
  <si>
    <t xml:space="preserve">5e_C5.3</t>
  </si>
  <si>
    <t xml:space="preserve">Découvrir les procédés de réalisation présents dans un atelier de fabrication collaboratif.</t>
  </si>
  <si>
    <t xml:space="preserve">4e_C5.1</t>
  </si>
  <si>
    <t xml:space="preserve">Proposer un protocole permettant de vérifier l’origine d’un dysfonctionnement.</t>
  </si>
  <si>
    <t xml:space="preserve">4e_C5.2</t>
  </si>
  <si>
    <t xml:space="preserve">Remplacer une pièce défectueuse sans protocole fourni (la pièce de remplacement étant fournie).</t>
  </si>
  <si>
    <t xml:space="preserve">4e_C5.3</t>
  </si>
  <si>
    <t xml:space="preserve">Choisir les procédés de réalisation et les mettre en œuvre.</t>
  </si>
  <si>
    <t xml:space="preserve">3e_C5.1</t>
  </si>
  <si>
    <t xml:space="preserve">Formuler des hypothèses expliquant le dysfonctionnement d’un objet technique.</t>
  </si>
  <si>
    <t xml:space="preserve">3e_C5.2</t>
  </si>
  <si>
    <t xml:space="preserve">Proposer un protocole de dépannage puis de réparation.</t>
  </si>
  <si>
    <t xml:space="preserve">3e_C5.3</t>
  </si>
  <si>
    <t xml:space="preserve">Réaliser le dépannage ou la réparation d’un système défectueux.</t>
  </si>
  <si>
    <t xml:space="preserve">3e_C5.4</t>
  </si>
  <si>
    <t xml:space="preserve">Réaliser une pièce sur mesure pour réparer un objet technique.</t>
  </si>
  <si>
    <t xml:space="preserve">C6</t>
  </si>
  <si>
    <t xml:space="preserve">Comprendre et modifier un programme associé à une fonctionnalité d’un objet ou d’un système technique</t>
  </si>
  <si>
    <t xml:space="preserve">5e_C6.1</t>
  </si>
  <si>
    <t xml:space="preserve">Identifier les données utilisées et produites par le programme associé à une fonctionnalité d’un OST (à partir d’un programme existant).</t>
  </si>
  <si>
    <t xml:space="preserve">5e_C6.2</t>
  </si>
  <si>
    <t xml:space="preserve">Comprendre et traduire en un algorithme en langage naturel le programme associé à une fonctionnalité d’un OST.</t>
  </si>
  <si>
    <t xml:space="preserve">5e_C6.3</t>
  </si>
  <si>
    <t xml:space="preserve">Modifier les paramètres d’un programme et identifier ou évaluer ses effets en termes de fonctionnalité.</t>
  </si>
  <si>
    <t xml:space="preserve">4e_C6.1</t>
  </si>
  <si>
    <t xml:space="preserve">Analyser les données et en déduire des modifications à apporter au programme.</t>
  </si>
  <si>
    <t xml:space="preserve">4e_C6.2</t>
  </si>
  <si>
    <t xml:space="preserve">Compléter un programme pour répondre à une fonctionnalité d’un OST.</t>
  </si>
  <si>
    <t xml:space="preserve">4e_C6.3</t>
  </si>
  <si>
    <t xml:space="preserve">Tester et valider, dans un environnement simulé ou réel, une modification du programme.</t>
  </si>
  <si>
    <t xml:space="preserve">3e_C6.1</t>
  </si>
  <si>
    <t xml:space="preserve">Déterminer les données utilisées et produites par un programme associé à une fonctionnalité en vue de le modifier.</t>
  </si>
  <si>
    <t xml:space="preserve">3e_C6.2</t>
  </si>
  <si>
    <t xml:space="preserve">Programmer un algorithme lié à une nouvelle fonctionnalité.</t>
  </si>
  <si>
    <t xml:space="preserve">3e_C6.3</t>
  </si>
  <si>
    <t xml:space="preserve">Modifier et tester le programme associé à une nouvelle fonctionnalité d’un OST.</t>
  </si>
  <si>
    <t xml:space="preserve">C7</t>
  </si>
  <si>
    <t xml:space="preserve">Imaginer, concevoir et réaliser une ou des solutions en réponse à un besoin, à des exigences (de développement durable, par exemple) ou à la nécessité d’améliorations dans une démarche de créativité</t>
  </si>
  <si>
    <t xml:space="preserve">Thème 3 : Création, conception, réalisation, innovations : des objets à concevoir et à réaliser</t>
  </si>
  <si>
    <t xml:space="preserve">5e_C7.1</t>
  </si>
  <si>
    <t xml:space="preserve">Suivre un processus de conception et de réalisation dans une durée, avec des tâches identifiées.</t>
  </si>
  <si>
    <t xml:space="preserve">Thème 3</t>
  </si>
  <si>
    <t xml:space="preserve">5e_C7.2</t>
  </si>
  <si>
    <t xml:space="preserve">Fabriquer une solution pour améliorer un OST existant.</t>
  </si>
  <si>
    <t xml:space="preserve">5e_C7.3</t>
  </si>
  <si>
    <t xml:space="preserve">Choisir un matériau parmi plusieurs proposés en fonction de leurs caractéristiques.</t>
  </si>
  <si>
    <t xml:space="preserve">5e_C7.4</t>
  </si>
  <si>
    <t xml:space="preserve">Choisir une source d’énergie parmi plusieurs proposées et une forme d’énergie possible.</t>
  </si>
  <si>
    <t xml:space="preserve">5e_C7.5</t>
  </si>
  <si>
    <t xml:space="preserve">Assembler les constituants fournis pour réaliser un prototype.</t>
  </si>
  <si>
    <t xml:space="preserve">5e_C7.6</t>
  </si>
  <si>
    <t xml:space="preserve">Mettre en œuvre les moyens pour réaliser une forme selon une procédure fournie.</t>
  </si>
  <si>
    <t xml:space="preserve">4e_C7.1</t>
  </si>
  <si>
    <t xml:space="preserve">Organiser un processus de conception et de réalisation dans une durée, avec des tâches identifiées.</t>
  </si>
  <si>
    <t xml:space="preserve">4e_C7.2</t>
  </si>
  <si>
    <t xml:space="preserve">Proposer et fabriquer une solution pour ajouter une nouvelle fonction à un OST (croquis, schéma, graphique, algorithme, modélisation).</t>
  </si>
  <si>
    <t xml:space="preserve">4e_C7.3</t>
  </si>
  <si>
    <t xml:space="preserve">Comparer différents matériaux pour choisir le plus adapté.</t>
  </si>
  <si>
    <t xml:space="preserve">4e_C7.4</t>
  </si>
  <si>
    <t xml:space="preserve">Comparer différentes sources d’énergie pour choisir la plus adaptée.</t>
  </si>
  <si>
    <t xml:space="preserve">4e_C7.5</t>
  </si>
  <si>
    <t xml:space="preserve">Identifier les constituants manquants dans un prototype et le compléter.</t>
  </si>
  <si>
    <t xml:space="preserve">4e_C7.6</t>
  </si>
  <si>
    <t xml:space="preserve">Modifier une forme à l’aide d’une modélisation.</t>
  </si>
  <si>
    <t xml:space="preserve">4e_C7.7</t>
  </si>
  <si>
    <t xml:space="preserve">Choisir les moyens et produire la forme voulue.</t>
  </si>
  <si>
    <t xml:space="preserve">4e_C7.8</t>
  </si>
  <si>
    <t xml:space="preserve">Interfacer un objet technique avec un réseau.</t>
  </si>
  <si>
    <t xml:space="preserve">3e_C7.1</t>
  </si>
  <si>
    <t xml:space="preserve">Élaborer un processus de conception et de réalisation dans une durée, avec des tâches identifiées.</t>
  </si>
  <si>
    <t xml:space="preserve">3e_C7.2</t>
  </si>
  <si>
    <t xml:space="preserve">Proposer et fabriquer un ensemble de solutions pour produire un nouvel OST (croquis, schéma, graphique, algorithme, modélisation).</t>
  </si>
  <si>
    <t xml:space="preserve">3e_C7.3</t>
  </si>
  <si>
    <t xml:space="preserve">Choisir un matériau constitutif d’un objet et/ou système technique.</t>
  </si>
  <si>
    <t xml:space="preserve">3e_C7.4</t>
  </si>
  <si>
    <t xml:space="preserve">Choisir une source d’énergie pour un OST.</t>
  </si>
  <si>
    <t xml:space="preserve">3e_C7.5</t>
  </si>
  <si>
    <t xml:space="preserve">Choisir les constituants et assembler un prototype.</t>
  </si>
  <si>
    <t xml:space="preserve">3e_C7.6</t>
  </si>
  <si>
    <t xml:space="preserve">Modéliser une forme voulue.</t>
  </si>
  <si>
    <t xml:space="preserve">3e_C7.7</t>
  </si>
  <si>
    <t xml:space="preserve">3e_C7.8</t>
  </si>
  <si>
    <t xml:space="preserve">Interfacer deux objets techniques communicants.</t>
  </si>
  <si>
    <t xml:space="preserve">C8</t>
  </si>
  <si>
    <t xml:space="preserve">Valider les solutions techniques par des simulations ou par des protocoles de tests</t>
  </si>
  <si>
    <t xml:space="preserve">5e_C8.1</t>
  </si>
  <si>
    <t xml:space="preserve">Utiliser une simulation fournie pour valider la tenue mécanique d’un matériau.</t>
  </si>
  <si>
    <t xml:space="preserve">5e_C8.2</t>
  </si>
  <si>
    <t xml:space="preserve">Mettre en œuvre un protocole de test fourni pour valider la tenue mécanique d’un matériau.</t>
  </si>
  <si>
    <t xml:space="preserve">5e_C8.3</t>
  </si>
  <si>
    <t xml:space="preserve">Vérifier le comportement et les performances d’un objet technique en suivant un protocole fourni.</t>
  </si>
  <si>
    <t xml:space="preserve">D1.3, D2, D4, D5</t>
  </si>
  <si>
    <t xml:space="preserve">4e_C8.1</t>
  </si>
  <si>
    <t xml:space="preserve">Paramétrer une simulation fournie pour valider la tenue mécanique d’un matériau.</t>
  </si>
  <si>
    <t xml:space="preserve">4e_C8.2</t>
  </si>
  <si>
    <t xml:space="preserve">Proposer un protocole de test pour valider la tenue mécanique d’un matériau.</t>
  </si>
  <si>
    <t xml:space="preserve">4e_C8.3</t>
  </si>
  <si>
    <t xml:space="preserve">Proposer un protocole de test pour valider le comportement et les performances d’un objet technique.</t>
  </si>
  <si>
    <t xml:space="preserve">3e_C8.1</t>
  </si>
  <si>
    <t xml:space="preserve">Mettre en œuvre une simulation pour valider la tenue mécanique d’un matériau.</t>
  </si>
  <si>
    <t xml:space="preserve">3e_C8.2</t>
  </si>
  <si>
    <t xml:space="preserve">3e_C8.3</t>
  </si>
  <si>
    <t xml:space="preserve">C9</t>
  </si>
  <si>
    <t xml:space="preserve">Concevoir, écrire, tester et mettre au point un programme</t>
  </si>
  <si>
    <t xml:space="preserve">5e_C9.1</t>
  </si>
  <si>
    <t xml:space="preserve">Analyser un programme simple fourni et tester s’il répond au besoin ou au problème posé.</t>
  </si>
  <si>
    <t xml:space="preserve">5e_C9.2</t>
  </si>
  <si>
    <t xml:space="preserve">Modifier un programme fourni pour répondre au besoin ou à un problème posé.</t>
  </si>
  <si>
    <t xml:space="preserve">5e_C9.3</t>
  </si>
  <si>
    <t xml:space="preserve">Réaliser et mettre au point un programme simple commandant un OST.</t>
  </si>
  <si>
    <t xml:space="preserve">4e_C9.1</t>
  </si>
  <si>
    <t xml:space="preserve">Modifier un algorithme permettant de répondre au besoin ou au problème posé.</t>
  </si>
  <si>
    <t xml:space="preserve">4e_C9.2</t>
  </si>
  <si>
    <t xml:space="preserve">Traduire un algorithme permettant de répondre à un besoin ou à un problème simple en un programme.</t>
  </si>
  <si>
    <t xml:space="preserve">4e_C9.3</t>
  </si>
  <si>
    <t xml:space="preserve">Réaliser et mettre au point un programme commandant un système réel incluant éventuellement une interaction entre un humain et une machine.</t>
  </si>
  <si>
    <t xml:space="preserve">3e_C9.1</t>
  </si>
  <si>
    <t xml:space="preserve">Élaborer ou concevoir un algorithme permettant de répondre au besoin visé, puis le traduire en un programme structuré (appel de sous-programmes ou de fonctions), le tester et le mettre au point.</t>
  </si>
  <si>
    <t xml:space="preserve">3e_C9.2</t>
  </si>
  <si>
    <t xml:space="preserve">Réaliser et mettre au point un programme commandant un système réel incluant une interaction entre un humain et une machine.</t>
  </si>
  <si>
    <t xml:space="preserve">114 sous-compétences listées · Source : BO n°9 du 29/02/2024 (arrêté du 22/01/2024) · codes Nathan (éd. 2024).</t>
  </si>
  <si>
    <t xml:space="preserve">RÉFÉRENTIEL DE COMPÉTENCES — TECHNOLOGIE 5e</t>
  </si>
  <si>
    <t xml:space="preserve">Les compétences parentes C1 → C9 et leurs déclinaisons du niveau 5e — celles travaillées dans ce classeur</t>
  </si>
  <si>
    <t xml:space="preserve">38 sous-compétences listées · Source : BO n°9 du 29/02/2024 (arrêté du 22/01/2024) · codes Nathan (éd. 2024).</t>
  </si>
  <si>
    <t xml:space="preserve">PROGRESSION ANNUELLE 5e — 2026-2027 · 7 séquences · base : Référentiel 2024 (onglet Progression 5e)</t>
  </si>
  <si>
    <t xml:space="preserve">N°</t>
  </si>
  <si>
    <t xml:space="preserve">Titre (support actualisé)</t>
  </si>
  <si>
    <t xml:space="preserve">Problématique</t>
  </si>
  <si>
    <t xml:space="preserve">Codes 2024</t>
  </si>
  <si>
    <t xml:space="preserve">Séances</t>
  </si>
  <si>
    <t xml:space="preserve">Répartition 🏫 / 🏠 / 🔁</t>
  </si>
  <si>
    <t xml:space="preserve">Ressources en ligne (dépôt)</t>
  </si>
  <si>
    <t xml:space="preserve">Cahier Nathan 5e (repères)</t>
  </si>
  <si>
    <t xml:space="preserve">IA responsable</t>
  </si>
  <si>
    <t xml:space="preserve">Début (AUTO)</t>
  </si>
  <si>
    <t xml:space="preserve">Fin (AUTO)</t>
  </si>
  <si>
    <t xml:space="preserve">Bien démarrer : mon environnement numérique au collège</t>
  </si>
  <si>
    <t xml:space="preserve">Comment organiser et sécuriser mon espace de travail numérique ?</t>
  </si>
  <si>
    <t xml:space="preserve">5e_C1.4, C1.5, C1.6</t>
  </si>
  <si>
    <t xml:space="preserve">Séance 1 🏫 (prise en main ENT) · 2 🔁 (arborescence : exercice en ligne à la maison) · 3 🏫 (mots de passe + bilan)</t>
  </si>
  <si>
    <t xml:space="preserve">🔜 À produire (Thème 1)</t>
  </si>
  <si>
    <t xml:space="preserve">Prob. 3 p.23-30 (vie privée) · Point méthode 3 p.88 (arborescence) · Vers Pix D4 p.119-124</t>
  </si>
  <si>
    <t xml:space="preserve">IA Thème 1</t>
  </si>
  <si>
    <t xml:space="preserve">Comparer pour choisir : quel objet répond le mieux au besoin ?</t>
  </si>
  <si>
    <t xml:space="preserve">Comment choisir le meilleur objet technique parmi plusieurs ?</t>
  </si>
  <si>
    <t xml:space="preserve">5e_C1.1, C1.2, C1.3, C3.1, C3.3</t>
  </si>
  <si>
    <t xml:space="preserve">Séances 1-2 🏫 (objets réels, tableau comparatif) · 3 🔁 (recherche doc maison) · 4 🏫 (choix argumenté + éval.)</t>
  </si>
  <si>
    <t xml:space="preserve">Prob. 1 p.7-14 (évolution des objets) · Prob. 2 p.15-22 (choisir le bon vélo électrique)</t>
  </si>
  <si>
    <t xml:space="preserve">La chaîne d'énergie : comment un objet transforme-t-il l'énergie ?</t>
  </si>
  <si>
    <t xml:space="preserve">Comment l'énergie circule-t-elle dans un objet technique ?</t>
  </si>
  <si>
    <t xml:space="preserve">5e_C2.1, C2.2 (Th.1) + 5e_C4.1, C4.2, C4.3 (Th.2)</t>
  </si>
  <si>
    <t xml:space="preserve">Séances 1-2 🏫 (maquette moteur/LED) · 3 🔁 (séances 1-2 du lampadaire en ligne à la maison) · 4 🏫 (schéma-bloc + éval.)</t>
  </si>
  <si>
    <t xml:space="preserve">✅ Partiel : « Lampadaire intelligent » séances 1-2 (C4.1-C4.3) · 🔜 C2.1-C2.2 (Thème 1)</t>
  </si>
  <si>
    <t xml:space="preserve">Prob. 6 p.45-50 (l'énergie dans un TGV) · Point méthode 6 p.91 (chaîne d'énergie)</t>
  </si>
  <si>
    <t xml:space="preserve">IA Th.1 + Fable</t>
  </si>
  <si>
    <t xml:space="preserve">P2/P3</t>
  </si>
  <si>
    <t xml:space="preserve">Le lampadaire intelligent (1) : chaîne d'information, données et premiers programmes</t>
  </si>
  <si>
    <t xml:space="preserve">Comment un objet capte-t-il, décide-t-il, agit-il — et comment le décrire en données ?</t>
  </si>
  <si>
    <t xml:space="preserve">5e_C4.5, C4.6 + 5e_C6.1, C6.2, C6.3</t>
  </si>
  <si>
    <t xml:space="preserve">Séance 1 🔁 (simulateur maison) · 2 🏫 (données/descripteurs) · 3-4 🏫 (programme par blocs) · 5 🏠 QCM + 🏫 éval.</t>
  </si>
  <si>
    <t xml:space="preserve">✅ Séquence + QCM 32 q + synthèses (C4.5-C4.6) · 🔜 Îlot 5e_C6 (Fable, même objet-fil)</t>
  </si>
  <si>
    <t xml:space="preserve">Prob. 4 p.31-36 (système automatisé) · Prob. 7 p.51-58 (programmer une fonctionnalité) · PM 7 p.92</t>
  </si>
  <si>
    <t xml:space="preserve">Fable (Th. 2)</t>
  </si>
  <si>
    <t xml:space="preserve">P3/P4</t>
  </si>
  <si>
    <t xml:space="preserve">Le lampadaire intelligent (2) : le réseau local du collège</t>
  </si>
  <si>
    <t xml:space="preserve">Comment les informations circulent-elles entre les postes du collège ?</t>
  </si>
  <si>
    <t xml:space="preserve">5e_C4.7, C4.8</t>
  </si>
  <si>
    <t xml:space="preserve">Séance 1 🏫 (jeu du courrier débranché, enveloppes réelles) · 2 🔁 (schéma actif + simulateur maison) · 3 🏠 QCM ciblé + 🏫 bilan</t>
  </si>
  <si>
    <t xml:space="preserve">✅ Séquence (séances 5) + QCM (8 q ciblées C4.7-C4.8) + synthèses</t>
  </si>
  <si>
    <t xml:space="preserve">Point méthode 4 p.89 (adresse IP) · Vers Pix D2/D5 p.103-110, 125-128</t>
  </si>
  <si>
    <t xml:space="preserve">SOS panne : dépanner un objet technique</t>
  </si>
  <si>
    <t xml:space="preserve">Comment identifier et réparer la panne d'un objet technique ?</t>
  </si>
  <si>
    <t xml:space="preserve">5e_C5.1, C5.2, C5.3</t>
  </si>
  <si>
    <t xml:space="preserve">Séances 1-2 🏫 (objets à démonter, protocole) · 3 🏫 (découverte imprimante 3D) · 4 🔁 (fiche d'intervention + QCM maison)</t>
  </si>
  <si>
    <t xml:space="preserve">🔜 À produire (Fable — prévu avant le 27/07 si possible, sinon après Conseil)</t>
  </si>
  <si>
    <t xml:space="preserve">Prob. 5 p.37-44 (réparer un sac à dos) · Point méthode 5 p.90 (imprimante 3D)</t>
  </si>
  <si>
    <t xml:space="preserve">P4/P5</t>
  </si>
  <si>
    <t xml:space="preserve">Mini-projet : concevoir et fabriquer un objet utile</t>
  </si>
  <si>
    <t xml:space="preserve">Comment concevoir, fabriquer et programmer un objet répondant à un besoin ?</t>
  </si>
  <si>
    <t xml:space="preserve">5e_C7.1→C7.6, C8.1→C8.3, C9.1→C9.3</t>
  </si>
  <si>
    <t xml:space="preserve">Séances 1-5 🏫 (démarche de projet, prototypage) · entre séances 🏠 (recherches, croquis) · 6 🏫 revue de projet</t>
  </si>
  <si>
    <t xml:space="preserve">🔜 À produire (Thème 3)</t>
  </si>
  <si>
    <t xml:space="preserve">Prob. 8 p.59-64 · Prob. 9 p.65-70 · Prob. 10 p.71-78 · Prob. 11 p.79-85 · PM 9/11</t>
  </si>
  <si>
    <t xml:space="preserve">IA Thème 3</t>
  </si>
  <si>
    <t xml:space="preserve">Total séances planifiées :</t>
  </si>
  <si>
    <t xml:space="preserve">+ 7 semaines tampon = 36 semaines (voir Calendrier)</t>
  </si>
  <si>
    <t xml:space="preserve">Colonnes AUTO : recalculées selon les imprévus saisis dans le Calendrier.</t>
  </si>
  <si>
    <t xml:space="preserve">Statuts : ✅ en ligne · 🔜 à produire · 📘 cahier Nathan. Les titres « Lampadaire intelligent » actualisent les supports du référentiel initial (« Un capteur au jardin » / « Réseaux ») : mêmes codes, même objet-fil réutilisé — décision à entériner au Conseil du 28/07.</t>
  </si>
  <si>
    <t xml:space="preserve">GÉNÉRATEUR DE SÉQUENCE 2024 — S1 · Bien démarrer : mon environnement numérique au collège</t>
  </si>
  <si>
    <t xml:space="preserve">Thème 1 · P1 · 3 séances de 1 h 30 · Responsable : IA Thème 1 · CANEVAS À REMPLIR par IA Thème 1 (règle : l'IA du thème est seule à modifier)</t>
  </si>
  <si>
    <t xml:space="preserve">◀ Progression</t>
  </si>
  <si>
    <t xml:space="preserve">Situation déclenchante</t>
  </si>
  <si>
    <t xml:space="preserve">⚠ À compléter par IA Thème 1 (canevas pré-rempli par Fable — codes, problématique et repères Nathan posés).</t>
  </si>
  <si>
    <t xml:space="preserve">Prérequis</t>
  </si>
  <si>
    <t xml:space="preserve">Éléments pour la synthèse (objectifs)</t>
  </si>
  <si>
    <t xml:space="preserve">Piste d'évaluation</t>
  </si>
  <si>
    <t xml:space="preserve">Grille de suivi personnel de fichiers + questionnaire</t>
  </si>
  <si>
    <t xml:space="preserve">Domaines du socle mobilisés</t>
  </si>
  <si>
    <t xml:space="preserve">D2, D3  (détail par code dans le tableau des compétences ci-dessous)</t>
  </si>
  <si>
    <t xml:space="preserve">CRCN — compétences numériques (Pix)</t>
  </si>
  <si>
    <t xml:space="preserve">1.2 Gérer des données (Niv. 1-2) · 4.1 Sécuriser l'environnement (Niv. 2) · 4.2 Protéger les données personnelles (Niv. 1-2) · 5.2 Évoluer dans un environnement numérique (Niv. 1-2)</t>
  </si>
  <si>
    <t xml:space="preserve">Versions 🅰 / 🅱 / 🅲</t>
  </si>
  <si>
    <t xml:space="preserve">Liens EPI / parcours</t>
  </si>
  <si>
    <t xml:space="preserve">Cahier Nathan 5e</t>
  </si>
  <si>
    <t xml:space="preserve">Ressources en ligne</t>
  </si>
  <si>
    <t xml:space="preserve">Compétences du programme 2024</t>
  </si>
  <si>
    <t xml:space="preserve">Intitulé officiel</t>
  </si>
  <si>
    <t xml:space="preserve">Domaines du socle</t>
  </si>
  <si>
    <t xml:space="preserve">Travaillée en</t>
  </si>
  <si>
    <t xml:space="preserve">Évaluation LSU</t>
  </si>
  <si>
    <t xml:space="preserve">→ LSU</t>
  </si>
  <si>
    <t xml:space="preserve">Déroulé, séance par séance — avec cahier de texte Pronote prêt à coller</t>
  </si>
  <si>
    <t xml:space="preserve">■ Séance 1 — semaine S01 — — — [titre de la séance 1 — à compléter]</t>
  </si>
  <si>
    <t xml:space="preserve">Question directrice</t>
  </si>
  <si>
    <t xml:space="preserve">[question directrice]</t>
  </si>
  <si>
    <t xml:space="preserve">Activités &amp; supports</t>
  </si>
  <si>
    <t xml:space="preserve">[activités — repères Nathan : Prob. 3 p.23-30 (vie privée) · Point méthode 3 p.88 (arborescence) · Vers Pix D4 p.119-124]</t>
  </si>
  <si>
    <t xml:space="preserve">Démarche / organisation</t>
  </si>
  <si>
    <t xml:space="preserve">[démarche]</t>
  </si>
  <si>
    <t xml:space="preserve">Bilan / trace écrite</t>
  </si>
  <si>
    <t xml:space="preserve">[trace écrite]</t>
  </si>
  <si>
    <t xml:space="preserve">📋 CAHIER DE TEXTE
Contenu de la séance
(copier-coller Pronote)</t>
  </si>
  <si>
    <t xml:space="preserve">[Cahier de texte — contenu de la séance 1 : à rédiger par IA Thème 1 — phrase(s) prêtes à coller dans Pronote.]</t>
  </si>
  <si>
    <t xml:space="preserve">📋 CAHIER DE TEXTE
Travail à faire
(copier-coller Pronote)</t>
  </si>
  <si>
    <t xml:space="preserve">[Cahier de texte — travail à faire : à rédiger — indiquer le support (lien en ligne ou pages Nathan), la durée estimée, et « faisable sur téléphone » si c'est le cas.]</t>
  </si>
  <si>
    <t xml:space="preserve">Suivi enseignant</t>
  </si>
  <si>
    <t xml:space="preserve">Fait le : ____________</t>
  </si>
  <si>
    <t xml:space="preserve">Report / aléa / remarques : </t>
  </si>
  <si>
    <t xml:space="preserve">■ Séance 2 — semaine S02 — — — [titre de la séance 2 — à compléter]</t>
  </si>
  <si>
    <t xml:space="preserve">[Cahier de texte — contenu de la séance 2 : à rédiger par IA Thème 1 — phrase(s) prêtes à coller dans Pronote.]</t>
  </si>
  <si>
    <t xml:space="preserve">■ Séance 3 — semaine S03 — — — [titre de la séance 3 — à compléter]</t>
  </si>
  <si>
    <t xml:space="preserve">[Cahier de texte — contenu de la séance 3 : à rédiger par IA Thème 1 — phrase(s) prêtes à coller dans Pronote.]</t>
  </si>
  <si>
    <t xml:space="preserve">GÉNÉRATEUR DE SÉQUENCE 2024 — S2 · Comparer pour choisir : quel objet répond le mieux au besoin ?</t>
  </si>
  <si>
    <t xml:space="preserve">Thème 1 · P1 · 4 séances de 1 h 30 · Responsable : IA Thème 1 · CANEVAS À REMPLIR par IA Thème 1 (règle : l'IA du thème est seule à modifier)</t>
  </si>
  <si>
    <t xml:space="preserve">Tableau comparatif argumenté (objets du quotidien)</t>
  </si>
  <si>
    <t xml:space="preserve">D2, D3, D4, D5  (détail par code dans le tableau des compétences ci-dessous)</t>
  </si>
  <si>
    <t xml:space="preserve">1.1 Mener une recherche (Niv. 2) · 1.3 Traiter des données (Niv. 2 : tableau comparatif au tableur)</t>
  </si>
  <si>
    <t xml:space="preserve">■ Séance 1 — semaine S04 — — — [titre de la séance 1 — à compléter]</t>
  </si>
  <si>
    <t xml:space="preserve">[activités — repères Nathan : Prob. 1 p.7-14 (évolution des objets) · Prob. 2 p.15-22 (choisir le bon vélo électrique)]</t>
  </si>
  <si>
    <t xml:space="preserve">■ Séance 2 — semaine S05 — — — [titre de la séance 2 — à compléter]</t>
  </si>
  <si>
    <t xml:space="preserve">■ Séance 3 — semaine S06 — — — [titre de la séance 3 — à compléter]</t>
  </si>
  <si>
    <t xml:space="preserve">■ Séance 4 — semaine S07 — — — [titre de la séance 4 — à compléter]</t>
  </si>
  <si>
    <t xml:space="preserve">[Cahier de texte — contenu de la séance 4 : à rédiger par IA Thème 1 — phrase(s) prêtes à coller dans Pronote.]</t>
  </si>
  <si>
    <t xml:space="preserve">GÉNÉRATEUR DE SÉQUENCE 2024 — S3 · La chaîne d'énergie : comment un objet transforme-t-il l'énergie ?</t>
  </si>
  <si>
    <t xml:space="preserve">Thème 1 · P2 · 4 séances de 1 h 30 · Responsable : IA Th.1 + Fable · CANEVAS À REMPLIR par IA Th.1 + Fable (règle : l'IA du thème est seule à modifier)</t>
  </si>
  <si>
    <t xml:space="preserve">⚠ À compléter par IA Th.1 + Fable (canevas pré-rempli par Fable — codes, problématique et repères Nathan posés).</t>
  </si>
  <si>
    <t xml:space="preserve">Schéma-bloc de la chaîne d'énergie complété</t>
  </si>
  <si>
    <t xml:space="preserve">D1.3, D2, D4, D5  (détail par code dans le tableau des compétences ci-dessous)</t>
  </si>
  <si>
    <t xml:space="preserve">1.3 Traiter des données (Niv. 1 : relevés de mesures au tableur) — séquence surtout manipulatoire</t>
  </si>
  <si>
    <t xml:space="preserve">séances 1-2 lampadaire ✅</t>
  </si>
  <si>
    <t xml:space="preserve">QCM ciblé → LSU</t>
  </si>
  <si>
    <t xml:space="preserve">■ Séance 1 — semaine S09 — — — [titre de la séance 1 — à compléter]</t>
  </si>
  <si>
    <t xml:space="preserve">[activités — repères Nathan : Prob. 6 p.45-50 (l'énergie dans un TGV) · Point méthode 6 p.91 (chaîne d'énergie)]</t>
  </si>
  <si>
    <t xml:space="preserve">[Cahier de texte — contenu de la séance 1 : à rédiger par IA Th.1 + Fable — phrase(s) prêtes à coller dans Pronote.]</t>
  </si>
  <si>
    <t xml:space="preserve">■ Séance 2 — semaine S10 — — — [titre de la séance 2 — à compléter]</t>
  </si>
  <si>
    <t xml:space="preserve">[Cahier de texte — contenu de la séance 2 : à rédiger par IA Th.1 + Fable — phrase(s) prêtes à coller dans Pronote.]</t>
  </si>
  <si>
    <t xml:space="preserve">■ Séance 3 — semaine S11 — — — [titre de la séance 3 — à compléter]</t>
  </si>
  <si>
    <t xml:space="preserve">[Cahier de texte — contenu de la séance 3 : à rédiger par IA Th.1 + Fable — phrase(s) prêtes à coller dans Pronote.]</t>
  </si>
  <si>
    <t xml:space="preserve">■ Séance 4 — semaine S12 — — — [titre de la séance 4 — à compléter]</t>
  </si>
  <si>
    <t xml:space="preserve">[Cahier de texte — contenu de la séance 4 : à rédiger par IA Th.1 + Fable — phrase(s) prêtes à coller dans Pronote.]</t>
  </si>
  <si>
    <t xml:space="preserve">GÉNÉRATEUR DE SÉQUENCE 2024 — S4 · Le lampadaire intelligent (1) : chaîne d'information, données et premiers programmes</t>
  </si>
  <si>
    <t xml:space="preserve">Thème 2 · P2/P3 · 5 séances de 1 h 30 · Responsable : Fable (Th. 2) · Séances 1-2 : ressources ✅ en ligne · séances 3-5 : îlot 5e_C6 🔜 (même objet-fil)</t>
  </si>
  <si>
    <t xml:space="preserve">La mairie a installé des lampadaires solaires sur le parking du collège ; l'un reste allumé en plein jour, un autre ne s'allume plus. Le club techno doit expliquer comment ils « décident » et aider la mairie à les suivre à distance.</t>
  </si>
  <si>
    <t xml:space="preserve">Séquence S3 (chaîne d'énergie du lampadaire, séances 1-2 en ligne déjà vues).</t>
  </si>
  <si>
    <t xml:space="preserve">Chaîne d'information = ACQUÉRIR (capteurs) → TRAITER (carte + règle SI…ALORS) → COMMANDER · l'information commande l'énergie · descripteur / type / format · un programme lit des données et en produit.</t>
  </si>
  <si>
    <t xml:space="preserve">Formative : vérificateurs intégrés + verrou expérientiel (simulateur). QCM 32 q (mode « compétence ciblée »). Sommative en fin de séquence (corrigé non publié).</t>
  </si>
  <si>
    <t xml:space="preserve">D1.3, D2, D4  (détail par code dans le tableau des compétences ci-dessous)</t>
  </si>
  <si>
    <t xml:space="preserve">3.4 Programmer (Niv. 1-2 : lire, construire et modifier un programme simple) · 1.3 Traiter des données (Niv. 2 : trier et organiser la table des lampadaires)</t>
  </si>
  <si>
    <t xml:space="preserve">🅰 sortie parking + maquette Grove (capteur lumière, PIR, LED — très basse tension) · 🅱 simulateur intégré à la page · 🅲 fiches papier imprimables.</t>
  </si>
  <si>
    <t xml:space="preserve">EDD : pollution lumineuse, sobriété énergétique · lien mairie/commune (usage citoyen des données).</t>
  </si>
  <si>
    <t xml:space="preserve">Séances 1-2</t>
  </si>
  <si>
    <t xml:space="preserve">Formative (vérificateurs en ligne) + QCM ciblé → LSU</t>
  </si>
  <si>
    <t xml:space="preserve">Séance 2</t>
  </si>
  <si>
    <t xml:space="preserve">Formative + QCM ciblé → LSU</t>
  </si>
  <si>
    <t xml:space="preserve">Séances 3-4</t>
  </si>
  <si>
    <t xml:space="preserve">🔜 avec l'îlot 5e_C6 (même objet-fil)</t>
  </si>
  <si>
    <t xml:space="preserve">🔜 avec l'îlot 5e_C6</t>
  </si>
  <si>
    <t xml:space="preserve">Séances 4-5</t>
  </si>
  <si>
    <t xml:space="preserve">🔜 avec l'îlot 5e_C6 + évaluation sommative</t>
  </si>
  <si>
    <t xml:space="preserve">■ Séance 1 — semaine S13 — 🔁 Hybride — La chaîne d'information du lampadaire</t>
  </si>
  <si>
    <t xml:space="preserve">Comment le lampadaire « sait-il » quand s'allumer ?</t>
  </si>
  <si>
    <t xml:space="preserve">Lancement 🏫 (20 min) : situation déclenchante + hypothèses (activité en ligne). Puis activité 3 de la séquence : chaîne d'information + simulateur (jour / nuit / nuit + passage). Séquence en ligne : https://pll-process.github.io/en-ligne-pour-le-cycle-4/theme-2-structure-fonctionnement-comportement/C4-decrire-et-caracteriser-lorganisation/5e/5e_C4.1/sequence_5e_C4.1-C4.8_lampadaire_intelligent.html</t>
  </si>
  <si>
    <t xml:space="preserve">Investigation. En classe : vidéoprojection + binômes sur postes ; à la maison : terminer le simulateur (verrou expérientiel : les 3 situations doivent être observées).</t>
  </si>
  <si>
    <t xml:space="preserve">Schéma des deux chaînes (SVG de la séquence) collé/recopié ; règle SI nuit ET passage → pleine puissance.</t>
  </si>
  <si>
    <t xml:space="preserve">Séquence « Le lampadaire intelligent » — Séance 1 : la chaîne d'information. Hypothèses, puis découverte du simulateur : comportements jour / nuit / nuit + passage. Trace écrite : ACQUÉRIR → TRAITER → COMMANDER ; la chaîne d'information commande la chaîne d'énergie.</t>
  </si>
  <si>
    <t xml:space="preserve">Terminer l'activité 3 (simulateur du lampadaire) en ligne : https://pll-process.github.io/en-ligne-pour-le-cycle-4/theme-2-structure-fonctionnement-comportement/C4-decrire-et-caracteriser-lorganisation/5e/5e_C4.1/sequence_5e_C4.1-C4.8_lampadaire_intelligent.html — les 3 situations doivent être réellement observées (la page le vérifie). Environ 20 min, faisable sur téléphone. Aucun compte requis, le travail se sauvegarde sur l'appareil.</t>
  </si>
  <si>
    <t xml:space="preserve">■ Séance 2 — semaine S14 — 🏫 En classe — Décrire les lampadaires par des données</t>
  </si>
  <si>
    <t xml:space="preserve">Comment la mairie peut-elle suivre 6 lampadaires sans se déplacer ?</t>
  </si>
  <si>
    <t xml:space="preserve">Activité 4 de la séquence : table des 6 lampadaires — descripteurs, types, formats ; lire les données pour agir (L5 prioritaire, L3 batterie faible). Séquence en ligne : https://pll-process.github.io/en-ligne-pour-le-cycle-4/theme-2-structure-fonctionnement-comportement/C4-decrire-et-caracteriser-lorganisation/5e/5e_C4.1/sequence_5e_C4.1-C4.8_lampadaire_intelligent.html</t>
  </si>
  <si>
    <t xml:space="preserve">Résolution de problème en binômes ; correction collective avec les vérificateurs de la page.</t>
  </si>
  <si>
    <t xml:space="preserve">Définitions descripteur / type / format ; une ligne = un objet complet.</t>
  </si>
  <si>
    <t xml:space="preserve">Séance 2 : décrire les lampadaires par des données. Descripteurs, types et formats ; lecture de la table des 6 lampadaires de la mairie pour décider des interventions. Trace écrite : descripteur / type / format.</t>
  </si>
  <si>
    <t xml:space="preserve">QCM d'entraînement, mode « Compétence ciblée » 5e_C4.5 puis 5e_C4.6 (8 questions) : https://pll-process.github.io/en-ligne-pour-le-cycle-4/theme-2-structure-fonctionnement-comportement/C4-decrire-et-caracteriser-lorganisation/5e/5e_C4.1/qcm_5e_C4.1-C4.8_lampadaire_intelligent.html — corrections détaillées incluses ; refaire ses erreurs. ≈ 15 min.</t>
  </si>
  <si>
    <t xml:space="preserve">■ Séance 3 — semaine S16 — 🏫 En classe — Le programme du lampadaire : lire les données (5e_C6.1)</t>
  </si>
  <si>
    <t xml:space="preserve">Quelles données le programme du lampadaire utilise-t-il et produit-il ?</t>
  </si>
  <si>
    <t xml:space="preserve">Îlot 5e_C6 (🔜 en production — même objet-fil) : identifier les données du programme par blocs du lampadaire. En attendant : Nathan Prob. 4 p.31-36 (système automatisé) + Prob. 7 p.52-54.</t>
  </si>
  <si>
    <t xml:space="preserve">Investigation guidée ; programme par blocs vidéoprojeté.</t>
  </si>
  <si>
    <t xml:space="preserve">Données utilisées (capteurs) / données produites (ordres).</t>
  </si>
  <si>
    <t xml:space="preserve">Séance 3 : le programme du lampadaire — quelles données entrent (capteurs), quelles données sortent (ordres à la LED). Activités du cahier Nathan p.31-36 / p.52-54.</t>
  </si>
  <si>
    <t xml:space="preserve">Relire la trace écrite ; terminer l'activité du cahier Nathan commencée en classe (p.54). [Lien de la séquence en ligne 5e_C6 : sera ajouté dès sa mise en ligne.]</t>
  </si>
  <si>
    <t xml:space="preserve">■ Séance 4 — semaine S17 — 🏫 En classe — Modifier une fonctionnalité (5e_C6.2, C6.3)</t>
  </si>
  <si>
    <t xml:space="preserve">Comment changer le comportement du lampadaire sans le démonter ?</t>
  </si>
  <si>
    <t xml:space="preserve">Îlot 5e_C6 (🔜) : modifier un paramètre du programme par blocs (durée de la pleine puissance, seuil nuit) et tester. Nathan Prob. 7 p.55-58 (programmer l'inclinaison d'un vélo).</t>
  </si>
  <si>
    <t xml:space="preserve">Résolution de problème en binômes sur postes (VittaScience / Scratch).</t>
  </si>
  <si>
    <t xml:space="preserve">Modifier = changer UN paramètre puis TESTER ; on garde la version qui marche.</t>
  </si>
  <si>
    <t xml:space="preserve">Séance 4 : modifier une fonctionnalité du programme (seuil, durée) et tester. Démarche : je modifie UN paramètre → je teste → je valide. Cahier Nathan p.55-58.</t>
  </si>
  <si>
    <t xml:space="preserve">Préparer l'évaluation : refaire le QCM complet (32 questions) en mode « Parcours complet » : https://pll-process.github.io/en-ligne-pour-le-cycle-4/theme-2-structure-fonctionnement-comportement/C4-decrire-et-caracteriser-lorganisation/5e/5e_C4.1/qcm_5e_C4.1-C4.8_lampadaire_intelligent.html · relire la synthèse : https://pll-process.github.io/en-ligne-pour-le-cycle-4/theme-2-structure-fonctionnement-comportement/C4-decrire-et-caracteriser-lorganisation/5e/5e_C4.1/Synth%C3%A8ses/synthese_eleve_5e_C4.1-C4.8.html ≈ 30 min, en 2 fois si besoin (la page reprend où tu t'es arrêté).</t>
  </si>
  <si>
    <t xml:space="preserve">■ Séance 5 — semaine S18 — 🏠 puis 🏫 — Bilan et évaluation de la séquence</t>
  </si>
  <si>
    <t xml:space="preserve">Qu'ai-je appris — et où en suis-je, code par code ?</t>
  </si>
  <si>
    <t xml:space="preserve">Correction commentée du QCM (bilan par compétence affiché par la page) ; évaluation sommative sur table (corrigé non publié) ; auto-positionnement LSU.</t>
  </si>
  <si>
    <t xml:space="preserve">Bilan collectif 30 min + évaluation 45 min + retour sur les hypothèses de la séance 1.</t>
  </si>
  <si>
    <t xml:space="preserve">Synthèse élève distribuée (imprimable 1 page A4).</t>
  </si>
  <si>
    <t xml:space="preserve">Séance 5 : bilan de la séquence « Le lampadaire intelligent » (chaîne d'information, données, programme) et évaluation. Distribution de la synthèse (aussi en ligne).</t>
  </si>
  <si>
    <t xml:space="preserve">Rien à faire — la séquence est terminée. Pour réviser plus tard : le QCM reste disponible en mode « Uniquement mes erreurs ».</t>
  </si>
  <si>
    <t xml:space="preserve">GÉNÉRATEUR DE SÉQUENCE 2024 — S5 · Le lampadaire intelligent (2) : le réseau local du collège</t>
  </si>
  <si>
    <t xml:space="preserve">Thème 2 · P3/P4 · 3 séances de 1 h 30 · Responsable : Fable (Th. 2) · Ressources ✅ en ligne (séquence lampadaire, séances 5-6 + QCM ciblé)</t>
  </si>
  <si>
    <t xml:space="preserve">Une impression lancée depuis la salle de techno sort au CDI ; deux tablettes portent le même nom et le réseau « se trompe ». Comment le réseau du collège sait-il à qui livrer ?</t>
  </si>
  <si>
    <t xml:space="preserve">Séquence S4 (chaîne d'information : le lampadaire communique déjà son état).</t>
  </si>
  <si>
    <t xml:space="preserve">Composants du réseau local : terminaux, commutateur, borne Wi-Fi, serveur · liaisons filaires / sans fil · chaque terminal a un nom et une adresse UNIQUES : sans identification, pas de livraison.</t>
  </si>
  <si>
    <t xml:space="preserve">Formative : jeu du courrier (act. 6 en ligne, jouable avec enveloppes réelles) ; schéma de réseau légendé ; QCM ciblé C4.7-C4.8 (8 q).</t>
  </si>
  <si>
    <t xml:space="preserve">D2, D4  (détail par code dans le tableau des compétences ci-dessous)</t>
  </si>
  <si>
    <t xml:space="preserve">5.1 Résoudre des problèmes techniques (Niv. 1-2 : composants, connexion, identification) · 2.1 Interagir (Niv. 1-2 : règles de la communication en réseau)</t>
  </si>
  <si>
    <t xml:space="preserve">🅰 jeu du courrier avec enveloppes réelles + visite de la baie de brassage du collège · 🅱 schéma actif + activités en ligne · 🅲 fiches papier.</t>
  </si>
  <si>
    <t xml:space="preserve">Vers Pix D2 (communication) et D5 (résoudre des problèmes techniques) · Point méthode Nathan 4 p.89 (adresse IP).</t>
  </si>
  <si>
    <t xml:space="preserve">Séances 1-3</t>
  </si>
  <si>
    <t xml:space="preserve">Formative (jeu du courrier) + QCM ciblé → LSU</t>
  </si>
  <si>
    <t xml:space="preserve">■ Séance 1 — semaine S19 — 🏫 En classe — Le jeu du courrier : pourquoi s'identifier ?</t>
  </si>
  <si>
    <t xml:space="preserve">Que se passe-t-il si deux terminaux portent le même nom ?</t>
  </si>
  <si>
    <t xml:space="preserve">Jeu du courrier débranché (version 🅰 : enveloppes réelles, élèves-facteurs) puis vérification sur l'activité 6 en ligne : conflit TABLETTE-07, message sans destinataire. Séquence en ligne : https://pll-process.github.io/en-ligne-pour-le-cycle-4/theme-2-structure-fonctionnement-comportement/C4-decrire-et-caracteriser-lorganisation/5e/5e_C4.1/sequence_5e_C4.1-C4.8_lampadaire_intelligent.html</t>
  </si>
  <si>
    <t xml:space="preserve">Activité débranchée collective (30 min) + correction sur la page (le programme de 5e prescrit exactement cela : activité débranchée + vérification par simulation).</t>
  </si>
  <si>
    <t xml:space="preserve">Un nom et une adresse UNIQUES par terminal — comme une lettre : sans destinataire unique, pas de livraison.</t>
  </si>
  <si>
    <t xml:space="preserve">Séquence « Le réseau du collège » — Séance 1 : jeu du courrier (activité débranchée). Conflit de noms, message sans destinataire. Règle : chaque terminal du réseau doit être identifié de façon unique.</t>
  </si>
  <si>
    <t xml:space="preserve">Refaire l'activité 6 (jeu du courrier) en ligne pour vérifier ta règle : https://pll-process.github.io/en-ligne-pour-le-cycle-4/theme-2-structure-fonctionnement-comportement/C4-decrire-et-caracteriser-lorganisation/5e/5e_C4.1/sequence_5e_C4.1-C4.8_lampadaire_intelligent.html ≈ 10 min.</t>
  </si>
  <si>
    <t xml:space="preserve">■ Séance 2 — semaine S21 — 🔁 Hybride — Les composants du réseau local</t>
  </si>
  <si>
    <t xml:space="preserve">Quel chemin suit mon fichier quand j'imprime au CDI ?</t>
  </si>
  <si>
    <t xml:space="preserve">Activité 5 : schéma du réseau du collège (terminaux, commutateur, borne Wi-Fi, serveur, liaisons filaires/sans fil) ; si possible, visite de la salle info / baie de brassage. Séquence en ligne : https://pll-process.github.io/en-ligne-pour-le-cycle-4/theme-2-structure-fonctionnement-comportement/C4-decrire-et-caracteriser-lorganisation/5e/5e_C4.1/sequence_5e_C4.1-C4.8_lampadaire_intelligent.html</t>
  </si>
  <si>
    <t xml:space="preserve">Investigation ; repérage des équipements RÉELS du collège puis schéma actif en ligne.</t>
  </si>
  <si>
    <t xml:space="preserve">Schéma de réseau local légendé (évaluation-repère du référentiel).</t>
  </si>
  <si>
    <t xml:space="preserve">Séance 2 : les composants du réseau local du collège — terminaux, commutateur, borne Wi-Fi, serveur ; liaisons filaires et sans fil. Schéma légendé dans le cahier.</t>
  </si>
  <si>
    <t xml:space="preserve">Terminer l'activité 5 en ligne (schéma du réseau) : https://pll-process.github.io/en-ligne-pour-le-cycle-4/theme-2-structure-fonctionnement-comportement/C4-decrire-et-caracteriser-lorganisation/5e/5e_C4.1/sequence_5e_C4.1-C4.8_lampadaire_intelligent.html puis QCM mode « Compétence ciblée » 5e_C4.7 : https://pll-process.github.io/en-ligne-pour-le-cycle-4/theme-2-structure-fonctionnement-comportement/C4-decrire-et-caracteriser-lorganisation/5e/5e_C4.1/qcm_5e_C4.1-C4.8_lampadaire_intelligent.html ≈ 20 min.</t>
  </si>
  <si>
    <t xml:space="preserve">■ Séance 3 — semaine S22 — 🏠 puis 🏫 — Bilan réseau + évaluation</t>
  </si>
  <si>
    <t xml:space="preserve">Où en suis-je sur C4.7 et C4.8 ?</t>
  </si>
  <si>
    <t xml:space="preserve">Correction du QCM ciblé C4.7-C4.8 fait à la maison ; évaluation courte (schéma à légender + 2 questions d'identification) ; ouverture : et entre deux réseaux ? (Internet — vu en 4e/3e).</t>
  </si>
  <si>
    <t xml:space="preserve">Bilan collectif + évaluation 30 min.</t>
  </si>
  <si>
    <t xml:space="preserve">Synthèse (partie réseau) distribuée.</t>
  </si>
  <si>
    <t xml:space="preserve">Séance 3 : bilan de la mini-séquence réseau et évaluation (schéma du réseau local + identification des terminaux).</t>
  </si>
  <si>
    <t xml:space="preserve">Fait avant la séance : QCM mode « Compétence ciblée » 5e_C4.8 : https://pll-process.github.io/en-ligne-pour-le-cycle-4/theme-2-structure-fonctionnement-comportement/C4-decrire-et-caracteriser-lorganisation/5e/5e_C4.1/qcm_5e_C4.1-C4.8_lampadaire_intelligent.html ≈ 10 min. Après la séance : rien — pour réviser, mode « Uniquement mes erreurs ».</t>
  </si>
  <si>
    <t xml:space="preserve">GÉNÉRATEUR DE SÉQUENCE 2024 — S6 · SOS panne : dépanner un objet technique</t>
  </si>
  <si>
    <t xml:space="preserve">Thème 2 · P4 · 4 séances de 1 h 30 · Responsable : Fable (Th. 2) · Ressources en ligne 🔜 (Fable) — repères Nathan posés, cahier de texte pré-rédigé à ajuster</t>
  </si>
  <si>
    <t xml:space="preserve">Le sac à dos de la vie scolaire, la souris de la salle info, la trottinette d'un élève : trois objets en panne. Jeter… ou réparer ? (Ouverture EDD : économiser les ressources.)</t>
  </si>
  <si>
    <t xml:space="preserve">S2 (observation d'objets réels), S3 (constituants).</t>
  </si>
  <si>
    <t xml:space="preserve">Repérer VISUELLEMENT une pièce défectueuse · réparer en suivant un protocole FOURNI · découvrir les procédés d'un atelier de fabrication (imprimante 3D).</t>
  </si>
  <si>
    <t xml:space="preserve">Fiche d'intervention technicien complétée (évaluation-repère du référentiel) ; QCM 🔜 avec la séquence en ligne.</t>
  </si>
  <si>
    <t xml:space="preserve">D1.3, D2, D3, D4, D5  (détail par code dans le tableau des compétences ci-dessous)</t>
  </si>
  <si>
    <t xml:space="preserve">5.1 Résoudre des problèmes techniques (Niv. 1 : identifier un problème simple) — séquence essentiellement manipulatoire</t>
  </si>
  <si>
    <t xml:space="preserve">🅰 objets réels à démonter + visite atelier/imprimante 3D · 🅱 simulateur de diagnostic en ligne (🔜, sur le modèle 3e « SOS station ») · 🅲 fiches papier Nathan.</t>
  </si>
  <si>
    <t xml:space="preserve">EDD (réparer plutôt que jeter, indice de réparabilité) · parcours Avenir (métiers de la maintenance).</t>
  </si>
  <si>
    <t xml:space="preserve">Formative → LSU</t>
  </si>
  <si>
    <t xml:space="preserve">Séances 2-3</t>
  </si>
  <si>
    <t xml:space="preserve">Formative (protocole suivi) → LSU</t>
  </si>
  <si>
    <t xml:space="preserve">Séance 3</t>
  </si>
  <si>
    <t xml:space="preserve">Découverte (atelier de fabrication) → LSU</t>
  </si>
  <si>
    <t xml:space="preserve">■ Séance 1 — semaine S23 — 🏫 En classe — Observer pour diagnostiquer (5e_C5.1)</t>
  </si>
  <si>
    <t xml:space="preserve">Comment repérer À L'ŒIL la pièce défectueuse ?</t>
  </si>
  <si>
    <t xml:space="preserve">Ateliers tournants : 3 objets en panne « visible » (couture, câble, pièce cassée). Nathan Prob. 5 p.37-40. [Séquence en ligne 🔜 : simulateur de diagnostic 5e.]</t>
  </si>
  <si>
    <t xml:space="preserve">Résolution de problème en îlots ; fiche d'observation.</t>
  </si>
  <si>
    <t xml:space="preserve">Démarche : observer → localiser → nommer la pièce défectueuse.</t>
  </si>
  <si>
    <t xml:space="preserve">Séquence « SOS panne » — Séance 1 : repérer visuellement une pièce défectueuse (3 objets étudiés en îlots). Fiche d'observation complétée.</t>
  </si>
  <si>
    <t xml:space="preserve">Cahier Nathan p.38-39 : terminer l'activité d'observation. [Lien séquence en ligne : à ajouter dès mise en ligne.]</t>
  </si>
  <si>
    <t xml:space="preserve">■ Séance 2 — semaine S24 — 🏫 En classe — Réparer avec un protocole (5e_C5.2)</t>
  </si>
  <si>
    <t xml:space="preserve">Comment réparer SANS improviser ?</t>
  </si>
  <si>
    <t xml:space="preserve">Réparation guidée par protocole fourni (sac à dos Nathan p.44 / objet réel du collège). Sécurité outillage.</t>
  </si>
  <si>
    <t xml:space="preserve">Binômes, protocole pas à pas, vérification à chaque étape.</t>
  </si>
  <si>
    <t xml:space="preserve">Un protocole garantit le résultat et la sécurité ; on teste APRÈS la réparation.</t>
  </si>
  <si>
    <t xml:space="preserve">Séance 2 : réparer en suivant un protocole fourni (démarche de réparation du sac à dos). Test de la réparation.</t>
  </si>
  <si>
    <t xml:space="preserve">Compléter la fiche d'intervention (partie « opérations effectuées »). ≈ 10 min.</t>
  </si>
  <si>
    <t xml:space="preserve">■ Séance 3 — semaine S25 — 🏫 En classe — L'atelier de fabrication (5e_C5.3)</t>
  </si>
  <si>
    <t xml:space="preserve">Et si la pièce n'existe plus ? — découverte de l'impression 3D</t>
  </si>
  <si>
    <t xml:space="preserve">Découverte de l'imprimante 3D du collège (Nathan Point méthode 5 p.90) : du modèle à la pièce. Démonstration d'impression.</t>
  </si>
  <si>
    <t xml:space="preserve">Investigation ; observation d'une impression lancée en début d'heure.</t>
  </si>
  <si>
    <t xml:space="preserve">Procédés d'un atelier de fabrication : imprimer, découper, assembler.</t>
  </si>
  <si>
    <t xml:space="preserve">Séance 3 : découverte de l'atelier de fabrication — l'imprimante 3D, du modèle numérique à la pièce réelle. Nathan p.90.</t>
  </si>
  <si>
    <t xml:space="preserve">QCM de la séquence en ligne [🔜 lien à ajouter] OU Nathan « Je fais le bilan » p.43. ≈ 15 min.</t>
  </si>
  <si>
    <t xml:space="preserve">■ Séance 4 — semaine S26 — 🏠 puis 🏫 — Bilan + fiche d'intervention notée</t>
  </si>
  <si>
    <t xml:space="preserve">Suis-je capable de remplir une fiche d'intervention complète ?</t>
  </si>
  <si>
    <t xml:space="preserve">Évaluation : fiche d'intervention technicien sur un cas nouveau ; bilan de séquence.</t>
  </si>
  <si>
    <t xml:space="preserve">Individuel 45 min + correction collective.</t>
  </si>
  <si>
    <t xml:space="preserve">Synthèse distribuée.</t>
  </si>
  <si>
    <t xml:space="preserve">Séance 4 : évaluation — fiche d'intervention technicien sur un nouveau cas de panne ; bilan de la séquence SOS panne.</t>
  </si>
  <si>
    <t xml:space="preserve">Fait avant la séance : relire la fiche d'intervention type et le bilan Nathan p.43. Après : rien.</t>
  </si>
  <si>
    <t xml:space="preserve">GÉNÉRATEUR DE SÉQUENCE 2024 — S7 · Mini-projet : concevoir et fabriquer un objet utile</t>
  </si>
  <si>
    <t xml:space="preserve">Thème 3 · P4/P5 · 6 séances de 1 h 30 · Responsable : IA Thème 3 · CANEVAS À REMPLIR par IA Thème 3 (règle : l'IA du thème est seule à modifier)</t>
  </si>
  <si>
    <t xml:space="preserve">⚠ À compléter par IA Thème 3 (canevas pré-rempli par Fable — codes, problématique et repères Nathan posés).</t>
  </si>
  <si>
    <t xml:space="preserve">Revue de projet + prototype fonctionnel</t>
  </si>
  <si>
    <t xml:space="preserve">3.4 Programmer (Niv. 2) · 2.3 Collaborer (Niv. 1-2 : coproduction du projet) · 3.2 Documents visuels (Niv. 1 : photos du prototype)</t>
  </si>
  <si>
    <t xml:space="preserve">■ Séance 1 — semaine S27 — — — [titre de la séance 1 — à compléter]</t>
  </si>
  <si>
    <t xml:space="preserve">[activités — repères Nathan : Prob. 8 p.59-64 · Prob. 9 p.65-70 · Prob. 10 p.71-78 · Prob. 11 p.79-85 · PM 9/11]</t>
  </si>
  <si>
    <t xml:space="preserve">[Cahier de texte — contenu de la séance 1 : à rédiger par IA Thème 3 — phrase(s) prêtes à coller dans Pronote.]</t>
  </si>
  <si>
    <t xml:space="preserve">■ Séance 2 — semaine S29 — — — [titre de la séance 2 — à compléter]</t>
  </si>
  <si>
    <t xml:space="preserve">[Cahier de texte — contenu de la séance 2 : à rédiger par IA Thème 3 — phrase(s) prêtes à coller dans Pronote.]</t>
  </si>
  <si>
    <t xml:space="preserve">■ Séance 3 — semaine S30 — — — [titre de la séance 3 — à compléter]</t>
  </si>
  <si>
    <t xml:space="preserve">[Cahier de texte — contenu de la séance 3 : à rédiger par IA Thème 3 — phrase(s) prêtes à coller dans Pronote.]</t>
  </si>
  <si>
    <t xml:space="preserve">■ Séance 4 — semaine S31 — — — [titre de la séance 4 — à compléter]</t>
  </si>
  <si>
    <t xml:space="preserve">[Cahier de texte — contenu de la séance 4 : à rédiger par IA Thème 3 — phrase(s) prêtes à coller dans Pronote.]</t>
  </si>
  <si>
    <t xml:space="preserve">■ Séance 5 — semaine S32 — — — [titre de la séance 5 — à compléter]</t>
  </si>
  <si>
    <t xml:space="preserve">[Cahier de texte — contenu de la séance 5 : à rédiger par IA Thème 3 — phrase(s) prêtes à coller dans Pronote.]</t>
  </si>
  <si>
    <t xml:space="preserve">■ Séance 6 — semaine S33 — — — [titre de la séance 6 — à compléter]</t>
  </si>
  <si>
    <t xml:space="preserve">[Cahier de texte — contenu de la séance 6 : à rédiger par IA Thème 3 — phrase(s) prêtes à coller dans Pronote.]</t>
  </si>
  <si>
    <t xml:space="preserve">⚙ MOTEUR DE LA PROGRESSION — ordre officiel des créneaux</t>
  </si>
  <si>
    <t xml:space="preserve">Ne modifier cet onglet qu'en Conseil. Le calendrier place ces 37 créneaux, dans l'ordre, sur les semaines SANS imprévu. Marquer un imprévu dans le Calendrier (colonne ⚠) décale automatiquement tout ce qui suit ; la réserve de fin d'année absorbe le décalage.</t>
  </si>
  <si>
    <t xml:space="preserve">Créneau</t>
  </si>
  <si>
    <t xml:space="preserve">S1 · séance 1</t>
  </si>
  <si>
    <t xml:space="preserve">S1 · séance 2</t>
  </si>
  <si>
    <t xml:space="preserve">S1 · séance 3</t>
  </si>
  <si>
    <t xml:space="preserve">S2 · séance 1</t>
  </si>
  <si>
    <t xml:space="preserve">S2 · séance 2</t>
  </si>
  <si>
    <t xml:space="preserve">S2 · séance 3</t>
  </si>
  <si>
    <t xml:space="preserve">S2 · séance 4</t>
  </si>
  <si>
    <t xml:space="preserve">⏳ TAMPON P1 — rattrapage / remédiation</t>
  </si>
  <si>
    <t xml:space="preserve">S3 · séance 1</t>
  </si>
  <si>
    <t xml:space="preserve">S3 · séance 2</t>
  </si>
  <si>
    <t xml:space="preserve">S3 · séance 3</t>
  </si>
  <si>
    <t xml:space="preserve">S3 · séance 4</t>
  </si>
  <si>
    <t xml:space="preserve">S4 · séance 1</t>
  </si>
  <si>
    <t xml:space="preserve">S4 · séance 2</t>
  </si>
  <si>
    <t xml:space="preserve">⏳ TAMPON P2 — rattrapage / remédiation</t>
  </si>
  <si>
    <t xml:space="preserve">S4 · séance 3</t>
  </si>
  <si>
    <t xml:space="preserve">S4 · séance 4</t>
  </si>
  <si>
    <t xml:space="preserve">S4 · séance 5</t>
  </si>
  <si>
    <t xml:space="preserve">S5 · séance 1</t>
  </si>
  <si>
    <t xml:space="preserve">⏳ TAMPON P3 — rattrapage / remédiation</t>
  </si>
  <si>
    <t xml:space="preserve">S5 · séance 2</t>
  </si>
  <si>
    <t xml:space="preserve">S5 · séance 3</t>
  </si>
  <si>
    <t xml:space="preserve">S6 · séance 1</t>
  </si>
  <si>
    <t xml:space="preserve">S6 · séance 2</t>
  </si>
  <si>
    <t xml:space="preserve">S6 · séance 3</t>
  </si>
  <si>
    <t xml:space="preserve">S6 · séance 4</t>
  </si>
  <si>
    <t xml:space="preserve">S7 · séance 1</t>
  </si>
  <si>
    <t xml:space="preserve">⏳ TAMPON P4 — rattrapage / remédiation</t>
  </si>
  <si>
    <t xml:space="preserve">S7 · séance 2</t>
  </si>
  <si>
    <t xml:space="preserve">S7 · séance 3</t>
  </si>
  <si>
    <t xml:space="preserve">S7 · séance 4</t>
  </si>
  <si>
    <t xml:space="preserve">S7 · séance 5</t>
  </si>
  <si>
    <t xml:space="preserve">S7 · séance 6</t>
  </si>
  <si>
    <t xml:space="preserve">⏳ TAMPON P5 — réserve a</t>
  </si>
  <si>
    <t xml:space="preserve">⏳ TAMPON P5 — réserve b (revue de projet de secours)</t>
  </si>
  <si>
    <t xml:space="preserve">⏳ TAMPON P5 — réserve c (bilan de l'année)</t>
  </si>
  <si>
    <t xml:space="preserve">⏳ TAMPON P5 — réserve d (fin des cours)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</si>
</sst>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0"/>
      <color rgb="FF1F7A6E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53813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.5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80808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5"/>
      <color rgb="FF1F4E79"/>
      <name val="Arial"/>
      <family val="0"/>
      <charset val="1"/>
    </font>
    <font>
      <b val="true"/>
      <sz val="8"/>
      <name val="Arial"/>
      <family val="0"/>
      <charset val="1"/>
    </font>
    <font>
      <sz val="7"/>
      <color rgb="FF59595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10.5"/>
      <color rgb="FF1F4E7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4"/>
      <color rgb="FFC55A11"/>
      <name val="Arial"/>
      <family val="0"/>
      <charset val="1"/>
    </font>
    <font>
      <b val="true"/>
      <sz val="14"/>
      <color rgb="FF2E75B6"/>
      <name val="Arial"/>
      <family val="0"/>
      <charset val="1"/>
    </font>
    <font>
      <b val="true"/>
      <sz val="14"/>
      <color rgb="FF538135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D2347"/>
        <bgColor rgb="FF333333"/>
      </patternFill>
    </fill>
    <fill>
      <patternFill patternType="solid">
        <fgColor rgb="FF1F7A6E"/>
        <bgColor rgb="FF008080"/>
      </patternFill>
    </fill>
    <fill>
      <patternFill patternType="solid">
        <fgColor rgb="FFBF8F00"/>
        <bgColor rgb="FF808000"/>
      </patternFill>
    </fill>
    <fill>
      <patternFill patternType="solid">
        <fgColor rgb="FF808080"/>
        <bgColor rgb="FF969696"/>
      </patternFill>
    </fill>
    <fill>
      <patternFill patternType="solid">
        <fgColor rgb="FFFAFAFA"/>
        <bgColor rgb="FFFFFFFF"/>
      </patternFill>
    </fill>
    <fill>
      <patternFill patternType="solid">
        <fgColor rgb="FF2E75B6"/>
        <bgColor rgb="FF1F7A6E"/>
      </patternFill>
    </fill>
    <fill>
      <patternFill patternType="solid">
        <fgColor rgb="FF7030A0"/>
        <bgColor rgb="FF993366"/>
      </patternFill>
    </fill>
    <fill>
      <patternFill patternType="solid">
        <fgColor rgb="FF538135"/>
        <bgColor rgb="FF808000"/>
      </patternFill>
    </fill>
    <fill>
      <patternFill patternType="solid">
        <fgColor rgb="FFC55A11"/>
        <bgColor rgb="FF993300"/>
      </patternFill>
    </fill>
    <fill>
      <patternFill patternType="solid">
        <fgColor rgb="FFDDEBF7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DF2F2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E6DEEF"/>
        <bgColor rgb="FFDDEBF7"/>
      </patternFill>
    </fill>
    <fill>
      <patternFill patternType="solid">
        <fgColor rgb="FFF2F2F2"/>
        <bgColor rgb="FFFD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4" fillId="1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4" fillId="9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color rgb="FF808080"/>
        <sz val="10"/>
      </font>
      <fill>
        <patternFill>
          <bgColor rgb="FFF2F2F2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FFFFFF"/>
        <sz val="8"/>
      </font>
      <fill>
        <patternFill>
          <bgColor rgb="FFC55A11"/>
        </patternFill>
      </fill>
    </dxf>
    <dxf>
      <font>
        <name val="Arial"/>
        <charset val="1"/>
        <family val="0"/>
        <b val="1"/>
        <color rgb="FFFFFFFF"/>
        <sz val="8"/>
      </font>
      <fill>
        <patternFill>
          <bgColor rgb="FF2E75B6"/>
        </patternFill>
      </fill>
    </dxf>
    <dxf>
      <font>
        <name val="Arial"/>
        <charset val="1"/>
        <family val="0"/>
        <b val="1"/>
        <color rgb="FFFFFFFF"/>
        <sz val="8"/>
      </font>
      <fill>
        <patternFill>
          <bgColor rgb="FF538135"/>
        </patternFill>
      </fill>
    </dxf>
    <dxf>
      <fill>
        <patternFill>
          <bgColor rgb="FFF2F2F2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6E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E6DE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FDF2F2"/>
      <rgbColor rgb="FFFAFAFA"/>
      <rgbColor rgb="FFCC99FF"/>
      <rgbColor rgb="FFF8CBAD"/>
      <rgbColor rgb="FF2E75B6"/>
      <rgbColor rgb="FF33CCCC"/>
      <rgbColor rgb="FF99CC00"/>
      <rgbColor rgb="FFFFCC00"/>
      <rgbColor rgb="FFBF8F00"/>
      <rgbColor rgb="FFC55A11"/>
      <rgbColor rgb="FF595959"/>
      <rgbColor rgb="FF969696"/>
      <rgbColor rgb="FF0D2347"/>
      <rgbColor rgb="FF538135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rogression_Techno_5e_2026-2027_Martinique.xlsx" TargetMode="External"/><Relationship Id="rId2" Type="http://schemas.openxmlformats.org/officeDocument/2006/relationships/hyperlink" Target="Progression_Techno_5e_2026-2027_Martinique.xlsx" TargetMode="External"/><Relationship Id="rId3" Type="http://schemas.openxmlformats.org/officeDocument/2006/relationships/hyperlink" Target="Progression_Techno_5e_2026-2027_Martinique.xlsx" TargetMode="External"/><Relationship Id="rId4" Type="http://schemas.openxmlformats.org/officeDocument/2006/relationships/hyperlink" Target="Progression_Techno_5e_2026-2027_Martinique.xlsx" TargetMode="External"/><Relationship Id="rId5" Type="http://schemas.openxmlformats.org/officeDocument/2006/relationships/hyperlink" Target="Progression_Techno_5e_2026-2027_Martinique.xlsx" TargetMode="External"/><Relationship Id="rId6" Type="http://schemas.openxmlformats.org/officeDocument/2006/relationships/hyperlink" Target="Progression_Techno_5e_2026-2027_Martinique.xlsx" TargetMode="External"/><Relationship Id="rId7" Type="http://schemas.openxmlformats.org/officeDocument/2006/relationships/hyperlink" Target="Progression_Techno_5e_2026-2027_Martinique.xlsx" TargetMode="External"/><Relationship Id="rId8" Type="http://schemas.openxmlformats.org/officeDocument/2006/relationships/hyperlink" Target="Progression_Techno_5e_2026-2027_Martinique.xlsx" TargetMode="External"/><Relationship Id="rId9" Type="http://schemas.openxmlformats.org/officeDocument/2006/relationships/hyperlink" Target="Progression_Techno_5e_2026-2027_Martinique.xlsx" TargetMode="External"/><Relationship Id="rId10" Type="http://schemas.openxmlformats.org/officeDocument/2006/relationships/hyperlink" Target="Progression_Techno_5e_2026-2027_Martinique.xlsx" TargetMode="External"/><Relationship Id="rId11" Type="http://schemas.openxmlformats.org/officeDocument/2006/relationships/hyperlink" Target="Progression_Techno_5e_2026-2027_Martinique.xlsx" TargetMode="External"/><Relationship Id="rId12" Type="http://schemas.openxmlformats.org/officeDocument/2006/relationships/hyperlink" Target="Progression_Techno_5e_2026-2027_Martinique.xlsx" TargetMode="External"/><Relationship Id="rId13" Type="http://schemas.openxmlformats.org/officeDocument/2006/relationships/hyperlink" Target="https://pll-process.github.io/en-ligne-pour-le-cycle-4/index.html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Progression_Techno_5e_2026-2027_Martinique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Progression_Techno_5e_2026-2027_Martinique.xlsx" TargetMode="External"/><Relationship Id="rId2" Type="http://schemas.openxmlformats.org/officeDocument/2006/relationships/hyperlink" Target="Progression_Techno_5e_2026-2027_Martinique.xlsx" TargetMode="External"/><Relationship Id="rId3" Type="http://schemas.openxmlformats.org/officeDocument/2006/relationships/hyperlink" Target="Progression_Techno_5e_2026-2027_Martinique.xlsx" TargetMode="External"/><Relationship Id="rId4" Type="http://schemas.openxmlformats.org/officeDocument/2006/relationships/hyperlink" Target="Progression_Techno_5e_2026-2027_Martinique.xlsx" TargetMode="External"/><Relationship Id="rId5" Type="http://schemas.openxmlformats.org/officeDocument/2006/relationships/hyperlink" Target="Progression_Techno_5e_2026-2027_Martinique.xlsx" TargetMode="External"/><Relationship Id="rId6" Type="http://schemas.openxmlformats.org/officeDocument/2006/relationships/hyperlink" Target="Progression_Techno_5e_2026-2027_Martinique.xlsx" TargetMode="External"/><Relationship Id="rId7" Type="http://schemas.openxmlformats.org/officeDocument/2006/relationships/hyperlink" Target="Progression_Techno_5e_2026-2027_Martinique.xlsx" TargetMode="External"/><Relationship Id="rId8" Type="http://schemas.openxmlformats.org/officeDocument/2006/relationships/hyperlink" Target="Progression_Techno_5e_2026-2027_Martinique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Progression_Techno_5e_2026-2027_Martinique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Progression_Techno_5e_2026-2027_Martinique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Progression_Techno_5e_2026-2027_Martinique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Progression_Techno_5e_2026-2027_Martinique.xlsx" TargetMode="External"/><Relationship Id="rId2" Type="http://schemas.openxmlformats.org/officeDocument/2006/relationships/hyperlink" Target="Progression_Techno_5e_2026-2027_Martinique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Progression_Techno_5e_2026-2027_Martinique.xlsx" TargetMode="External"/><Relationship Id="rId2" Type="http://schemas.openxmlformats.org/officeDocument/2006/relationships/hyperlink" Target="Progression_Techno_5e_2026-2027_Martinique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Progression_Techno_5e_2026-2027_Martinique.xlsx" TargetMode="External"/><Relationship Id="rId2" Type="http://schemas.openxmlformats.org/officeDocument/2006/relationships/hyperlink" Target="Progression_Techno_5e_2026-2027_Martinique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Progression_Techno_5e_2026-2027_Martinique.xlsx" TargetMode="External"/><Relationship Id="rId2" Type="http://schemas.openxmlformats.org/officeDocument/2006/relationships/hyperlink" Target="Progression_Techno_5e_2026-2027_Martinique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Progression_Techno_5e_2026-2027_Martinique.xlsx" TargetMode="External"/><Relationship Id="rId2" Type="http://schemas.openxmlformats.org/officeDocument/2006/relationships/hyperlink" Target="Progression_Techno_5e_2026-2027_Martinique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Progression_Techno_5e_2026-2027_Martinique.xlsx" TargetMode="External"/><Relationship Id="rId2" Type="http://schemas.openxmlformats.org/officeDocument/2006/relationships/hyperlink" Target="Progression_Techno_5e_2026-2027_Martinique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Progression_Techno_5e_2026-2027_Martinique.xlsx" TargetMode="External"/><Relationship Id="rId2" Type="http://schemas.openxmlformats.org/officeDocument/2006/relationships/hyperlink" Target="Progression_Techno_5e_2026-2027_Martinique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347"/>
    <pageSetUpPr fitToPage="false"/>
  </sheetPr>
  <dimension ref="A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7" min="2" style="1" width="30"/>
    <col collapsed="false" customWidth="true" hidden="false" outlineLevel="0" max="8" min="8" style="1" width="2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true" outlineLevel="0" collapsed="false">
      <c r="A5" s="3" t="s">
        <v>1</v>
      </c>
      <c r="B5" s="3"/>
      <c r="C5" s="3"/>
      <c r="D5" s="3"/>
      <c r="E5" s="3"/>
      <c r="F5" s="3"/>
      <c r="G5" s="3"/>
      <c r="H5" s="3"/>
    </row>
    <row r="7" customFormat="false" ht="15.75" hidden="false" customHeight="true" outlineLevel="0" collapsed="false">
      <c r="B7" s="4" t="s">
        <v>2</v>
      </c>
    </row>
    <row r="8" customFormat="false" ht="30" hidden="false" customHeight="true" outlineLevel="0" collapsed="false">
      <c r="B8" s="5" t="s">
        <v>3</v>
      </c>
      <c r="C8" s="5"/>
      <c r="D8" s="6" t="n">
        <f aca="false">'🧭 Progression'!G11</f>
        <v>29</v>
      </c>
      <c r="E8" s="6"/>
      <c r="F8" s="7" t="s">
        <v>4</v>
      </c>
      <c r="G8" s="7"/>
    </row>
    <row r="9" customFormat="false" ht="15" hidden="false" customHeight="true" outlineLevel="0" collapsed="false">
      <c r="B9" s="8" t="s">
        <v>5</v>
      </c>
      <c r="C9" s="8"/>
      <c r="D9" s="9" t="s">
        <v>6</v>
      </c>
      <c r="E9" s="9"/>
      <c r="F9" s="10" t="s">
        <v>7</v>
      </c>
      <c r="G9" s="10"/>
    </row>
    <row r="11" customFormat="false" ht="30" hidden="false" customHeight="true" outlineLevel="0" collapsed="false">
      <c r="B11" s="11" t="s">
        <v>8</v>
      </c>
      <c r="C11" s="11"/>
      <c r="D11" s="12" t="s">
        <v>9</v>
      </c>
      <c r="E11" s="12"/>
      <c r="F11" s="13" t="s">
        <v>10</v>
      </c>
      <c r="G11" s="13"/>
    </row>
    <row r="12" customFormat="false" ht="15" hidden="false" customHeight="true" outlineLevel="0" collapsed="false">
      <c r="B12" s="14" t="s">
        <v>11</v>
      </c>
      <c r="C12" s="14"/>
      <c r="D12" s="15" t="s">
        <v>12</v>
      </c>
      <c r="E12" s="15"/>
      <c r="F12" s="16" t="s">
        <v>13</v>
      </c>
      <c r="G12" s="16"/>
    </row>
    <row r="14" customFormat="false" ht="15.75" hidden="false" customHeight="true" outlineLevel="0" collapsed="false">
      <c r="B14" s="4" t="s">
        <v>14</v>
      </c>
    </row>
    <row r="15" customFormat="false" ht="24" hidden="false" customHeight="true" outlineLevel="0" collapsed="false">
      <c r="B15" s="17" t="s">
        <v>15</v>
      </c>
      <c r="C15" s="18" t="s">
        <v>16</v>
      </c>
      <c r="D15" s="18"/>
      <c r="E15" s="17" t="s">
        <v>17</v>
      </c>
      <c r="F15" s="19" t="s">
        <v>18</v>
      </c>
    </row>
    <row r="16" customFormat="false" ht="24" hidden="false" customHeight="true" outlineLevel="0" collapsed="false">
      <c r="B16" s="20" t="s">
        <v>19</v>
      </c>
      <c r="C16" s="18" t="s">
        <v>20</v>
      </c>
      <c r="D16" s="18"/>
      <c r="E16" s="20" t="s">
        <v>21</v>
      </c>
      <c r="F16" s="19" t="s">
        <v>22</v>
      </c>
    </row>
    <row r="17" customFormat="false" ht="24" hidden="false" customHeight="true" outlineLevel="0" collapsed="false">
      <c r="B17" s="21" t="s">
        <v>23</v>
      </c>
      <c r="C17" s="18" t="s">
        <v>24</v>
      </c>
      <c r="D17" s="18"/>
      <c r="E17" s="22" t="s">
        <v>25</v>
      </c>
      <c r="F17" s="19" t="s">
        <v>26</v>
      </c>
    </row>
    <row r="18" customFormat="false" ht="24" hidden="false" customHeight="true" outlineLevel="0" collapsed="false">
      <c r="B18" s="22" t="s">
        <v>27</v>
      </c>
      <c r="C18" s="18" t="s">
        <v>28</v>
      </c>
      <c r="D18" s="18"/>
      <c r="E18" s="22" t="s">
        <v>29</v>
      </c>
      <c r="F18" s="19" t="s">
        <v>30</v>
      </c>
    </row>
    <row r="19" customFormat="false" ht="24" hidden="false" customHeight="true" outlineLevel="0" collapsed="false">
      <c r="B19" s="23" t="s">
        <v>31</v>
      </c>
      <c r="C19" s="18" t="s">
        <v>32</v>
      </c>
      <c r="D19" s="18"/>
      <c r="E19" s="23" t="s">
        <v>33</v>
      </c>
      <c r="F19" s="19" t="s">
        <v>34</v>
      </c>
    </row>
    <row r="20" customFormat="false" ht="24" hidden="false" customHeight="true" outlineLevel="0" collapsed="false">
      <c r="B20" s="23" t="s">
        <v>35</v>
      </c>
      <c r="C20" s="18" t="s">
        <v>36</v>
      </c>
      <c r="D20" s="18"/>
      <c r="E20" s="24" t="s">
        <v>37</v>
      </c>
      <c r="F20" s="19" t="s">
        <v>38</v>
      </c>
    </row>
    <row r="22" customFormat="false" ht="15.75" hidden="false" customHeight="true" outlineLevel="0" collapsed="false">
      <c r="B22" s="4" t="s">
        <v>39</v>
      </c>
    </row>
    <row r="23" customFormat="false" ht="36" hidden="false" customHeight="true" outlineLevel="0" collapsed="false">
      <c r="B23" s="25" t="s">
        <v>40</v>
      </c>
      <c r="C23" s="26" t="s">
        <v>41</v>
      </c>
      <c r="D23" s="26"/>
      <c r="E23" s="26"/>
      <c r="F23" s="26"/>
      <c r="G23" s="26"/>
    </row>
    <row r="24" customFormat="false" ht="60" hidden="false" customHeight="true" outlineLevel="0" collapsed="false">
      <c r="B24" s="25" t="s">
        <v>42</v>
      </c>
      <c r="C24" s="26" t="s">
        <v>43</v>
      </c>
      <c r="D24" s="26"/>
      <c r="E24" s="26"/>
      <c r="F24" s="26"/>
      <c r="G24" s="26"/>
    </row>
    <row r="25" customFormat="false" ht="30" hidden="false" customHeight="true" outlineLevel="0" collapsed="false">
      <c r="B25" s="25" t="s">
        <v>44</v>
      </c>
      <c r="C25" s="26" t="s">
        <v>45</v>
      </c>
      <c r="D25" s="26"/>
      <c r="E25" s="26"/>
      <c r="F25" s="26"/>
      <c r="G25" s="26"/>
    </row>
    <row r="26" customFormat="false" ht="30" hidden="false" customHeight="true" outlineLevel="0" collapsed="false">
      <c r="B26" s="25" t="s">
        <v>46</v>
      </c>
      <c r="C26" s="26" t="s">
        <v>47</v>
      </c>
      <c r="D26" s="26"/>
      <c r="E26" s="26"/>
      <c r="F26" s="26"/>
      <c r="G26" s="26"/>
    </row>
    <row r="27" customFormat="false" ht="30" hidden="false" customHeight="true" outlineLevel="0" collapsed="false">
      <c r="B27" s="25" t="s">
        <v>48</v>
      </c>
      <c r="C27" s="26" t="s">
        <v>49</v>
      </c>
      <c r="D27" s="26"/>
      <c r="E27" s="26"/>
      <c r="F27" s="26"/>
      <c r="G27" s="26"/>
    </row>
    <row r="29" customFormat="false" ht="15" hidden="false" customHeight="true" outlineLevel="0" collapsed="false">
      <c r="B29" s="27" t="s">
        <v>50</v>
      </c>
    </row>
  </sheetData>
  <mergeCells count="25">
    <mergeCell ref="A1:H4"/>
    <mergeCell ref="A5:H5"/>
    <mergeCell ref="B8:C8"/>
    <mergeCell ref="D8:E8"/>
    <mergeCell ref="F8:G8"/>
    <mergeCell ref="B9:C9"/>
    <mergeCell ref="D9:E9"/>
    <mergeCell ref="F9:G9"/>
    <mergeCell ref="B11:C11"/>
    <mergeCell ref="D11:E11"/>
    <mergeCell ref="F11:G11"/>
    <mergeCell ref="B12:C12"/>
    <mergeCell ref="D12:E12"/>
    <mergeCell ref="F12:G12"/>
    <mergeCell ref="C15:D15"/>
    <mergeCell ref="C16:D16"/>
    <mergeCell ref="C17:D17"/>
    <mergeCell ref="C18:D18"/>
    <mergeCell ref="C19:D19"/>
    <mergeCell ref="C20:D20"/>
    <mergeCell ref="C23:G23"/>
    <mergeCell ref="C24:G24"/>
    <mergeCell ref="C25:G25"/>
    <mergeCell ref="C26:G26"/>
    <mergeCell ref="C27:G27"/>
  </mergeCells>
  <hyperlinks>
    <hyperlink ref="B15" r:id="rId1" location="'📅%20Calendrier'!A1" display="▸ 📅 Calendrier"/>
    <hyperlink ref="E15" r:id="rId2" location="'🗓%20Frise%20de%20l'année'!A1" display="▸ 🗓 Frise de l'année"/>
    <hyperlink ref="B16" r:id="rId3" location="'📚%20Référentiel%20Cycle%204'!A1" display="▸ 📚 Référentiel Cycle 4"/>
    <hyperlink ref="E16" r:id="rId4" location="'📗%20Référentiel%205e'!A1" display="▸ 📗 Référentiel 5e"/>
    <hyperlink ref="B17" r:id="rId5" location="'🧭%20Progression'!A1" display="▸ 🧭 Progression"/>
    <hyperlink ref="E17" r:id="rId6" location="'S1'!A1" display="▸ S1"/>
    <hyperlink ref="B18" r:id="rId7" location="'S2'!A1" display="▸ S2"/>
    <hyperlink ref="E18" r:id="rId8" location="'S3'!A1" display="▸ S3"/>
    <hyperlink ref="B19" r:id="rId9" location="'S4'!A1" display="▸ S4"/>
    <hyperlink ref="E19" r:id="rId10" location="'S5'!A1" display="▸ S5"/>
    <hyperlink ref="B20" r:id="rId11" location="'S6'!A1" display="▸ S6"/>
    <hyperlink ref="E20" r:id="rId12" location="'S7'!A1" display="▸ S7"/>
    <hyperlink ref="B29" r:id="rId13" display="Classeur généré par Fable (IA du Thème 2) — dépôt : https://pll-process.github.io/en-ligne-pour-le-cycle-4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6E"/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3" min="3" style="1" width="9"/>
    <col collapsed="false" customWidth="true" hidden="false" outlineLevel="0" max="4" min="4" style="1" width="26"/>
    <col collapsed="false" customWidth="true" hidden="false" outlineLevel="0" max="5" min="5" style="1" width="34"/>
    <col collapsed="false" customWidth="true" hidden="false" outlineLevel="0" max="6" min="6" style="1" width="26"/>
    <col collapsed="false" customWidth="true" hidden="false" outlineLevel="0" max="7" min="7" style="1" width="24"/>
    <col collapsed="false" customWidth="true" hidden="false" outlineLevel="0" max="8" min="8" style="1" width="7"/>
  </cols>
  <sheetData>
    <row r="1" customFormat="false" ht="19.5" hidden="false" customHeight="true" outlineLevel="0" collapsed="false">
      <c r="A1" s="28" t="s">
        <v>51</v>
      </c>
    </row>
    <row r="2" customFormat="false" ht="15" hidden="false" customHeight="true" outlineLevel="0" collapsed="false">
      <c r="D2" s="29" t="str">
        <f aca="false">IF(COUNTIF($G$4:$G$44,"&lt;&gt;")&gt;8,"🛑 "&amp;COUNTIF($G$4:$G$44,"&lt;&gt;")&amp;" imprévus : la réserve (8) est dépassée — des séances sortent de l'année, arbitrage nécessaire !","✔ Réserve d'aléas : "&amp;(8-COUNTIF($G$4:$G$44,"&lt;&gt;"))&amp;" semaine(s) tampon restante(s) sur 8")</f>
        <v>✔ Réserve d'aléas : 8 semaine(s) tampon restante(s) sur 8</v>
      </c>
      <c r="E2" s="29"/>
      <c r="F2" s="30" t="s">
        <v>52</v>
      </c>
    </row>
    <row r="3" customFormat="false" ht="23.25" hidden="false" customHeight="true" outlineLevel="0" collapsed="false">
      <c r="A3" s="31" t="s">
        <v>53</v>
      </c>
      <c r="B3" s="31" t="s">
        <v>54</v>
      </c>
      <c r="C3" s="31" t="s">
        <v>55</v>
      </c>
      <c r="D3" s="31" t="s">
        <v>56</v>
      </c>
      <c r="E3" s="31" t="s">
        <v>57</v>
      </c>
      <c r="F3" s="31" t="s">
        <v>58</v>
      </c>
      <c r="G3" s="32" t="s">
        <v>59</v>
      </c>
      <c r="H3" s="33" t="s">
        <v>60</v>
      </c>
    </row>
    <row r="4" customFormat="false" ht="23.25" hidden="false" customHeight="true" outlineLevel="0" collapsed="false">
      <c r="A4" s="34" t="s">
        <v>61</v>
      </c>
      <c r="B4" s="35" t="s">
        <v>62</v>
      </c>
      <c r="C4" s="34" t="s">
        <v>63</v>
      </c>
      <c r="D4" s="36" t="str">
        <f aca="false">IF($G4&lt;&gt;"",$G4&amp;" — les séances suivantes se décalent d'une semaine",INDEX('⚙ Moteur'!$B$5:$B$41,$H4))</f>
        <v>S1 · séance 1</v>
      </c>
      <c r="E4" s="37" t="s">
        <v>64</v>
      </c>
      <c r="F4" s="37"/>
      <c r="G4" s="38"/>
      <c r="H4" s="39" t="n">
        <f aca="false">IF($G4&lt;&gt;"",0,0+1)</f>
        <v>1</v>
      </c>
    </row>
    <row r="5" customFormat="false" ht="15" hidden="false" customHeight="true" outlineLevel="0" collapsed="false">
      <c r="A5" s="34" t="s">
        <v>65</v>
      </c>
      <c r="B5" s="35" t="s">
        <v>66</v>
      </c>
      <c r="C5" s="34" t="s">
        <v>63</v>
      </c>
      <c r="D5" s="36" t="str">
        <f aca="false">IF($G5&lt;&gt;"",$G5&amp;" — les séances suivantes se décalent d'une semaine",INDEX('⚙ Moteur'!$B$5:$B$41,$H5))</f>
        <v>S1 · séance 2</v>
      </c>
      <c r="E5" s="36"/>
      <c r="F5" s="37"/>
      <c r="G5" s="38"/>
      <c r="H5" s="39" t="n">
        <f aca="false">IF($G5&lt;&gt;"",H4,H4+1)</f>
        <v>2</v>
      </c>
    </row>
    <row r="6" customFormat="false" ht="15" hidden="false" customHeight="true" outlineLevel="0" collapsed="false">
      <c r="A6" s="34" t="s">
        <v>67</v>
      </c>
      <c r="B6" s="35" t="s">
        <v>68</v>
      </c>
      <c r="C6" s="34" t="s">
        <v>63</v>
      </c>
      <c r="D6" s="36" t="str">
        <f aca="false">IF($G6&lt;&gt;"",$G6&amp;" — les séances suivantes se décalent d'une semaine",INDEX('⚙ Moteur'!$B$5:$B$41,$H6))</f>
        <v>S1 · séance 3</v>
      </c>
      <c r="E6" s="36"/>
      <c r="F6" s="37"/>
      <c r="G6" s="38"/>
      <c r="H6" s="39" t="n">
        <f aca="false">IF($G6&lt;&gt;"",H5,H5+1)</f>
        <v>3</v>
      </c>
    </row>
    <row r="7" customFormat="false" ht="15" hidden="false" customHeight="true" outlineLevel="0" collapsed="false">
      <c r="A7" s="34" t="s">
        <v>69</v>
      </c>
      <c r="B7" s="35" t="s">
        <v>70</v>
      </c>
      <c r="C7" s="34" t="s">
        <v>63</v>
      </c>
      <c r="D7" s="36" t="str">
        <f aca="false">IF($G7&lt;&gt;"",$G7&amp;" — les séances suivantes se décalent d'une semaine",INDEX('⚙ Moteur'!$B$5:$B$41,$H7))</f>
        <v>S2 · séance 1</v>
      </c>
      <c r="E7" s="36"/>
      <c r="F7" s="37"/>
      <c r="G7" s="38"/>
      <c r="H7" s="39" t="n">
        <f aca="false">IF($G7&lt;&gt;"",H6,H6+1)</f>
        <v>4</v>
      </c>
    </row>
    <row r="8" customFormat="false" ht="15" hidden="false" customHeight="true" outlineLevel="0" collapsed="false">
      <c r="A8" s="34" t="s">
        <v>71</v>
      </c>
      <c r="B8" s="35" t="s">
        <v>72</v>
      </c>
      <c r="C8" s="34" t="s">
        <v>63</v>
      </c>
      <c r="D8" s="36" t="str">
        <f aca="false">IF($G8&lt;&gt;"",$G8&amp;" — les séances suivantes se décalent d'une semaine",INDEX('⚙ Moteur'!$B$5:$B$41,$H8))</f>
        <v>S2 · séance 2</v>
      </c>
      <c r="E8" s="36"/>
      <c r="F8" s="37"/>
      <c r="G8" s="38"/>
      <c r="H8" s="39" t="n">
        <f aca="false">IF($G8&lt;&gt;"",H7,H7+1)</f>
        <v>5</v>
      </c>
    </row>
    <row r="9" customFormat="false" ht="15" hidden="false" customHeight="true" outlineLevel="0" collapsed="false">
      <c r="A9" s="34" t="s">
        <v>73</v>
      </c>
      <c r="B9" s="35" t="s">
        <v>74</v>
      </c>
      <c r="C9" s="34" t="s">
        <v>63</v>
      </c>
      <c r="D9" s="36" t="str">
        <f aca="false">IF($G9&lt;&gt;"",$G9&amp;" — les séances suivantes se décalent d'une semaine",INDEX('⚙ Moteur'!$B$5:$B$41,$H9))</f>
        <v>S2 · séance 3</v>
      </c>
      <c r="E9" s="36"/>
      <c r="F9" s="37"/>
      <c r="G9" s="38"/>
      <c r="H9" s="39" t="n">
        <f aca="false">IF($G9&lt;&gt;"",H8,H8+1)</f>
        <v>6</v>
      </c>
    </row>
    <row r="10" customFormat="false" ht="15" hidden="false" customHeight="true" outlineLevel="0" collapsed="false">
      <c r="A10" s="34" t="s">
        <v>75</v>
      </c>
      <c r="B10" s="35" t="s">
        <v>76</v>
      </c>
      <c r="C10" s="34" t="s">
        <v>63</v>
      </c>
      <c r="D10" s="36" t="str">
        <f aca="false">IF($G10&lt;&gt;"",$G10&amp;" — les séances suivantes se décalent d'une semaine",INDEX('⚙ Moteur'!$B$5:$B$41,$H10))</f>
        <v>S2 · séance 4</v>
      </c>
      <c r="E10" s="36"/>
      <c r="F10" s="37"/>
      <c r="G10" s="38"/>
      <c r="H10" s="39" t="n">
        <f aca="false">IF($G10&lt;&gt;"",H9,H9+1)</f>
        <v>7</v>
      </c>
    </row>
    <row r="11" customFormat="false" ht="23.25" hidden="false" customHeight="true" outlineLevel="0" collapsed="false">
      <c r="A11" s="34" t="s">
        <v>77</v>
      </c>
      <c r="B11" s="35" t="s">
        <v>78</v>
      </c>
      <c r="C11" s="34" t="s">
        <v>63</v>
      </c>
      <c r="D11" s="36" t="str">
        <f aca="false">IF($G11&lt;&gt;"",$G11&amp;" — les séances suivantes se décalent d'une semaine",INDEX('⚙ Moteur'!$B$5:$B$41,$H11))</f>
        <v>⏳ TAMPON P1 — rattrapage / remédiation</v>
      </c>
      <c r="E11" s="36"/>
      <c r="F11" s="37"/>
      <c r="G11" s="38"/>
      <c r="H11" s="39" t="n">
        <f aca="false">IF($G11&lt;&gt;"",H10,H10+1)</f>
        <v>8</v>
      </c>
    </row>
    <row r="12" customFormat="false" ht="15" hidden="false" customHeight="true" outlineLevel="0" collapsed="false">
      <c r="A12" s="40" t="s">
        <v>79</v>
      </c>
      <c r="B12" s="40"/>
      <c r="C12" s="40"/>
      <c r="D12" s="40"/>
      <c r="E12" s="40"/>
      <c r="F12" s="40"/>
    </row>
    <row r="13" customFormat="false" ht="15" hidden="false" customHeight="true" outlineLevel="0" collapsed="false">
      <c r="A13" s="41" t="s">
        <v>80</v>
      </c>
      <c r="B13" s="42" t="s">
        <v>81</v>
      </c>
      <c r="C13" s="41" t="s">
        <v>82</v>
      </c>
      <c r="D13" s="36" t="str">
        <f aca="false">IF($G13&lt;&gt;"",$G13&amp;" — les séances suivantes se décalent d'une semaine",INDEX('⚙ Moteur'!$B$5:$B$41,$H13))</f>
        <v>S3 · séance 1</v>
      </c>
      <c r="E13" s="36"/>
      <c r="F13" s="37"/>
      <c r="G13" s="38"/>
      <c r="H13" s="39" t="n">
        <f aca="false">IF($G13&lt;&gt;"",H11,H11+1)</f>
        <v>9</v>
      </c>
    </row>
    <row r="14" customFormat="false" ht="15" hidden="false" customHeight="true" outlineLevel="0" collapsed="false">
      <c r="A14" s="41" t="s">
        <v>83</v>
      </c>
      <c r="B14" s="42" t="s">
        <v>84</v>
      </c>
      <c r="C14" s="41" t="s">
        <v>82</v>
      </c>
      <c r="D14" s="36" t="str">
        <f aca="false">IF($G14&lt;&gt;"",$G14&amp;" — les séances suivantes se décalent d'une semaine",INDEX('⚙ Moteur'!$B$5:$B$41,$H14))</f>
        <v>S3 · séance 2</v>
      </c>
      <c r="E14" s="37" t="s">
        <v>85</v>
      </c>
      <c r="F14" s="37"/>
      <c r="G14" s="38"/>
      <c r="H14" s="39" t="n">
        <f aca="false">IF($G14&lt;&gt;"",H13,H13+1)</f>
        <v>10</v>
      </c>
    </row>
    <row r="15" customFormat="false" ht="15" hidden="false" customHeight="true" outlineLevel="0" collapsed="false">
      <c r="A15" s="41" t="s">
        <v>86</v>
      </c>
      <c r="B15" s="42" t="s">
        <v>87</v>
      </c>
      <c r="C15" s="41" t="s">
        <v>82</v>
      </c>
      <c r="D15" s="36" t="str">
        <f aca="false">IF($G15&lt;&gt;"",$G15&amp;" — les séances suivantes se décalent d'une semaine",INDEX('⚙ Moteur'!$B$5:$B$41,$H15))</f>
        <v>S3 · séance 3</v>
      </c>
      <c r="E15" s="36"/>
      <c r="F15" s="37"/>
      <c r="G15" s="38"/>
      <c r="H15" s="39" t="n">
        <f aca="false">IF($G15&lt;&gt;"",H14,H14+1)</f>
        <v>11</v>
      </c>
    </row>
    <row r="16" customFormat="false" ht="15" hidden="false" customHeight="true" outlineLevel="0" collapsed="false">
      <c r="A16" s="41" t="s">
        <v>88</v>
      </c>
      <c r="B16" s="42" t="s">
        <v>89</v>
      </c>
      <c r="C16" s="41" t="s">
        <v>82</v>
      </c>
      <c r="D16" s="36" t="str">
        <f aca="false">IF($G16&lt;&gt;"",$G16&amp;" — les séances suivantes se décalent d'une semaine",INDEX('⚙ Moteur'!$B$5:$B$41,$H16))</f>
        <v>S3 · séance 4</v>
      </c>
      <c r="E16" s="36"/>
      <c r="F16" s="37"/>
      <c r="G16" s="38"/>
      <c r="H16" s="39" t="n">
        <f aca="false">IF($G16&lt;&gt;"",H15,H15+1)</f>
        <v>12</v>
      </c>
    </row>
    <row r="17" customFormat="false" ht="15" hidden="false" customHeight="true" outlineLevel="0" collapsed="false">
      <c r="A17" s="41" t="s">
        <v>90</v>
      </c>
      <c r="B17" s="42" t="s">
        <v>91</v>
      </c>
      <c r="C17" s="41" t="s">
        <v>82</v>
      </c>
      <c r="D17" s="36" t="str">
        <f aca="false">IF($G17&lt;&gt;"",$G17&amp;" — les séances suivantes se décalent d'une semaine",INDEX('⚙ Moteur'!$B$5:$B$41,$H17))</f>
        <v>S4 · séance 1</v>
      </c>
      <c r="E17" s="36"/>
      <c r="F17" s="37"/>
      <c r="G17" s="38"/>
      <c r="H17" s="39" t="n">
        <f aca="false">IF($G17&lt;&gt;"",H16,H16+1)</f>
        <v>13</v>
      </c>
    </row>
    <row r="18" customFormat="false" ht="15" hidden="false" customHeight="true" outlineLevel="0" collapsed="false">
      <c r="A18" s="41" t="s">
        <v>92</v>
      </c>
      <c r="B18" s="42" t="s">
        <v>93</v>
      </c>
      <c r="C18" s="41" t="s">
        <v>82</v>
      </c>
      <c r="D18" s="36" t="str">
        <f aca="false">IF($G18&lt;&gt;"",$G18&amp;" — les séances suivantes se décalent d'une semaine",INDEX('⚙ Moteur'!$B$5:$B$41,$H18))</f>
        <v>S4 · séance 2</v>
      </c>
      <c r="E18" s="36"/>
      <c r="F18" s="37"/>
      <c r="G18" s="38"/>
      <c r="H18" s="39" t="n">
        <f aca="false">IF($G18&lt;&gt;"",H17,H17+1)</f>
        <v>14</v>
      </c>
    </row>
    <row r="19" customFormat="false" ht="23.25" hidden="false" customHeight="true" outlineLevel="0" collapsed="false">
      <c r="A19" s="41" t="s">
        <v>94</v>
      </c>
      <c r="B19" s="42" t="s">
        <v>95</v>
      </c>
      <c r="C19" s="41" t="s">
        <v>82</v>
      </c>
      <c r="D19" s="36" t="str">
        <f aca="false">IF($G19&lt;&gt;"",$G19&amp;" — les séances suivantes se décalent d'une semaine",INDEX('⚙ Moteur'!$B$5:$B$41,$H19))</f>
        <v>⏳ TAMPON P2 — rattrapage / remédiation</v>
      </c>
      <c r="E19" s="36"/>
      <c r="F19" s="37"/>
      <c r="G19" s="38"/>
      <c r="H19" s="39" t="n">
        <f aca="false">IF($G19&lt;&gt;"",H18,H18+1)</f>
        <v>15</v>
      </c>
    </row>
    <row r="20" customFormat="false" ht="15" hidden="false" customHeight="true" outlineLevel="0" collapsed="false">
      <c r="A20" s="40" t="s">
        <v>96</v>
      </c>
      <c r="B20" s="40"/>
      <c r="C20" s="40"/>
      <c r="D20" s="40"/>
      <c r="E20" s="40"/>
      <c r="F20" s="40"/>
    </row>
    <row r="21" customFormat="false" ht="15" hidden="false" customHeight="true" outlineLevel="0" collapsed="false">
      <c r="A21" s="43" t="s">
        <v>97</v>
      </c>
      <c r="B21" s="44" t="s">
        <v>98</v>
      </c>
      <c r="C21" s="43" t="s">
        <v>99</v>
      </c>
      <c r="D21" s="36" t="str">
        <f aca="false">IF($G21&lt;&gt;"",$G21&amp;" — les séances suivantes se décalent d'une semaine",INDEX('⚙ Moteur'!$B$5:$B$41,$H21))</f>
        <v>S4 · séance 3</v>
      </c>
      <c r="E21" s="36"/>
      <c r="F21" s="37"/>
      <c r="G21" s="38"/>
      <c r="H21" s="39" t="n">
        <f aca="false">IF($G21&lt;&gt;"",H19,H19+1)</f>
        <v>16</v>
      </c>
    </row>
    <row r="22" customFormat="false" ht="15" hidden="false" customHeight="true" outlineLevel="0" collapsed="false">
      <c r="A22" s="43" t="s">
        <v>100</v>
      </c>
      <c r="B22" s="44" t="s">
        <v>101</v>
      </c>
      <c r="C22" s="43" t="s">
        <v>99</v>
      </c>
      <c r="D22" s="36" t="str">
        <f aca="false">IF($G22&lt;&gt;"",$G22&amp;" — les séances suivantes se décalent d'une semaine",INDEX('⚙ Moteur'!$B$5:$B$41,$H22))</f>
        <v>S4 · séance 4</v>
      </c>
      <c r="E22" s="36"/>
      <c r="F22" s="37"/>
      <c r="G22" s="38"/>
      <c r="H22" s="39" t="n">
        <f aca="false">IF($G22&lt;&gt;"",H21,H21+1)</f>
        <v>17</v>
      </c>
    </row>
    <row r="23" customFormat="false" ht="15" hidden="false" customHeight="true" outlineLevel="0" collapsed="false">
      <c r="A23" s="43" t="s">
        <v>102</v>
      </c>
      <c r="B23" s="44" t="s">
        <v>103</v>
      </c>
      <c r="C23" s="43" t="s">
        <v>99</v>
      </c>
      <c r="D23" s="36" t="str">
        <f aca="false">IF($G23&lt;&gt;"",$G23&amp;" — les séances suivantes se décalent d'une semaine",INDEX('⚙ Moteur'!$B$5:$B$41,$H23))</f>
        <v>S4 · séance 5</v>
      </c>
      <c r="E23" s="36"/>
      <c r="F23" s="37"/>
      <c r="G23" s="38"/>
      <c r="H23" s="39" t="n">
        <f aca="false">IF($G23&lt;&gt;"",H22,H22+1)</f>
        <v>18</v>
      </c>
    </row>
    <row r="24" customFormat="false" ht="15" hidden="false" customHeight="true" outlineLevel="0" collapsed="false">
      <c r="A24" s="43" t="s">
        <v>104</v>
      </c>
      <c r="B24" s="44" t="s">
        <v>105</v>
      </c>
      <c r="C24" s="43" t="s">
        <v>99</v>
      </c>
      <c r="D24" s="36" t="str">
        <f aca="false">IF($G24&lt;&gt;"",$G24&amp;" — les séances suivantes se décalent d'une semaine",INDEX('⚙ Moteur'!$B$5:$B$41,$H24))</f>
        <v>S5 · séance 1</v>
      </c>
      <c r="E24" s="36"/>
      <c r="F24" s="37"/>
      <c r="G24" s="38"/>
      <c r="H24" s="39" t="n">
        <f aca="false">IF($G24&lt;&gt;"",H23,H23+1)</f>
        <v>19</v>
      </c>
    </row>
    <row r="25" customFormat="false" ht="23.25" hidden="false" customHeight="true" outlineLevel="0" collapsed="false">
      <c r="A25" s="43" t="s">
        <v>106</v>
      </c>
      <c r="B25" s="44" t="s">
        <v>107</v>
      </c>
      <c r="C25" s="43" t="s">
        <v>99</v>
      </c>
      <c r="D25" s="36" t="str">
        <f aca="false">IF($G25&lt;&gt;"",$G25&amp;" — les séances suivantes se décalent d'une semaine",INDEX('⚙ Moteur'!$B$5:$B$41,$H25))</f>
        <v>⏳ TAMPON P3 — rattrapage / remédiation</v>
      </c>
      <c r="E25" s="36"/>
      <c r="F25" s="37"/>
      <c r="G25" s="38"/>
      <c r="H25" s="39" t="n">
        <f aca="false">IF($G25&lt;&gt;"",H24,H24+1)</f>
        <v>20</v>
      </c>
    </row>
    <row r="26" customFormat="false" ht="15" hidden="false" customHeight="true" outlineLevel="0" collapsed="false">
      <c r="A26" s="40" t="s">
        <v>108</v>
      </c>
      <c r="B26" s="40"/>
      <c r="C26" s="40"/>
      <c r="D26" s="40"/>
      <c r="E26" s="40"/>
      <c r="F26" s="40"/>
    </row>
    <row r="27" customFormat="false" ht="15" hidden="false" customHeight="true" outlineLevel="0" collapsed="false">
      <c r="A27" s="45" t="s">
        <v>109</v>
      </c>
      <c r="B27" s="46" t="s">
        <v>110</v>
      </c>
      <c r="C27" s="45" t="s">
        <v>111</v>
      </c>
      <c r="D27" s="36" t="str">
        <f aca="false">IF($G27&lt;&gt;"",$G27&amp;" — les séances suivantes se décalent d'une semaine",INDEX('⚙ Moteur'!$B$5:$B$41,$H27))</f>
        <v>S5 · séance 2</v>
      </c>
      <c r="E27" s="36"/>
      <c r="F27" s="37"/>
      <c r="G27" s="38"/>
      <c r="H27" s="39" t="n">
        <f aca="false">IF($G27&lt;&gt;"",H25,H25+1)</f>
        <v>21</v>
      </c>
    </row>
    <row r="28" customFormat="false" ht="15" hidden="false" customHeight="true" outlineLevel="0" collapsed="false">
      <c r="A28" s="45" t="s">
        <v>112</v>
      </c>
      <c r="B28" s="46" t="s">
        <v>113</v>
      </c>
      <c r="C28" s="45" t="s">
        <v>111</v>
      </c>
      <c r="D28" s="36" t="str">
        <f aca="false">IF($G28&lt;&gt;"",$G28&amp;" — les séances suivantes se décalent d'une semaine",INDEX('⚙ Moteur'!$B$5:$B$41,$H28))</f>
        <v>S5 · séance 3</v>
      </c>
      <c r="E28" s="36"/>
      <c r="F28" s="37"/>
      <c r="G28" s="38"/>
      <c r="H28" s="39" t="n">
        <f aca="false">IF($G28&lt;&gt;"",H27,H27+1)</f>
        <v>22</v>
      </c>
    </row>
    <row r="29" customFormat="false" ht="15" hidden="false" customHeight="true" outlineLevel="0" collapsed="false">
      <c r="A29" s="45" t="s">
        <v>114</v>
      </c>
      <c r="B29" s="46" t="s">
        <v>115</v>
      </c>
      <c r="C29" s="45" t="s">
        <v>111</v>
      </c>
      <c r="D29" s="36" t="str">
        <f aca="false">IF($G29&lt;&gt;"",$G29&amp;" — les séances suivantes se décalent d'une semaine",INDEX('⚙ Moteur'!$B$5:$B$41,$H29))</f>
        <v>S6 · séance 1</v>
      </c>
      <c r="E29" s="36"/>
      <c r="F29" s="37"/>
      <c r="G29" s="38"/>
      <c r="H29" s="39" t="n">
        <f aca="false">IF($G29&lt;&gt;"",H28,H28+1)</f>
        <v>23</v>
      </c>
    </row>
    <row r="30" customFormat="false" ht="15" hidden="false" customHeight="true" outlineLevel="0" collapsed="false">
      <c r="A30" s="45" t="s">
        <v>116</v>
      </c>
      <c r="B30" s="46" t="s">
        <v>117</v>
      </c>
      <c r="C30" s="45" t="s">
        <v>111</v>
      </c>
      <c r="D30" s="36" t="str">
        <f aca="false">IF($G30&lt;&gt;"",$G30&amp;" — les séances suivantes se décalent d'une semaine",INDEX('⚙ Moteur'!$B$5:$B$41,$H30))</f>
        <v>S6 · séance 2</v>
      </c>
      <c r="E30" s="36"/>
      <c r="F30" s="37"/>
      <c r="G30" s="38"/>
      <c r="H30" s="39" t="n">
        <f aca="false">IF($G30&lt;&gt;"",H29,H29+1)</f>
        <v>24</v>
      </c>
    </row>
    <row r="31" customFormat="false" ht="23.25" hidden="false" customHeight="true" outlineLevel="0" collapsed="false">
      <c r="A31" s="45" t="s">
        <v>118</v>
      </c>
      <c r="B31" s="46" t="s">
        <v>119</v>
      </c>
      <c r="C31" s="45" t="s">
        <v>111</v>
      </c>
      <c r="D31" s="36" t="str">
        <f aca="false">IF($G31&lt;&gt;"",$G31&amp;" — les séances suivantes se décalent d'une semaine",INDEX('⚙ Moteur'!$B$5:$B$41,$H31))</f>
        <v>S6 · séance 3</v>
      </c>
      <c r="E31" s="37" t="s">
        <v>120</v>
      </c>
      <c r="F31" s="37"/>
      <c r="G31" s="38"/>
      <c r="H31" s="39" t="n">
        <f aca="false">IF($G31&lt;&gt;"",H30,H30+1)</f>
        <v>25</v>
      </c>
    </row>
    <row r="32" customFormat="false" ht="15" hidden="false" customHeight="true" outlineLevel="0" collapsed="false">
      <c r="A32" s="45" t="s">
        <v>121</v>
      </c>
      <c r="B32" s="46" t="s">
        <v>122</v>
      </c>
      <c r="C32" s="45" t="s">
        <v>111</v>
      </c>
      <c r="D32" s="36" t="str">
        <f aca="false">IF($G32&lt;&gt;"",$G32&amp;" — les séances suivantes se décalent d'une semaine",INDEX('⚙ Moteur'!$B$5:$B$41,$H32))</f>
        <v>S6 · séance 4</v>
      </c>
      <c r="E32" s="37" t="s">
        <v>123</v>
      </c>
      <c r="F32" s="37"/>
      <c r="G32" s="38"/>
      <c r="H32" s="39" t="n">
        <f aca="false">IF($G32&lt;&gt;"",H31,H31+1)</f>
        <v>26</v>
      </c>
    </row>
    <row r="33" customFormat="false" ht="15" hidden="false" customHeight="true" outlineLevel="0" collapsed="false">
      <c r="A33" s="45" t="s">
        <v>124</v>
      </c>
      <c r="B33" s="46" t="s">
        <v>125</v>
      </c>
      <c r="C33" s="45" t="s">
        <v>111</v>
      </c>
      <c r="D33" s="36" t="str">
        <f aca="false">IF($G33&lt;&gt;"",$G33&amp;" — les séances suivantes se décalent d'une semaine",INDEX('⚙ Moteur'!$B$5:$B$41,$H33))</f>
        <v>S7 · séance 1</v>
      </c>
      <c r="E33" s="36"/>
      <c r="F33" s="37"/>
      <c r="G33" s="38"/>
      <c r="H33" s="39" t="n">
        <f aca="false">IF($G33&lt;&gt;"",H32,H32+1)</f>
        <v>27</v>
      </c>
    </row>
    <row r="34" customFormat="false" ht="23.25" hidden="false" customHeight="true" outlineLevel="0" collapsed="false">
      <c r="A34" s="45" t="s">
        <v>126</v>
      </c>
      <c r="B34" s="46" t="s">
        <v>127</v>
      </c>
      <c r="C34" s="45" t="s">
        <v>111</v>
      </c>
      <c r="D34" s="36" t="str">
        <f aca="false">IF($G34&lt;&gt;"",$G34&amp;" — les séances suivantes se décalent d'une semaine",INDEX('⚙ Moteur'!$B$5:$B$41,$H34))</f>
        <v>⏳ TAMPON P4 — rattrapage / remédiation</v>
      </c>
      <c r="E34" s="36"/>
      <c r="F34" s="37"/>
      <c r="G34" s="38"/>
      <c r="H34" s="39" t="n">
        <f aca="false">IF($G34&lt;&gt;"",H33,H33+1)</f>
        <v>28</v>
      </c>
    </row>
    <row r="35" customFormat="false" ht="15" hidden="false" customHeight="true" outlineLevel="0" collapsed="false">
      <c r="A35" s="40" t="s">
        <v>128</v>
      </c>
      <c r="B35" s="40"/>
      <c r="C35" s="40"/>
      <c r="D35" s="40"/>
      <c r="E35" s="40"/>
      <c r="F35" s="40"/>
    </row>
    <row r="36" customFormat="false" ht="23.25" hidden="false" customHeight="true" outlineLevel="0" collapsed="false">
      <c r="A36" s="47" t="s">
        <v>129</v>
      </c>
      <c r="B36" s="37" t="s">
        <v>130</v>
      </c>
      <c r="C36" s="47" t="s">
        <v>131</v>
      </c>
      <c r="D36" s="36" t="str">
        <f aca="false">IF($G36&lt;&gt;"",$G36&amp;" — les séances suivantes se décalent d'une semaine",INDEX('⚙ Moteur'!$B$5:$B$41,$H36))</f>
        <v>S7 · séance 2</v>
      </c>
      <c r="E36" s="37" t="s">
        <v>132</v>
      </c>
      <c r="F36" s="37"/>
      <c r="G36" s="38"/>
      <c r="H36" s="39" t="n">
        <f aca="false">IF($G36&lt;&gt;"",H34,H34+1)</f>
        <v>29</v>
      </c>
    </row>
    <row r="37" customFormat="false" ht="15" hidden="false" customHeight="true" outlineLevel="0" collapsed="false">
      <c r="A37" s="47" t="s">
        <v>133</v>
      </c>
      <c r="B37" s="37" t="s">
        <v>134</v>
      </c>
      <c r="C37" s="47" t="s">
        <v>131</v>
      </c>
      <c r="D37" s="36" t="str">
        <f aca="false">IF($G37&lt;&gt;"",$G37&amp;" — les séances suivantes se décalent d'une semaine",INDEX('⚙ Moteur'!$B$5:$B$41,$H37))</f>
        <v>S7 · séance 3</v>
      </c>
      <c r="E37" s="36"/>
      <c r="F37" s="37"/>
      <c r="G37" s="38"/>
      <c r="H37" s="39" t="n">
        <f aca="false">IF($G37&lt;&gt;"",H36,H36+1)</f>
        <v>30</v>
      </c>
    </row>
    <row r="38" customFormat="false" ht="34.5" hidden="false" customHeight="true" outlineLevel="0" collapsed="false">
      <c r="A38" s="47" t="s">
        <v>135</v>
      </c>
      <c r="B38" s="37" t="s">
        <v>136</v>
      </c>
      <c r="C38" s="47" t="s">
        <v>131</v>
      </c>
      <c r="D38" s="36" t="str">
        <f aca="false">IF($G38&lt;&gt;"",$G38&amp;" — les séances suivantes se décalent d'une semaine",INDEX('⚙ Moteur'!$B$5:$B$41,$H38))</f>
        <v>S7 · séance 4</v>
      </c>
      <c r="E38" s="37" t="s">
        <v>137</v>
      </c>
      <c r="F38" s="37"/>
      <c r="G38" s="38"/>
      <c r="H38" s="39" t="n">
        <f aca="false">IF($G38&lt;&gt;"",H37,H37+1)</f>
        <v>31</v>
      </c>
    </row>
    <row r="39" customFormat="false" ht="15" hidden="false" customHeight="true" outlineLevel="0" collapsed="false">
      <c r="A39" s="47" t="s">
        <v>138</v>
      </c>
      <c r="B39" s="37" t="s">
        <v>139</v>
      </c>
      <c r="C39" s="47" t="s">
        <v>131</v>
      </c>
      <c r="D39" s="36" t="str">
        <f aca="false">IF($G39&lt;&gt;"",$G39&amp;" — les séances suivantes se décalent d'une semaine",INDEX('⚙ Moteur'!$B$5:$B$41,$H39))</f>
        <v>S7 · séance 5</v>
      </c>
      <c r="E39" s="36"/>
      <c r="F39" s="37"/>
      <c r="G39" s="38"/>
      <c r="H39" s="39" t="n">
        <f aca="false">IF($G39&lt;&gt;"",H38,H38+1)</f>
        <v>32</v>
      </c>
    </row>
    <row r="40" customFormat="false" ht="15" hidden="false" customHeight="true" outlineLevel="0" collapsed="false">
      <c r="A40" s="47" t="s">
        <v>140</v>
      </c>
      <c r="B40" s="37" t="s">
        <v>141</v>
      </c>
      <c r="C40" s="47" t="s">
        <v>131</v>
      </c>
      <c r="D40" s="36" t="str">
        <f aca="false">IF($G40&lt;&gt;"",$G40&amp;" — les séances suivantes se décalent d'une semaine",INDEX('⚙ Moteur'!$B$5:$B$41,$H40))</f>
        <v>S7 · séance 6</v>
      </c>
      <c r="E40" s="36"/>
      <c r="F40" s="37"/>
      <c r="G40" s="38"/>
      <c r="H40" s="39" t="n">
        <f aca="false">IF($G40&lt;&gt;"",H39,H39+1)</f>
        <v>33</v>
      </c>
    </row>
    <row r="41" customFormat="false" ht="15" hidden="false" customHeight="true" outlineLevel="0" collapsed="false">
      <c r="A41" s="47" t="s">
        <v>142</v>
      </c>
      <c r="B41" s="37" t="s">
        <v>143</v>
      </c>
      <c r="C41" s="47" t="s">
        <v>131</v>
      </c>
      <c r="D41" s="36" t="str">
        <f aca="false">IF($G41&lt;&gt;"",$G41&amp;" — les séances suivantes se décalent d'une semaine",INDEX('⚙ Moteur'!$B$5:$B$41,$H41))</f>
        <v>⏳ TAMPON P5 — réserve a</v>
      </c>
      <c r="E41" s="36"/>
      <c r="F41" s="37"/>
      <c r="G41" s="38"/>
      <c r="H41" s="39" t="n">
        <f aca="false">IF($G41&lt;&gt;"",H40,H40+1)</f>
        <v>34</v>
      </c>
    </row>
    <row r="42" customFormat="false" ht="23.25" hidden="false" customHeight="true" outlineLevel="0" collapsed="false">
      <c r="A42" s="47" t="s">
        <v>144</v>
      </c>
      <c r="B42" s="37" t="s">
        <v>145</v>
      </c>
      <c r="C42" s="47" t="s">
        <v>131</v>
      </c>
      <c r="D42" s="36" t="str">
        <f aca="false">IF($G42&lt;&gt;"",$G42&amp;" — les séances suivantes se décalent d'une semaine",INDEX('⚙ Moteur'!$B$5:$B$41,$H42))</f>
        <v>⏳ TAMPON P5 — réserve b (revue de projet de secours)</v>
      </c>
      <c r="E42" s="36"/>
      <c r="F42" s="37"/>
      <c r="G42" s="38"/>
      <c r="H42" s="39" t="n">
        <f aca="false">IF($G42&lt;&gt;"",H41,H41+1)</f>
        <v>35</v>
      </c>
    </row>
    <row r="43" customFormat="false" ht="23.25" hidden="false" customHeight="true" outlineLevel="0" collapsed="false">
      <c r="A43" s="47" t="s">
        <v>146</v>
      </c>
      <c r="B43" s="37" t="s">
        <v>147</v>
      </c>
      <c r="C43" s="47" t="s">
        <v>131</v>
      </c>
      <c r="D43" s="36" t="str">
        <f aca="false">IF($G43&lt;&gt;"",$G43&amp;" — les séances suivantes se décalent d'une semaine",INDEX('⚙ Moteur'!$B$5:$B$41,$H43))</f>
        <v>⏳ TAMPON P5 — réserve c (bilan de l'année)</v>
      </c>
      <c r="E43" s="36"/>
      <c r="F43" s="37"/>
      <c r="G43" s="38"/>
      <c r="H43" s="39" t="n">
        <f aca="false">IF($G43&lt;&gt;"",H42,H42+1)</f>
        <v>36</v>
      </c>
    </row>
    <row r="44" customFormat="false" ht="23.25" hidden="false" customHeight="true" outlineLevel="0" collapsed="false">
      <c r="A44" s="47" t="s">
        <v>148</v>
      </c>
      <c r="B44" s="37" t="s">
        <v>149</v>
      </c>
      <c r="C44" s="47" t="s">
        <v>131</v>
      </c>
      <c r="D44" s="36" t="str">
        <f aca="false">IF($G44&lt;&gt;"",$G44&amp;" — les séances suivantes se décalent d'une semaine",INDEX('⚙ Moteur'!$B$5:$B$41,$H44))</f>
        <v>⏳ TAMPON P5 — réserve d (fin des cours)</v>
      </c>
      <c r="E44" s="36"/>
      <c r="F44" s="37"/>
      <c r="G44" s="38"/>
      <c r="H44" s="39" t="n">
        <f aca="false">IF($G44&lt;&gt;"",H43,H43+1)</f>
        <v>37</v>
      </c>
    </row>
    <row r="45" customFormat="false" ht="15" hidden="false" customHeight="true" outlineLevel="0" collapsed="false">
      <c r="A45" s="40" t="s">
        <v>150</v>
      </c>
      <c r="B45" s="40"/>
      <c r="C45" s="40"/>
      <c r="D45" s="40"/>
      <c r="E45" s="40"/>
      <c r="F45" s="40"/>
    </row>
    <row r="47" customFormat="false" ht="15" hidden="false" customHeight="true" outlineLevel="0" collapsed="false">
      <c r="A47" s="48" t="s">
        <v>151</v>
      </c>
    </row>
    <row r="48" customFormat="false" ht="15" hidden="false" customHeight="true" outlineLevel="0" collapsed="false">
      <c r="B48" s="49" t="s">
        <v>152</v>
      </c>
      <c r="C48" s="49" t="n">
        <f aca="false">COUNTIF(C4:C45,"P1")+COUNTIF(C4:C45,"P2")+COUNTIF(C4:C45,"P3")+COUNTIF(C4:C45,"P4")+COUNTIF(C4:C45,"P5")</f>
        <v>37</v>
      </c>
    </row>
    <row r="49" customFormat="false" ht="15" hidden="false" customHeight="true" outlineLevel="0" collapsed="false">
      <c r="B49" s="49" t="s">
        <v>153</v>
      </c>
      <c r="C49" s="49" t="n">
        <f aca="false">COUNTIF(D4:D44,"⏳*")</f>
        <v>8</v>
      </c>
    </row>
    <row r="50" customFormat="false" ht="15" hidden="false" customHeight="true" outlineLevel="0" collapsed="false">
      <c r="B50" s="49" t="s">
        <v>154</v>
      </c>
      <c r="C50" s="49" t="n">
        <f aca="false">COUNTIF(D4:D44,"S*")</f>
        <v>29</v>
      </c>
    </row>
    <row r="51" customFormat="false" ht="15" hidden="false" customHeight="true" outlineLevel="0" collapsed="false">
      <c r="B51" s="27" t="s">
        <v>155</v>
      </c>
    </row>
  </sheetData>
  <mergeCells count="6">
    <mergeCell ref="D2:E2"/>
    <mergeCell ref="A12:F12"/>
    <mergeCell ref="A20:F20"/>
    <mergeCell ref="A26:F26"/>
    <mergeCell ref="A35:F35"/>
    <mergeCell ref="A45:F45"/>
  </mergeCells>
  <conditionalFormatting sqref="D4:D44">
    <cfRule type="expression" priority="2" aboveAverage="0" equalAverage="0" bottom="0" percent="0" rank="0" text="" dxfId="0">
      <formula>LEFT(D4,1)="⏳"</formula>
    </cfRule>
    <cfRule type="expression" priority="3" aboveAverage="0" equalAverage="0" bottom="0" percent="0" rank="0" text="" dxfId="1">
      <formula>LEFT(D4,1)="⚠"</formula>
    </cfRule>
  </conditionalFormatting>
  <dataValidations count="1">
    <dataValidation allowBlank="true" errorStyle="stop" operator="between" prompt="Choisir l'imprévu : la séance de cette semaine est neutralisée et tout se décale automatiquement." promptTitle="Semaine neutralisée" showDropDown="false" showErrorMessage="false" showInputMessage="false" sqref="G4:G11 G13:G19 G21:G25 G27:G34 G36:G44" type="list">
      <formula1>"⚠ Absence professeur,⚠ Sortie scolaire,⚠ Fête de la science,⚠ Voyage ERASMUS,⚠ Manifestation (collègue),⚠ Classe absente,⚠ Autre imprévu"</formula1>
      <formula2>0</formula2>
    </dataValidation>
  </dataValidations>
  <hyperlinks>
    <hyperlink ref="F2" r:id="rId1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6E"/>
    <pageSetUpPr fitToPage="true"/>
  </sheetPr>
  <dimension ref="A1:A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39" min="3" style="1" width="4.2"/>
  </cols>
  <sheetData>
    <row r="1" customFormat="false" ht="18" hidden="false" customHeight="true" outlineLevel="0" collapsed="false">
      <c r="A1" s="50" t="s">
        <v>156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customFormat="false" ht="15" hidden="false" customHeight="true" outlineLevel="0" collapsed="false">
      <c r="B2" s="29" t="str">
        <f aca="false">'📅 Calendrier'!D2</f>
        <v>✔ Réserve d'aléas : 8 semaine(s) tampon restante(s) sur 8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P2" s="51" t="s">
        <v>52</v>
      </c>
    </row>
    <row r="3" customFormat="false" ht="15" hidden="false" customHeight="true" outlineLevel="0" collapsed="false">
      <c r="C3" s="52" t="s">
        <v>157</v>
      </c>
      <c r="D3" s="52"/>
      <c r="E3" s="52"/>
      <c r="F3" s="52"/>
      <c r="G3" s="52"/>
      <c r="H3" s="52"/>
      <c r="I3" s="52"/>
      <c r="J3" s="52"/>
      <c r="K3" s="53" t="s">
        <v>158</v>
      </c>
      <c r="L3" s="53"/>
      <c r="M3" s="53"/>
      <c r="N3" s="53"/>
      <c r="O3" s="53"/>
      <c r="P3" s="53"/>
      <c r="Q3" s="53"/>
      <c r="R3" s="54" t="s">
        <v>159</v>
      </c>
      <c r="S3" s="54"/>
      <c r="T3" s="54"/>
      <c r="U3" s="54"/>
      <c r="V3" s="54"/>
      <c r="W3" s="55" t="s">
        <v>160</v>
      </c>
      <c r="X3" s="55"/>
      <c r="Y3" s="55"/>
      <c r="Z3" s="55"/>
      <c r="AA3" s="55"/>
      <c r="AB3" s="55"/>
      <c r="AC3" s="55"/>
      <c r="AD3" s="55"/>
      <c r="AE3" s="56" t="s">
        <v>161</v>
      </c>
      <c r="AF3" s="56"/>
      <c r="AG3" s="56"/>
      <c r="AH3" s="56"/>
      <c r="AI3" s="56"/>
      <c r="AJ3" s="56"/>
      <c r="AK3" s="56"/>
      <c r="AL3" s="56"/>
      <c r="AM3" s="56"/>
    </row>
    <row r="4" customFormat="false" ht="15" hidden="false" customHeight="true" outlineLevel="0" collapsed="false">
      <c r="C4" s="57" t="s">
        <v>61</v>
      </c>
      <c r="D4" s="57" t="s">
        <v>65</v>
      </c>
      <c r="E4" s="57" t="s">
        <v>67</v>
      </c>
      <c r="F4" s="57" t="s">
        <v>69</v>
      </c>
      <c r="G4" s="57" t="s">
        <v>71</v>
      </c>
      <c r="H4" s="57" t="s">
        <v>73</v>
      </c>
      <c r="I4" s="57" t="s">
        <v>75</v>
      </c>
      <c r="J4" s="57" t="s">
        <v>77</v>
      </c>
      <c r="K4" s="58" t="s">
        <v>80</v>
      </c>
      <c r="L4" s="58" t="s">
        <v>83</v>
      </c>
      <c r="M4" s="58" t="s">
        <v>86</v>
      </c>
      <c r="N4" s="58" t="s">
        <v>88</v>
      </c>
      <c r="O4" s="58" t="s">
        <v>90</v>
      </c>
      <c r="P4" s="58" t="s">
        <v>92</v>
      </c>
      <c r="Q4" s="58" t="s">
        <v>94</v>
      </c>
      <c r="R4" s="59" t="s">
        <v>97</v>
      </c>
      <c r="S4" s="59" t="s">
        <v>100</v>
      </c>
      <c r="T4" s="59" t="s">
        <v>102</v>
      </c>
      <c r="U4" s="59" t="s">
        <v>104</v>
      </c>
      <c r="V4" s="59" t="s">
        <v>106</v>
      </c>
      <c r="W4" s="60" t="s">
        <v>109</v>
      </c>
      <c r="X4" s="60" t="s">
        <v>112</v>
      </c>
      <c r="Y4" s="60" t="s">
        <v>114</v>
      </c>
      <c r="Z4" s="60" t="s">
        <v>116</v>
      </c>
      <c r="AA4" s="60" t="s">
        <v>118</v>
      </c>
      <c r="AB4" s="60" t="s">
        <v>121</v>
      </c>
      <c r="AC4" s="60" t="s">
        <v>124</v>
      </c>
      <c r="AD4" s="60" t="s">
        <v>126</v>
      </c>
      <c r="AE4" s="61" t="s">
        <v>129</v>
      </c>
      <c r="AF4" s="61" t="s">
        <v>133</v>
      </c>
      <c r="AG4" s="61" t="s">
        <v>135</v>
      </c>
      <c r="AH4" s="61" t="s">
        <v>138</v>
      </c>
      <c r="AI4" s="61" t="s">
        <v>140</v>
      </c>
      <c r="AJ4" s="61" t="s">
        <v>142</v>
      </c>
      <c r="AK4" s="61" t="s">
        <v>144</v>
      </c>
      <c r="AL4" s="61" t="s">
        <v>146</v>
      </c>
      <c r="AM4" s="61" t="s">
        <v>148</v>
      </c>
    </row>
    <row r="5" customFormat="false" ht="33.75" hidden="false" customHeight="true" outlineLevel="0" collapsed="false">
      <c r="C5" s="62" t="s">
        <v>162</v>
      </c>
      <c r="D5" s="62" t="s">
        <v>163</v>
      </c>
      <c r="E5" s="62" t="s">
        <v>164</v>
      </c>
      <c r="F5" s="62" t="s">
        <v>165</v>
      </c>
      <c r="G5" s="62" t="s">
        <v>166</v>
      </c>
      <c r="H5" s="62" t="s">
        <v>167</v>
      </c>
      <c r="I5" s="62" t="s">
        <v>168</v>
      </c>
      <c r="J5" s="62" t="s">
        <v>169</v>
      </c>
      <c r="K5" s="62" t="s">
        <v>170</v>
      </c>
      <c r="L5" s="62" t="s">
        <v>171</v>
      </c>
      <c r="M5" s="62" t="s">
        <v>172</v>
      </c>
      <c r="N5" s="62" t="s">
        <v>173</v>
      </c>
      <c r="O5" s="62" t="s">
        <v>174</v>
      </c>
      <c r="P5" s="62" t="s">
        <v>175</v>
      </c>
      <c r="Q5" s="62" t="s">
        <v>176</v>
      </c>
      <c r="R5" s="62" t="s">
        <v>177</v>
      </c>
      <c r="S5" s="62" t="s">
        <v>178</v>
      </c>
      <c r="T5" s="62" t="s">
        <v>179</v>
      </c>
      <c r="U5" s="62" t="s">
        <v>180</v>
      </c>
      <c r="V5" s="62" t="s">
        <v>181</v>
      </c>
      <c r="W5" s="62" t="s">
        <v>182</v>
      </c>
      <c r="X5" s="62" t="s">
        <v>183</v>
      </c>
      <c r="Y5" s="62" t="s">
        <v>184</v>
      </c>
      <c r="Z5" s="62" t="s">
        <v>185</v>
      </c>
      <c r="AA5" s="62" t="s">
        <v>186</v>
      </c>
      <c r="AB5" s="62" t="s">
        <v>187</v>
      </c>
      <c r="AC5" s="62" t="s">
        <v>188</v>
      </c>
      <c r="AD5" s="62" t="s">
        <v>189</v>
      </c>
      <c r="AE5" s="62" t="s">
        <v>190</v>
      </c>
      <c r="AF5" s="62" t="s">
        <v>191</v>
      </c>
      <c r="AG5" s="62" t="s">
        <v>192</v>
      </c>
      <c r="AH5" s="62" t="s">
        <v>193</v>
      </c>
      <c r="AI5" s="62" t="s">
        <v>194</v>
      </c>
      <c r="AJ5" s="62" t="s">
        <v>195</v>
      </c>
      <c r="AK5" s="62" t="s">
        <v>196</v>
      </c>
      <c r="AL5" s="62" t="s">
        <v>197</v>
      </c>
      <c r="AM5" s="62" t="s">
        <v>198</v>
      </c>
    </row>
    <row r="6" customFormat="false" ht="15" hidden="false" customHeight="true" outlineLevel="0" collapsed="false">
      <c r="B6" s="63" t="s">
        <v>199</v>
      </c>
      <c r="C6" s="64" t="str">
        <f aca="false">IF(LEFT('📅 Calendrier'!$D4,2)="S1",MID('📅 Calendrier'!$D4,SEARCH("séance",'📅 Calendrier'!$D4)+7,2),"")</f>
        <v>1</v>
      </c>
      <c r="D6" s="64" t="str">
        <f aca="false">IF(LEFT('📅 Calendrier'!$D5,2)="S1",MID('📅 Calendrier'!$D5,SEARCH("séance",'📅 Calendrier'!$D5)+7,2),"")</f>
        <v>2</v>
      </c>
      <c r="E6" s="64" t="str">
        <f aca="false">IF(LEFT('📅 Calendrier'!$D6,2)="S1",MID('📅 Calendrier'!$D6,SEARCH("séance",'📅 Calendrier'!$D6)+7,2),"")</f>
        <v>3</v>
      </c>
      <c r="F6" s="64" t="str">
        <f aca="false">IF(LEFT('📅 Calendrier'!$D7,2)="S1",MID('📅 Calendrier'!$D7,SEARCH("séance",'📅 Calendrier'!$D7)+7,2),"")</f>
        <v/>
      </c>
      <c r="G6" s="64" t="str">
        <f aca="false">IF(LEFT('📅 Calendrier'!$D8,2)="S1",MID('📅 Calendrier'!$D8,SEARCH("séance",'📅 Calendrier'!$D8)+7,2),"")</f>
        <v/>
      </c>
      <c r="H6" s="64" t="str">
        <f aca="false">IF(LEFT('📅 Calendrier'!$D9,2)="S1",MID('📅 Calendrier'!$D9,SEARCH("séance",'📅 Calendrier'!$D9)+7,2),"")</f>
        <v/>
      </c>
      <c r="I6" s="64" t="str">
        <f aca="false">IF(LEFT('📅 Calendrier'!$D10,2)="S1",MID('📅 Calendrier'!$D10,SEARCH("séance",'📅 Calendrier'!$D10)+7,2),"")</f>
        <v/>
      </c>
      <c r="J6" s="64" t="str">
        <f aca="false">IF(LEFT('📅 Calendrier'!$D11,2)="S1",MID('📅 Calendrier'!$D11,SEARCH("séance",'📅 Calendrier'!$D11)+7,2),"")</f>
        <v/>
      </c>
      <c r="K6" s="64" t="str">
        <f aca="false">IF(LEFT('📅 Calendrier'!$D13,2)="S1",MID('📅 Calendrier'!$D13,SEARCH("séance",'📅 Calendrier'!$D13)+7,2),"")</f>
        <v/>
      </c>
      <c r="L6" s="64" t="str">
        <f aca="false">IF(LEFT('📅 Calendrier'!$D14,2)="S1",MID('📅 Calendrier'!$D14,SEARCH("séance",'📅 Calendrier'!$D14)+7,2),"")</f>
        <v/>
      </c>
      <c r="M6" s="64" t="str">
        <f aca="false">IF(LEFT('📅 Calendrier'!$D15,2)="S1",MID('📅 Calendrier'!$D15,SEARCH("séance",'📅 Calendrier'!$D15)+7,2),"")</f>
        <v/>
      </c>
      <c r="N6" s="64" t="str">
        <f aca="false">IF(LEFT('📅 Calendrier'!$D16,2)="S1",MID('📅 Calendrier'!$D16,SEARCH("séance",'📅 Calendrier'!$D16)+7,2),"")</f>
        <v/>
      </c>
      <c r="O6" s="64" t="str">
        <f aca="false">IF(LEFT('📅 Calendrier'!$D17,2)="S1",MID('📅 Calendrier'!$D17,SEARCH("séance",'📅 Calendrier'!$D17)+7,2),"")</f>
        <v/>
      </c>
      <c r="P6" s="64" t="str">
        <f aca="false">IF(LEFT('📅 Calendrier'!$D18,2)="S1",MID('📅 Calendrier'!$D18,SEARCH("séance",'📅 Calendrier'!$D18)+7,2),"")</f>
        <v/>
      </c>
      <c r="Q6" s="64" t="str">
        <f aca="false">IF(LEFT('📅 Calendrier'!$D19,2)="S1",MID('📅 Calendrier'!$D19,SEARCH("séance",'📅 Calendrier'!$D19)+7,2),"")</f>
        <v/>
      </c>
      <c r="R6" s="64" t="str">
        <f aca="false">IF(LEFT('📅 Calendrier'!$D21,2)="S1",MID('📅 Calendrier'!$D21,SEARCH("séance",'📅 Calendrier'!$D21)+7,2),"")</f>
        <v/>
      </c>
      <c r="S6" s="64" t="str">
        <f aca="false">IF(LEFT('📅 Calendrier'!$D22,2)="S1",MID('📅 Calendrier'!$D22,SEARCH("séance",'📅 Calendrier'!$D22)+7,2),"")</f>
        <v/>
      </c>
      <c r="T6" s="64" t="str">
        <f aca="false">IF(LEFT('📅 Calendrier'!$D23,2)="S1",MID('📅 Calendrier'!$D23,SEARCH("séance",'📅 Calendrier'!$D23)+7,2),"")</f>
        <v/>
      </c>
      <c r="U6" s="64" t="str">
        <f aca="false">IF(LEFT('📅 Calendrier'!$D24,2)="S1",MID('📅 Calendrier'!$D24,SEARCH("séance",'📅 Calendrier'!$D24)+7,2),"")</f>
        <v/>
      </c>
      <c r="V6" s="64" t="str">
        <f aca="false">IF(LEFT('📅 Calendrier'!$D25,2)="S1",MID('📅 Calendrier'!$D25,SEARCH("séance",'📅 Calendrier'!$D25)+7,2),"")</f>
        <v/>
      </c>
      <c r="W6" s="64" t="str">
        <f aca="false">IF(LEFT('📅 Calendrier'!$D27,2)="S1",MID('📅 Calendrier'!$D27,SEARCH("séance",'📅 Calendrier'!$D27)+7,2),"")</f>
        <v/>
      </c>
      <c r="X6" s="64" t="str">
        <f aca="false">IF(LEFT('📅 Calendrier'!$D28,2)="S1",MID('📅 Calendrier'!$D28,SEARCH("séance",'📅 Calendrier'!$D28)+7,2),"")</f>
        <v/>
      </c>
      <c r="Y6" s="64" t="str">
        <f aca="false">IF(LEFT('📅 Calendrier'!$D29,2)="S1",MID('📅 Calendrier'!$D29,SEARCH("séance",'📅 Calendrier'!$D29)+7,2),"")</f>
        <v/>
      </c>
      <c r="Z6" s="64" t="str">
        <f aca="false">IF(LEFT('📅 Calendrier'!$D30,2)="S1",MID('📅 Calendrier'!$D30,SEARCH("séance",'📅 Calendrier'!$D30)+7,2),"")</f>
        <v/>
      </c>
      <c r="AA6" s="64" t="str">
        <f aca="false">IF(LEFT('📅 Calendrier'!$D31,2)="S1",MID('📅 Calendrier'!$D31,SEARCH("séance",'📅 Calendrier'!$D31)+7,2),"")</f>
        <v/>
      </c>
      <c r="AB6" s="64" t="str">
        <f aca="false">IF(LEFT('📅 Calendrier'!$D32,2)="S1",MID('📅 Calendrier'!$D32,SEARCH("séance",'📅 Calendrier'!$D32)+7,2),"")</f>
        <v/>
      </c>
      <c r="AC6" s="64" t="str">
        <f aca="false">IF(LEFT('📅 Calendrier'!$D33,2)="S1",MID('📅 Calendrier'!$D33,SEARCH("séance",'📅 Calendrier'!$D33)+7,2),"")</f>
        <v/>
      </c>
      <c r="AD6" s="64" t="str">
        <f aca="false">IF(LEFT('📅 Calendrier'!$D34,2)="S1",MID('📅 Calendrier'!$D34,SEARCH("séance",'📅 Calendrier'!$D34)+7,2),"")</f>
        <v/>
      </c>
      <c r="AE6" s="64" t="str">
        <f aca="false">IF(LEFT('📅 Calendrier'!$D36,2)="S1",MID('📅 Calendrier'!$D36,SEARCH("séance",'📅 Calendrier'!$D36)+7,2),"")</f>
        <v/>
      </c>
      <c r="AF6" s="64" t="str">
        <f aca="false">IF(LEFT('📅 Calendrier'!$D37,2)="S1",MID('📅 Calendrier'!$D37,SEARCH("séance",'📅 Calendrier'!$D37)+7,2),"")</f>
        <v/>
      </c>
      <c r="AG6" s="64" t="str">
        <f aca="false">IF(LEFT('📅 Calendrier'!$D38,2)="S1",MID('📅 Calendrier'!$D38,SEARCH("séance",'📅 Calendrier'!$D38)+7,2),"")</f>
        <v/>
      </c>
      <c r="AH6" s="64" t="str">
        <f aca="false">IF(LEFT('📅 Calendrier'!$D39,2)="S1",MID('📅 Calendrier'!$D39,SEARCH("séance",'📅 Calendrier'!$D39)+7,2),"")</f>
        <v/>
      </c>
      <c r="AI6" s="64" t="str">
        <f aca="false">IF(LEFT('📅 Calendrier'!$D40,2)="S1",MID('📅 Calendrier'!$D40,SEARCH("séance",'📅 Calendrier'!$D40)+7,2),"")</f>
        <v/>
      </c>
      <c r="AJ6" s="64" t="str">
        <f aca="false">IF(LEFT('📅 Calendrier'!$D41,2)="S1",MID('📅 Calendrier'!$D41,SEARCH("séance",'📅 Calendrier'!$D41)+7,2),"")</f>
        <v/>
      </c>
      <c r="AK6" s="64" t="str">
        <f aca="false">IF(LEFT('📅 Calendrier'!$D42,2)="S1",MID('📅 Calendrier'!$D42,SEARCH("séance",'📅 Calendrier'!$D42)+7,2),"")</f>
        <v/>
      </c>
      <c r="AL6" s="64" t="str">
        <f aca="false">IF(LEFT('📅 Calendrier'!$D43,2)="S1",MID('📅 Calendrier'!$D43,SEARCH("séance",'📅 Calendrier'!$D43)+7,2),"")</f>
        <v/>
      </c>
      <c r="AM6" s="64" t="str">
        <f aca="false">IF(LEFT('📅 Calendrier'!$D44,2)="S1",MID('📅 Calendrier'!$D44,SEARCH("séance",'📅 Calendrier'!$D44)+7,2),"")</f>
        <v/>
      </c>
    </row>
    <row r="7" customFormat="false" ht="15" hidden="false" customHeight="true" outlineLevel="0" collapsed="false">
      <c r="B7" s="63" t="s">
        <v>200</v>
      </c>
      <c r="C7" s="64" t="str">
        <f aca="false">IF(LEFT('📅 Calendrier'!$D4,2)="S2",MID('📅 Calendrier'!$D4,SEARCH("séance",'📅 Calendrier'!$D4)+7,2),"")</f>
        <v/>
      </c>
      <c r="D7" s="64" t="str">
        <f aca="false">IF(LEFT('📅 Calendrier'!$D5,2)="S2",MID('📅 Calendrier'!$D5,SEARCH("séance",'📅 Calendrier'!$D5)+7,2),"")</f>
        <v/>
      </c>
      <c r="E7" s="64" t="str">
        <f aca="false">IF(LEFT('📅 Calendrier'!$D6,2)="S2",MID('📅 Calendrier'!$D6,SEARCH("séance",'📅 Calendrier'!$D6)+7,2),"")</f>
        <v/>
      </c>
      <c r="F7" s="64" t="str">
        <f aca="false">IF(LEFT('📅 Calendrier'!$D7,2)="S2",MID('📅 Calendrier'!$D7,SEARCH("séance",'📅 Calendrier'!$D7)+7,2),"")</f>
        <v>1</v>
      </c>
      <c r="G7" s="64" t="str">
        <f aca="false">IF(LEFT('📅 Calendrier'!$D8,2)="S2",MID('📅 Calendrier'!$D8,SEARCH("séance",'📅 Calendrier'!$D8)+7,2),"")</f>
        <v>2</v>
      </c>
      <c r="H7" s="64" t="str">
        <f aca="false">IF(LEFT('📅 Calendrier'!$D9,2)="S2",MID('📅 Calendrier'!$D9,SEARCH("séance",'📅 Calendrier'!$D9)+7,2),"")</f>
        <v>3</v>
      </c>
      <c r="I7" s="64" t="str">
        <f aca="false">IF(LEFT('📅 Calendrier'!$D10,2)="S2",MID('📅 Calendrier'!$D10,SEARCH("séance",'📅 Calendrier'!$D10)+7,2),"")</f>
        <v>4</v>
      </c>
      <c r="J7" s="64" t="str">
        <f aca="false">IF(LEFT('📅 Calendrier'!$D11,2)="S2",MID('📅 Calendrier'!$D11,SEARCH("séance",'📅 Calendrier'!$D11)+7,2),"")</f>
        <v/>
      </c>
      <c r="K7" s="64" t="str">
        <f aca="false">IF(LEFT('📅 Calendrier'!$D13,2)="S2",MID('📅 Calendrier'!$D13,SEARCH("séance",'📅 Calendrier'!$D13)+7,2),"")</f>
        <v/>
      </c>
      <c r="L7" s="64" t="str">
        <f aca="false">IF(LEFT('📅 Calendrier'!$D14,2)="S2",MID('📅 Calendrier'!$D14,SEARCH("séance",'📅 Calendrier'!$D14)+7,2),"")</f>
        <v/>
      </c>
      <c r="M7" s="64" t="str">
        <f aca="false">IF(LEFT('📅 Calendrier'!$D15,2)="S2",MID('📅 Calendrier'!$D15,SEARCH("séance",'📅 Calendrier'!$D15)+7,2),"")</f>
        <v/>
      </c>
      <c r="N7" s="64" t="str">
        <f aca="false">IF(LEFT('📅 Calendrier'!$D16,2)="S2",MID('📅 Calendrier'!$D16,SEARCH("séance",'📅 Calendrier'!$D16)+7,2),"")</f>
        <v/>
      </c>
      <c r="O7" s="64" t="str">
        <f aca="false">IF(LEFT('📅 Calendrier'!$D17,2)="S2",MID('📅 Calendrier'!$D17,SEARCH("séance",'📅 Calendrier'!$D17)+7,2),"")</f>
        <v/>
      </c>
      <c r="P7" s="64" t="str">
        <f aca="false">IF(LEFT('📅 Calendrier'!$D18,2)="S2",MID('📅 Calendrier'!$D18,SEARCH("séance",'📅 Calendrier'!$D18)+7,2),"")</f>
        <v/>
      </c>
      <c r="Q7" s="64" t="str">
        <f aca="false">IF(LEFT('📅 Calendrier'!$D19,2)="S2",MID('📅 Calendrier'!$D19,SEARCH("séance",'📅 Calendrier'!$D19)+7,2),"")</f>
        <v/>
      </c>
      <c r="R7" s="64" t="str">
        <f aca="false">IF(LEFT('📅 Calendrier'!$D21,2)="S2",MID('📅 Calendrier'!$D21,SEARCH("séance",'📅 Calendrier'!$D21)+7,2),"")</f>
        <v/>
      </c>
      <c r="S7" s="64" t="str">
        <f aca="false">IF(LEFT('📅 Calendrier'!$D22,2)="S2",MID('📅 Calendrier'!$D22,SEARCH("séance",'📅 Calendrier'!$D22)+7,2),"")</f>
        <v/>
      </c>
      <c r="T7" s="64" t="str">
        <f aca="false">IF(LEFT('📅 Calendrier'!$D23,2)="S2",MID('📅 Calendrier'!$D23,SEARCH("séance",'📅 Calendrier'!$D23)+7,2),"")</f>
        <v/>
      </c>
      <c r="U7" s="64" t="str">
        <f aca="false">IF(LEFT('📅 Calendrier'!$D24,2)="S2",MID('📅 Calendrier'!$D24,SEARCH("séance",'📅 Calendrier'!$D24)+7,2),"")</f>
        <v/>
      </c>
      <c r="V7" s="64" t="str">
        <f aca="false">IF(LEFT('📅 Calendrier'!$D25,2)="S2",MID('📅 Calendrier'!$D25,SEARCH("séance",'📅 Calendrier'!$D25)+7,2),"")</f>
        <v/>
      </c>
      <c r="W7" s="64" t="str">
        <f aca="false">IF(LEFT('📅 Calendrier'!$D27,2)="S2",MID('📅 Calendrier'!$D27,SEARCH("séance",'📅 Calendrier'!$D27)+7,2),"")</f>
        <v/>
      </c>
      <c r="X7" s="64" t="str">
        <f aca="false">IF(LEFT('📅 Calendrier'!$D28,2)="S2",MID('📅 Calendrier'!$D28,SEARCH("séance",'📅 Calendrier'!$D28)+7,2),"")</f>
        <v/>
      </c>
      <c r="Y7" s="64" t="str">
        <f aca="false">IF(LEFT('📅 Calendrier'!$D29,2)="S2",MID('📅 Calendrier'!$D29,SEARCH("séance",'📅 Calendrier'!$D29)+7,2),"")</f>
        <v/>
      </c>
      <c r="Z7" s="64" t="str">
        <f aca="false">IF(LEFT('📅 Calendrier'!$D30,2)="S2",MID('📅 Calendrier'!$D30,SEARCH("séance",'📅 Calendrier'!$D30)+7,2),"")</f>
        <v/>
      </c>
      <c r="AA7" s="64" t="str">
        <f aca="false">IF(LEFT('📅 Calendrier'!$D31,2)="S2",MID('📅 Calendrier'!$D31,SEARCH("séance",'📅 Calendrier'!$D31)+7,2),"")</f>
        <v/>
      </c>
      <c r="AB7" s="64" t="str">
        <f aca="false">IF(LEFT('📅 Calendrier'!$D32,2)="S2",MID('📅 Calendrier'!$D32,SEARCH("séance",'📅 Calendrier'!$D32)+7,2),"")</f>
        <v/>
      </c>
      <c r="AC7" s="64" t="str">
        <f aca="false">IF(LEFT('📅 Calendrier'!$D33,2)="S2",MID('📅 Calendrier'!$D33,SEARCH("séance",'📅 Calendrier'!$D33)+7,2),"")</f>
        <v/>
      </c>
      <c r="AD7" s="64" t="str">
        <f aca="false">IF(LEFT('📅 Calendrier'!$D34,2)="S2",MID('📅 Calendrier'!$D34,SEARCH("séance",'📅 Calendrier'!$D34)+7,2),"")</f>
        <v/>
      </c>
      <c r="AE7" s="64" t="str">
        <f aca="false">IF(LEFT('📅 Calendrier'!$D36,2)="S2",MID('📅 Calendrier'!$D36,SEARCH("séance",'📅 Calendrier'!$D36)+7,2),"")</f>
        <v/>
      </c>
      <c r="AF7" s="64" t="str">
        <f aca="false">IF(LEFT('📅 Calendrier'!$D37,2)="S2",MID('📅 Calendrier'!$D37,SEARCH("séance",'📅 Calendrier'!$D37)+7,2),"")</f>
        <v/>
      </c>
      <c r="AG7" s="64" t="str">
        <f aca="false">IF(LEFT('📅 Calendrier'!$D38,2)="S2",MID('📅 Calendrier'!$D38,SEARCH("séance",'📅 Calendrier'!$D38)+7,2),"")</f>
        <v/>
      </c>
      <c r="AH7" s="64" t="str">
        <f aca="false">IF(LEFT('📅 Calendrier'!$D39,2)="S2",MID('📅 Calendrier'!$D39,SEARCH("séance",'📅 Calendrier'!$D39)+7,2),"")</f>
        <v/>
      </c>
      <c r="AI7" s="64" t="str">
        <f aca="false">IF(LEFT('📅 Calendrier'!$D40,2)="S2",MID('📅 Calendrier'!$D40,SEARCH("séance",'📅 Calendrier'!$D40)+7,2),"")</f>
        <v/>
      </c>
      <c r="AJ7" s="64" t="str">
        <f aca="false">IF(LEFT('📅 Calendrier'!$D41,2)="S2",MID('📅 Calendrier'!$D41,SEARCH("séance",'📅 Calendrier'!$D41)+7,2),"")</f>
        <v/>
      </c>
      <c r="AK7" s="64" t="str">
        <f aca="false">IF(LEFT('📅 Calendrier'!$D42,2)="S2",MID('📅 Calendrier'!$D42,SEARCH("séance",'📅 Calendrier'!$D42)+7,2),"")</f>
        <v/>
      </c>
      <c r="AL7" s="64" t="str">
        <f aca="false">IF(LEFT('📅 Calendrier'!$D43,2)="S2",MID('📅 Calendrier'!$D43,SEARCH("séance",'📅 Calendrier'!$D43)+7,2),"")</f>
        <v/>
      </c>
      <c r="AM7" s="64" t="str">
        <f aca="false">IF(LEFT('📅 Calendrier'!$D44,2)="S2",MID('📅 Calendrier'!$D44,SEARCH("séance",'📅 Calendrier'!$D44)+7,2),"")</f>
        <v/>
      </c>
    </row>
    <row r="8" customFormat="false" ht="15" hidden="false" customHeight="true" outlineLevel="0" collapsed="false">
      <c r="B8" s="63" t="s">
        <v>201</v>
      </c>
      <c r="C8" s="64" t="str">
        <f aca="false">IF(LEFT('📅 Calendrier'!$D4,2)="S3",MID('📅 Calendrier'!$D4,SEARCH("séance",'📅 Calendrier'!$D4)+7,2),"")</f>
        <v/>
      </c>
      <c r="D8" s="64" t="str">
        <f aca="false">IF(LEFT('📅 Calendrier'!$D5,2)="S3",MID('📅 Calendrier'!$D5,SEARCH("séance",'📅 Calendrier'!$D5)+7,2),"")</f>
        <v/>
      </c>
      <c r="E8" s="64" t="str">
        <f aca="false">IF(LEFT('📅 Calendrier'!$D6,2)="S3",MID('📅 Calendrier'!$D6,SEARCH("séance",'📅 Calendrier'!$D6)+7,2),"")</f>
        <v/>
      </c>
      <c r="F8" s="64" t="str">
        <f aca="false">IF(LEFT('📅 Calendrier'!$D7,2)="S3",MID('📅 Calendrier'!$D7,SEARCH("séance",'📅 Calendrier'!$D7)+7,2),"")</f>
        <v/>
      </c>
      <c r="G8" s="64" t="str">
        <f aca="false">IF(LEFT('📅 Calendrier'!$D8,2)="S3",MID('📅 Calendrier'!$D8,SEARCH("séance",'📅 Calendrier'!$D8)+7,2),"")</f>
        <v/>
      </c>
      <c r="H8" s="64" t="str">
        <f aca="false">IF(LEFT('📅 Calendrier'!$D9,2)="S3",MID('📅 Calendrier'!$D9,SEARCH("séance",'📅 Calendrier'!$D9)+7,2),"")</f>
        <v/>
      </c>
      <c r="I8" s="64" t="str">
        <f aca="false">IF(LEFT('📅 Calendrier'!$D10,2)="S3",MID('📅 Calendrier'!$D10,SEARCH("séance",'📅 Calendrier'!$D10)+7,2),"")</f>
        <v/>
      </c>
      <c r="J8" s="64" t="str">
        <f aca="false">IF(LEFT('📅 Calendrier'!$D11,2)="S3",MID('📅 Calendrier'!$D11,SEARCH("séance",'📅 Calendrier'!$D11)+7,2),"")</f>
        <v/>
      </c>
      <c r="K8" s="64" t="str">
        <f aca="false">IF(LEFT('📅 Calendrier'!$D13,2)="S3",MID('📅 Calendrier'!$D13,SEARCH("séance",'📅 Calendrier'!$D13)+7,2),"")</f>
        <v>1</v>
      </c>
      <c r="L8" s="64" t="str">
        <f aca="false">IF(LEFT('📅 Calendrier'!$D14,2)="S3",MID('📅 Calendrier'!$D14,SEARCH("séance",'📅 Calendrier'!$D14)+7,2),"")</f>
        <v>2</v>
      </c>
      <c r="M8" s="64" t="str">
        <f aca="false">IF(LEFT('📅 Calendrier'!$D15,2)="S3",MID('📅 Calendrier'!$D15,SEARCH("séance",'📅 Calendrier'!$D15)+7,2),"")</f>
        <v>3</v>
      </c>
      <c r="N8" s="64" t="str">
        <f aca="false">IF(LEFT('📅 Calendrier'!$D16,2)="S3",MID('📅 Calendrier'!$D16,SEARCH("séance",'📅 Calendrier'!$D16)+7,2),"")</f>
        <v>4</v>
      </c>
      <c r="O8" s="64" t="str">
        <f aca="false">IF(LEFT('📅 Calendrier'!$D17,2)="S3",MID('📅 Calendrier'!$D17,SEARCH("séance",'📅 Calendrier'!$D17)+7,2),"")</f>
        <v/>
      </c>
      <c r="P8" s="64" t="str">
        <f aca="false">IF(LEFT('📅 Calendrier'!$D18,2)="S3",MID('📅 Calendrier'!$D18,SEARCH("séance",'📅 Calendrier'!$D18)+7,2),"")</f>
        <v/>
      </c>
      <c r="Q8" s="64" t="str">
        <f aca="false">IF(LEFT('📅 Calendrier'!$D19,2)="S3",MID('📅 Calendrier'!$D19,SEARCH("séance",'📅 Calendrier'!$D19)+7,2),"")</f>
        <v/>
      </c>
      <c r="R8" s="64" t="str">
        <f aca="false">IF(LEFT('📅 Calendrier'!$D21,2)="S3",MID('📅 Calendrier'!$D21,SEARCH("séance",'📅 Calendrier'!$D21)+7,2),"")</f>
        <v/>
      </c>
      <c r="S8" s="64" t="str">
        <f aca="false">IF(LEFT('📅 Calendrier'!$D22,2)="S3",MID('📅 Calendrier'!$D22,SEARCH("séance",'📅 Calendrier'!$D22)+7,2),"")</f>
        <v/>
      </c>
      <c r="T8" s="64" t="str">
        <f aca="false">IF(LEFT('📅 Calendrier'!$D23,2)="S3",MID('📅 Calendrier'!$D23,SEARCH("séance",'📅 Calendrier'!$D23)+7,2),"")</f>
        <v/>
      </c>
      <c r="U8" s="64" t="str">
        <f aca="false">IF(LEFT('📅 Calendrier'!$D24,2)="S3",MID('📅 Calendrier'!$D24,SEARCH("séance",'📅 Calendrier'!$D24)+7,2),"")</f>
        <v/>
      </c>
      <c r="V8" s="64" t="str">
        <f aca="false">IF(LEFT('📅 Calendrier'!$D25,2)="S3",MID('📅 Calendrier'!$D25,SEARCH("séance",'📅 Calendrier'!$D25)+7,2),"")</f>
        <v/>
      </c>
      <c r="W8" s="64" t="str">
        <f aca="false">IF(LEFT('📅 Calendrier'!$D27,2)="S3",MID('📅 Calendrier'!$D27,SEARCH("séance",'📅 Calendrier'!$D27)+7,2),"")</f>
        <v/>
      </c>
      <c r="X8" s="64" t="str">
        <f aca="false">IF(LEFT('📅 Calendrier'!$D28,2)="S3",MID('📅 Calendrier'!$D28,SEARCH("séance",'📅 Calendrier'!$D28)+7,2),"")</f>
        <v/>
      </c>
      <c r="Y8" s="64" t="str">
        <f aca="false">IF(LEFT('📅 Calendrier'!$D29,2)="S3",MID('📅 Calendrier'!$D29,SEARCH("séance",'📅 Calendrier'!$D29)+7,2),"")</f>
        <v/>
      </c>
      <c r="Z8" s="64" t="str">
        <f aca="false">IF(LEFT('📅 Calendrier'!$D30,2)="S3",MID('📅 Calendrier'!$D30,SEARCH("séance",'📅 Calendrier'!$D30)+7,2),"")</f>
        <v/>
      </c>
      <c r="AA8" s="64" t="str">
        <f aca="false">IF(LEFT('📅 Calendrier'!$D31,2)="S3",MID('📅 Calendrier'!$D31,SEARCH("séance",'📅 Calendrier'!$D31)+7,2),"")</f>
        <v/>
      </c>
      <c r="AB8" s="64" t="str">
        <f aca="false">IF(LEFT('📅 Calendrier'!$D32,2)="S3",MID('📅 Calendrier'!$D32,SEARCH("séance",'📅 Calendrier'!$D32)+7,2),"")</f>
        <v/>
      </c>
      <c r="AC8" s="64" t="str">
        <f aca="false">IF(LEFT('📅 Calendrier'!$D33,2)="S3",MID('📅 Calendrier'!$D33,SEARCH("séance",'📅 Calendrier'!$D33)+7,2),"")</f>
        <v/>
      </c>
      <c r="AD8" s="64" t="str">
        <f aca="false">IF(LEFT('📅 Calendrier'!$D34,2)="S3",MID('📅 Calendrier'!$D34,SEARCH("séance",'📅 Calendrier'!$D34)+7,2),"")</f>
        <v/>
      </c>
      <c r="AE8" s="64" t="str">
        <f aca="false">IF(LEFT('📅 Calendrier'!$D36,2)="S3",MID('📅 Calendrier'!$D36,SEARCH("séance",'📅 Calendrier'!$D36)+7,2),"")</f>
        <v/>
      </c>
      <c r="AF8" s="64" t="str">
        <f aca="false">IF(LEFT('📅 Calendrier'!$D37,2)="S3",MID('📅 Calendrier'!$D37,SEARCH("séance",'📅 Calendrier'!$D37)+7,2),"")</f>
        <v/>
      </c>
      <c r="AG8" s="64" t="str">
        <f aca="false">IF(LEFT('📅 Calendrier'!$D38,2)="S3",MID('📅 Calendrier'!$D38,SEARCH("séance",'📅 Calendrier'!$D38)+7,2),"")</f>
        <v/>
      </c>
      <c r="AH8" s="64" t="str">
        <f aca="false">IF(LEFT('📅 Calendrier'!$D39,2)="S3",MID('📅 Calendrier'!$D39,SEARCH("séance",'📅 Calendrier'!$D39)+7,2),"")</f>
        <v/>
      </c>
      <c r="AI8" s="64" t="str">
        <f aca="false">IF(LEFT('📅 Calendrier'!$D40,2)="S3",MID('📅 Calendrier'!$D40,SEARCH("séance",'📅 Calendrier'!$D40)+7,2),"")</f>
        <v/>
      </c>
      <c r="AJ8" s="64" t="str">
        <f aca="false">IF(LEFT('📅 Calendrier'!$D41,2)="S3",MID('📅 Calendrier'!$D41,SEARCH("séance",'📅 Calendrier'!$D41)+7,2),"")</f>
        <v/>
      </c>
      <c r="AK8" s="64" t="str">
        <f aca="false">IF(LEFT('📅 Calendrier'!$D42,2)="S3",MID('📅 Calendrier'!$D42,SEARCH("séance",'📅 Calendrier'!$D42)+7,2),"")</f>
        <v/>
      </c>
      <c r="AL8" s="64" t="str">
        <f aca="false">IF(LEFT('📅 Calendrier'!$D43,2)="S3",MID('📅 Calendrier'!$D43,SEARCH("séance",'📅 Calendrier'!$D43)+7,2),"")</f>
        <v/>
      </c>
      <c r="AM8" s="64" t="str">
        <f aca="false">IF(LEFT('📅 Calendrier'!$D44,2)="S3",MID('📅 Calendrier'!$D44,SEARCH("séance",'📅 Calendrier'!$D44)+7,2),"")</f>
        <v/>
      </c>
    </row>
    <row r="9" customFormat="false" ht="15" hidden="false" customHeight="true" outlineLevel="0" collapsed="false">
      <c r="B9" s="65" t="s">
        <v>202</v>
      </c>
      <c r="C9" s="64" t="str">
        <f aca="false">IF(LEFT('📅 Calendrier'!$D4,2)="S4",MID('📅 Calendrier'!$D4,SEARCH("séance",'📅 Calendrier'!$D4)+7,2),"")</f>
        <v/>
      </c>
      <c r="D9" s="64" t="str">
        <f aca="false">IF(LEFT('📅 Calendrier'!$D5,2)="S4",MID('📅 Calendrier'!$D5,SEARCH("séance",'📅 Calendrier'!$D5)+7,2),"")</f>
        <v/>
      </c>
      <c r="E9" s="64" t="str">
        <f aca="false">IF(LEFT('📅 Calendrier'!$D6,2)="S4",MID('📅 Calendrier'!$D6,SEARCH("séance",'📅 Calendrier'!$D6)+7,2),"")</f>
        <v/>
      </c>
      <c r="F9" s="64" t="str">
        <f aca="false">IF(LEFT('📅 Calendrier'!$D7,2)="S4",MID('📅 Calendrier'!$D7,SEARCH("séance",'📅 Calendrier'!$D7)+7,2),"")</f>
        <v/>
      </c>
      <c r="G9" s="64" t="str">
        <f aca="false">IF(LEFT('📅 Calendrier'!$D8,2)="S4",MID('📅 Calendrier'!$D8,SEARCH("séance",'📅 Calendrier'!$D8)+7,2),"")</f>
        <v/>
      </c>
      <c r="H9" s="64" t="str">
        <f aca="false">IF(LEFT('📅 Calendrier'!$D9,2)="S4",MID('📅 Calendrier'!$D9,SEARCH("séance",'📅 Calendrier'!$D9)+7,2),"")</f>
        <v/>
      </c>
      <c r="I9" s="64" t="str">
        <f aca="false">IF(LEFT('📅 Calendrier'!$D10,2)="S4",MID('📅 Calendrier'!$D10,SEARCH("séance",'📅 Calendrier'!$D10)+7,2),"")</f>
        <v/>
      </c>
      <c r="J9" s="64" t="str">
        <f aca="false">IF(LEFT('📅 Calendrier'!$D11,2)="S4",MID('📅 Calendrier'!$D11,SEARCH("séance",'📅 Calendrier'!$D11)+7,2),"")</f>
        <v/>
      </c>
      <c r="K9" s="64" t="str">
        <f aca="false">IF(LEFT('📅 Calendrier'!$D13,2)="S4",MID('📅 Calendrier'!$D13,SEARCH("séance",'📅 Calendrier'!$D13)+7,2),"")</f>
        <v/>
      </c>
      <c r="L9" s="64" t="str">
        <f aca="false">IF(LEFT('📅 Calendrier'!$D14,2)="S4",MID('📅 Calendrier'!$D14,SEARCH("séance",'📅 Calendrier'!$D14)+7,2),"")</f>
        <v/>
      </c>
      <c r="M9" s="64" t="str">
        <f aca="false">IF(LEFT('📅 Calendrier'!$D15,2)="S4",MID('📅 Calendrier'!$D15,SEARCH("séance",'📅 Calendrier'!$D15)+7,2),"")</f>
        <v/>
      </c>
      <c r="N9" s="64" t="str">
        <f aca="false">IF(LEFT('📅 Calendrier'!$D16,2)="S4",MID('📅 Calendrier'!$D16,SEARCH("séance",'📅 Calendrier'!$D16)+7,2),"")</f>
        <v/>
      </c>
      <c r="O9" s="64" t="str">
        <f aca="false">IF(LEFT('📅 Calendrier'!$D17,2)="S4",MID('📅 Calendrier'!$D17,SEARCH("séance",'📅 Calendrier'!$D17)+7,2),"")</f>
        <v>1</v>
      </c>
      <c r="P9" s="64" t="str">
        <f aca="false">IF(LEFT('📅 Calendrier'!$D18,2)="S4",MID('📅 Calendrier'!$D18,SEARCH("séance",'📅 Calendrier'!$D18)+7,2),"")</f>
        <v>2</v>
      </c>
      <c r="Q9" s="64" t="str">
        <f aca="false">IF(LEFT('📅 Calendrier'!$D19,2)="S4",MID('📅 Calendrier'!$D19,SEARCH("séance",'📅 Calendrier'!$D19)+7,2),"")</f>
        <v/>
      </c>
      <c r="R9" s="64" t="str">
        <f aca="false">IF(LEFT('📅 Calendrier'!$D21,2)="S4",MID('📅 Calendrier'!$D21,SEARCH("séance",'📅 Calendrier'!$D21)+7,2),"")</f>
        <v>3</v>
      </c>
      <c r="S9" s="64" t="str">
        <f aca="false">IF(LEFT('📅 Calendrier'!$D22,2)="S4",MID('📅 Calendrier'!$D22,SEARCH("séance",'📅 Calendrier'!$D22)+7,2),"")</f>
        <v>4</v>
      </c>
      <c r="T9" s="64" t="str">
        <f aca="false">IF(LEFT('📅 Calendrier'!$D23,2)="S4",MID('📅 Calendrier'!$D23,SEARCH("séance",'📅 Calendrier'!$D23)+7,2),"")</f>
        <v>5</v>
      </c>
      <c r="U9" s="64" t="str">
        <f aca="false">IF(LEFT('📅 Calendrier'!$D24,2)="S4",MID('📅 Calendrier'!$D24,SEARCH("séance",'📅 Calendrier'!$D24)+7,2),"")</f>
        <v/>
      </c>
      <c r="V9" s="64" t="str">
        <f aca="false">IF(LEFT('📅 Calendrier'!$D25,2)="S4",MID('📅 Calendrier'!$D25,SEARCH("séance",'📅 Calendrier'!$D25)+7,2),"")</f>
        <v/>
      </c>
      <c r="W9" s="64" t="str">
        <f aca="false">IF(LEFT('📅 Calendrier'!$D27,2)="S4",MID('📅 Calendrier'!$D27,SEARCH("séance",'📅 Calendrier'!$D27)+7,2),"")</f>
        <v/>
      </c>
      <c r="X9" s="64" t="str">
        <f aca="false">IF(LEFT('📅 Calendrier'!$D28,2)="S4",MID('📅 Calendrier'!$D28,SEARCH("séance",'📅 Calendrier'!$D28)+7,2),"")</f>
        <v/>
      </c>
      <c r="Y9" s="64" t="str">
        <f aca="false">IF(LEFT('📅 Calendrier'!$D29,2)="S4",MID('📅 Calendrier'!$D29,SEARCH("séance",'📅 Calendrier'!$D29)+7,2),"")</f>
        <v/>
      </c>
      <c r="Z9" s="64" t="str">
        <f aca="false">IF(LEFT('📅 Calendrier'!$D30,2)="S4",MID('📅 Calendrier'!$D30,SEARCH("séance",'📅 Calendrier'!$D30)+7,2),"")</f>
        <v/>
      </c>
      <c r="AA9" s="64" t="str">
        <f aca="false">IF(LEFT('📅 Calendrier'!$D31,2)="S4",MID('📅 Calendrier'!$D31,SEARCH("séance",'📅 Calendrier'!$D31)+7,2),"")</f>
        <v/>
      </c>
      <c r="AB9" s="64" t="str">
        <f aca="false">IF(LEFT('📅 Calendrier'!$D32,2)="S4",MID('📅 Calendrier'!$D32,SEARCH("séance",'📅 Calendrier'!$D32)+7,2),"")</f>
        <v/>
      </c>
      <c r="AC9" s="64" t="str">
        <f aca="false">IF(LEFT('📅 Calendrier'!$D33,2)="S4",MID('📅 Calendrier'!$D33,SEARCH("séance",'📅 Calendrier'!$D33)+7,2),"")</f>
        <v/>
      </c>
      <c r="AD9" s="64" t="str">
        <f aca="false">IF(LEFT('📅 Calendrier'!$D34,2)="S4",MID('📅 Calendrier'!$D34,SEARCH("séance",'📅 Calendrier'!$D34)+7,2),"")</f>
        <v/>
      </c>
      <c r="AE9" s="64" t="str">
        <f aca="false">IF(LEFT('📅 Calendrier'!$D36,2)="S4",MID('📅 Calendrier'!$D36,SEARCH("séance",'📅 Calendrier'!$D36)+7,2),"")</f>
        <v/>
      </c>
      <c r="AF9" s="64" t="str">
        <f aca="false">IF(LEFT('📅 Calendrier'!$D37,2)="S4",MID('📅 Calendrier'!$D37,SEARCH("séance",'📅 Calendrier'!$D37)+7,2),"")</f>
        <v/>
      </c>
      <c r="AG9" s="64" t="str">
        <f aca="false">IF(LEFT('📅 Calendrier'!$D38,2)="S4",MID('📅 Calendrier'!$D38,SEARCH("séance",'📅 Calendrier'!$D38)+7,2),"")</f>
        <v/>
      </c>
      <c r="AH9" s="64" t="str">
        <f aca="false">IF(LEFT('📅 Calendrier'!$D39,2)="S4",MID('📅 Calendrier'!$D39,SEARCH("séance",'📅 Calendrier'!$D39)+7,2),"")</f>
        <v/>
      </c>
      <c r="AI9" s="64" t="str">
        <f aca="false">IF(LEFT('📅 Calendrier'!$D40,2)="S4",MID('📅 Calendrier'!$D40,SEARCH("séance",'📅 Calendrier'!$D40)+7,2),"")</f>
        <v/>
      </c>
      <c r="AJ9" s="64" t="str">
        <f aca="false">IF(LEFT('📅 Calendrier'!$D41,2)="S4",MID('📅 Calendrier'!$D41,SEARCH("séance",'📅 Calendrier'!$D41)+7,2),"")</f>
        <v/>
      </c>
      <c r="AK9" s="64" t="str">
        <f aca="false">IF(LEFT('📅 Calendrier'!$D42,2)="S4",MID('📅 Calendrier'!$D42,SEARCH("séance",'📅 Calendrier'!$D42)+7,2),"")</f>
        <v/>
      </c>
      <c r="AL9" s="64" t="str">
        <f aca="false">IF(LEFT('📅 Calendrier'!$D43,2)="S4",MID('📅 Calendrier'!$D43,SEARCH("séance",'📅 Calendrier'!$D43)+7,2),"")</f>
        <v/>
      </c>
      <c r="AM9" s="64" t="str">
        <f aca="false">IF(LEFT('📅 Calendrier'!$D44,2)="S4",MID('📅 Calendrier'!$D44,SEARCH("séance",'📅 Calendrier'!$D44)+7,2),"")</f>
        <v/>
      </c>
    </row>
    <row r="10" customFormat="false" ht="15" hidden="false" customHeight="true" outlineLevel="0" collapsed="false">
      <c r="B10" s="65" t="s">
        <v>203</v>
      </c>
      <c r="C10" s="64" t="str">
        <f aca="false">IF(LEFT('📅 Calendrier'!$D4,2)="S5",MID('📅 Calendrier'!$D4,SEARCH("séance",'📅 Calendrier'!$D4)+7,2),"")</f>
        <v/>
      </c>
      <c r="D10" s="64" t="str">
        <f aca="false">IF(LEFT('📅 Calendrier'!$D5,2)="S5",MID('📅 Calendrier'!$D5,SEARCH("séance",'📅 Calendrier'!$D5)+7,2),"")</f>
        <v/>
      </c>
      <c r="E10" s="64" t="str">
        <f aca="false">IF(LEFT('📅 Calendrier'!$D6,2)="S5",MID('📅 Calendrier'!$D6,SEARCH("séance",'📅 Calendrier'!$D6)+7,2),"")</f>
        <v/>
      </c>
      <c r="F10" s="64" t="str">
        <f aca="false">IF(LEFT('📅 Calendrier'!$D7,2)="S5",MID('📅 Calendrier'!$D7,SEARCH("séance",'📅 Calendrier'!$D7)+7,2),"")</f>
        <v/>
      </c>
      <c r="G10" s="64" t="str">
        <f aca="false">IF(LEFT('📅 Calendrier'!$D8,2)="S5",MID('📅 Calendrier'!$D8,SEARCH("séance",'📅 Calendrier'!$D8)+7,2),"")</f>
        <v/>
      </c>
      <c r="H10" s="64" t="str">
        <f aca="false">IF(LEFT('📅 Calendrier'!$D9,2)="S5",MID('📅 Calendrier'!$D9,SEARCH("séance",'📅 Calendrier'!$D9)+7,2),"")</f>
        <v/>
      </c>
      <c r="I10" s="64" t="str">
        <f aca="false">IF(LEFT('📅 Calendrier'!$D10,2)="S5",MID('📅 Calendrier'!$D10,SEARCH("séance",'📅 Calendrier'!$D10)+7,2),"")</f>
        <v/>
      </c>
      <c r="J10" s="64" t="str">
        <f aca="false">IF(LEFT('📅 Calendrier'!$D11,2)="S5",MID('📅 Calendrier'!$D11,SEARCH("séance",'📅 Calendrier'!$D11)+7,2),"")</f>
        <v/>
      </c>
      <c r="K10" s="64" t="str">
        <f aca="false">IF(LEFT('📅 Calendrier'!$D13,2)="S5",MID('📅 Calendrier'!$D13,SEARCH("séance",'📅 Calendrier'!$D13)+7,2),"")</f>
        <v/>
      </c>
      <c r="L10" s="64" t="str">
        <f aca="false">IF(LEFT('📅 Calendrier'!$D14,2)="S5",MID('📅 Calendrier'!$D14,SEARCH("séance",'📅 Calendrier'!$D14)+7,2),"")</f>
        <v/>
      </c>
      <c r="M10" s="64" t="str">
        <f aca="false">IF(LEFT('📅 Calendrier'!$D15,2)="S5",MID('📅 Calendrier'!$D15,SEARCH("séance",'📅 Calendrier'!$D15)+7,2),"")</f>
        <v/>
      </c>
      <c r="N10" s="64" t="str">
        <f aca="false">IF(LEFT('📅 Calendrier'!$D16,2)="S5",MID('📅 Calendrier'!$D16,SEARCH("séance",'📅 Calendrier'!$D16)+7,2),"")</f>
        <v/>
      </c>
      <c r="O10" s="64" t="str">
        <f aca="false">IF(LEFT('📅 Calendrier'!$D17,2)="S5",MID('📅 Calendrier'!$D17,SEARCH("séance",'📅 Calendrier'!$D17)+7,2),"")</f>
        <v/>
      </c>
      <c r="P10" s="64" t="str">
        <f aca="false">IF(LEFT('📅 Calendrier'!$D18,2)="S5",MID('📅 Calendrier'!$D18,SEARCH("séance",'📅 Calendrier'!$D18)+7,2),"")</f>
        <v/>
      </c>
      <c r="Q10" s="64" t="str">
        <f aca="false">IF(LEFT('📅 Calendrier'!$D19,2)="S5",MID('📅 Calendrier'!$D19,SEARCH("séance",'📅 Calendrier'!$D19)+7,2),"")</f>
        <v/>
      </c>
      <c r="R10" s="64" t="str">
        <f aca="false">IF(LEFT('📅 Calendrier'!$D21,2)="S5",MID('📅 Calendrier'!$D21,SEARCH("séance",'📅 Calendrier'!$D21)+7,2),"")</f>
        <v/>
      </c>
      <c r="S10" s="64" t="str">
        <f aca="false">IF(LEFT('📅 Calendrier'!$D22,2)="S5",MID('📅 Calendrier'!$D22,SEARCH("séance",'📅 Calendrier'!$D22)+7,2),"")</f>
        <v/>
      </c>
      <c r="T10" s="64" t="str">
        <f aca="false">IF(LEFT('📅 Calendrier'!$D23,2)="S5",MID('📅 Calendrier'!$D23,SEARCH("séance",'📅 Calendrier'!$D23)+7,2),"")</f>
        <v/>
      </c>
      <c r="U10" s="64" t="str">
        <f aca="false">IF(LEFT('📅 Calendrier'!$D24,2)="S5",MID('📅 Calendrier'!$D24,SEARCH("séance",'📅 Calendrier'!$D24)+7,2),"")</f>
        <v>1</v>
      </c>
      <c r="V10" s="64" t="str">
        <f aca="false">IF(LEFT('📅 Calendrier'!$D25,2)="S5",MID('📅 Calendrier'!$D25,SEARCH("séance",'📅 Calendrier'!$D25)+7,2),"")</f>
        <v/>
      </c>
      <c r="W10" s="64" t="str">
        <f aca="false">IF(LEFT('📅 Calendrier'!$D27,2)="S5",MID('📅 Calendrier'!$D27,SEARCH("séance",'📅 Calendrier'!$D27)+7,2),"")</f>
        <v>2</v>
      </c>
      <c r="X10" s="64" t="str">
        <f aca="false">IF(LEFT('📅 Calendrier'!$D28,2)="S5",MID('📅 Calendrier'!$D28,SEARCH("séance",'📅 Calendrier'!$D28)+7,2),"")</f>
        <v>3</v>
      </c>
      <c r="Y10" s="64" t="str">
        <f aca="false">IF(LEFT('📅 Calendrier'!$D29,2)="S5",MID('📅 Calendrier'!$D29,SEARCH("séance",'📅 Calendrier'!$D29)+7,2),"")</f>
        <v/>
      </c>
      <c r="Z10" s="64" t="str">
        <f aca="false">IF(LEFT('📅 Calendrier'!$D30,2)="S5",MID('📅 Calendrier'!$D30,SEARCH("séance",'📅 Calendrier'!$D30)+7,2),"")</f>
        <v/>
      </c>
      <c r="AA10" s="64" t="str">
        <f aca="false">IF(LEFT('📅 Calendrier'!$D31,2)="S5",MID('📅 Calendrier'!$D31,SEARCH("séance",'📅 Calendrier'!$D31)+7,2),"")</f>
        <v/>
      </c>
      <c r="AB10" s="64" t="str">
        <f aca="false">IF(LEFT('📅 Calendrier'!$D32,2)="S5",MID('📅 Calendrier'!$D32,SEARCH("séance",'📅 Calendrier'!$D32)+7,2),"")</f>
        <v/>
      </c>
      <c r="AC10" s="64" t="str">
        <f aca="false">IF(LEFT('📅 Calendrier'!$D33,2)="S5",MID('📅 Calendrier'!$D33,SEARCH("séance",'📅 Calendrier'!$D33)+7,2),"")</f>
        <v/>
      </c>
      <c r="AD10" s="64" t="str">
        <f aca="false">IF(LEFT('📅 Calendrier'!$D34,2)="S5",MID('📅 Calendrier'!$D34,SEARCH("séance",'📅 Calendrier'!$D34)+7,2),"")</f>
        <v/>
      </c>
      <c r="AE10" s="64" t="str">
        <f aca="false">IF(LEFT('📅 Calendrier'!$D36,2)="S5",MID('📅 Calendrier'!$D36,SEARCH("séance",'📅 Calendrier'!$D36)+7,2),"")</f>
        <v/>
      </c>
      <c r="AF10" s="64" t="str">
        <f aca="false">IF(LEFT('📅 Calendrier'!$D37,2)="S5",MID('📅 Calendrier'!$D37,SEARCH("séance",'📅 Calendrier'!$D37)+7,2),"")</f>
        <v/>
      </c>
      <c r="AG10" s="64" t="str">
        <f aca="false">IF(LEFT('📅 Calendrier'!$D38,2)="S5",MID('📅 Calendrier'!$D38,SEARCH("séance",'📅 Calendrier'!$D38)+7,2),"")</f>
        <v/>
      </c>
      <c r="AH10" s="64" t="str">
        <f aca="false">IF(LEFT('📅 Calendrier'!$D39,2)="S5",MID('📅 Calendrier'!$D39,SEARCH("séance",'📅 Calendrier'!$D39)+7,2),"")</f>
        <v/>
      </c>
      <c r="AI10" s="64" t="str">
        <f aca="false">IF(LEFT('📅 Calendrier'!$D40,2)="S5",MID('📅 Calendrier'!$D40,SEARCH("séance",'📅 Calendrier'!$D40)+7,2),"")</f>
        <v/>
      </c>
      <c r="AJ10" s="64" t="str">
        <f aca="false">IF(LEFT('📅 Calendrier'!$D41,2)="S5",MID('📅 Calendrier'!$D41,SEARCH("séance",'📅 Calendrier'!$D41)+7,2),"")</f>
        <v/>
      </c>
      <c r="AK10" s="64" t="str">
        <f aca="false">IF(LEFT('📅 Calendrier'!$D42,2)="S5",MID('📅 Calendrier'!$D42,SEARCH("séance",'📅 Calendrier'!$D42)+7,2),"")</f>
        <v/>
      </c>
      <c r="AL10" s="64" t="str">
        <f aca="false">IF(LEFT('📅 Calendrier'!$D43,2)="S5",MID('📅 Calendrier'!$D43,SEARCH("séance",'📅 Calendrier'!$D43)+7,2),"")</f>
        <v/>
      </c>
      <c r="AM10" s="64" t="str">
        <f aca="false">IF(LEFT('📅 Calendrier'!$D44,2)="S5",MID('📅 Calendrier'!$D44,SEARCH("séance",'📅 Calendrier'!$D44)+7,2),"")</f>
        <v/>
      </c>
    </row>
    <row r="11" customFormat="false" ht="15" hidden="false" customHeight="true" outlineLevel="0" collapsed="false">
      <c r="B11" s="65" t="s">
        <v>204</v>
      </c>
      <c r="C11" s="64" t="str">
        <f aca="false">IF(LEFT('📅 Calendrier'!$D4,2)="S6",MID('📅 Calendrier'!$D4,SEARCH("séance",'📅 Calendrier'!$D4)+7,2),"")</f>
        <v/>
      </c>
      <c r="D11" s="64" t="str">
        <f aca="false">IF(LEFT('📅 Calendrier'!$D5,2)="S6",MID('📅 Calendrier'!$D5,SEARCH("séance",'📅 Calendrier'!$D5)+7,2),"")</f>
        <v/>
      </c>
      <c r="E11" s="64" t="str">
        <f aca="false">IF(LEFT('📅 Calendrier'!$D6,2)="S6",MID('📅 Calendrier'!$D6,SEARCH("séance",'📅 Calendrier'!$D6)+7,2),"")</f>
        <v/>
      </c>
      <c r="F11" s="64" t="str">
        <f aca="false">IF(LEFT('📅 Calendrier'!$D7,2)="S6",MID('📅 Calendrier'!$D7,SEARCH("séance",'📅 Calendrier'!$D7)+7,2),"")</f>
        <v/>
      </c>
      <c r="G11" s="64" t="str">
        <f aca="false">IF(LEFT('📅 Calendrier'!$D8,2)="S6",MID('📅 Calendrier'!$D8,SEARCH("séance",'📅 Calendrier'!$D8)+7,2),"")</f>
        <v/>
      </c>
      <c r="H11" s="64" t="str">
        <f aca="false">IF(LEFT('📅 Calendrier'!$D9,2)="S6",MID('📅 Calendrier'!$D9,SEARCH("séance",'📅 Calendrier'!$D9)+7,2),"")</f>
        <v/>
      </c>
      <c r="I11" s="64" t="str">
        <f aca="false">IF(LEFT('📅 Calendrier'!$D10,2)="S6",MID('📅 Calendrier'!$D10,SEARCH("séance",'📅 Calendrier'!$D10)+7,2),"")</f>
        <v/>
      </c>
      <c r="J11" s="64" t="str">
        <f aca="false">IF(LEFT('📅 Calendrier'!$D11,2)="S6",MID('📅 Calendrier'!$D11,SEARCH("séance",'📅 Calendrier'!$D11)+7,2),"")</f>
        <v/>
      </c>
      <c r="K11" s="64" t="str">
        <f aca="false">IF(LEFT('📅 Calendrier'!$D13,2)="S6",MID('📅 Calendrier'!$D13,SEARCH("séance",'📅 Calendrier'!$D13)+7,2),"")</f>
        <v/>
      </c>
      <c r="L11" s="64" t="str">
        <f aca="false">IF(LEFT('📅 Calendrier'!$D14,2)="S6",MID('📅 Calendrier'!$D14,SEARCH("séance",'📅 Calendrier'!$D14)+7,2),"")</f>
        <v/>
      </c>
      <c r="M11" s="64" t="str">
        <f aca="false">IF(LEFT('📅 Calendrier'!$D15,2)="S6",MID('📅 Calendrier'!$D15,SEARCH("séance",'📅 Calendrier'!$D15)+7,2),"")</f>
        <v/>
      </c>
      <c r="N11" s="64" t="str">
        <f aca="false">IF(LEFT('📅 Calendrier'!$D16,2)="S6",MID('📅 Calendrier'!$D16,SEARCH("séance",'📅 Calendrier'!$D16)+7,2),"")</f>
        <v/>
      </c>
      <c r="O11" s="64" t="str">
        <f aca="false">IF(LEFT('📅 Calendrier'!$D17,2)="S6",MID('📅 Calendrier'!$D17,SEARCH("séance",'📅 Calendrier'!$D17)+7,2),"")</f>
        <v/>
      </c>
      <c r="P11" s="64" t="str">
        <f aca="false">IF(LEFT('📅 Calendrier'!$D18,2)="S6",MID('📅 Calendrier'!$D18,SEARCH("séance",'📅 Calendrier'!$D18)+7,2),"")</f>
        <v/>
      </c>
      <c r="Q11" s="64" t="str">
        <f aca="false">IF(LEFT('📅 Calendrier'!$D19,2)="S6",MID('📅 Calendrier'!$D19,SEARCH("séance",'📅 Calendrier'!$D19)+7,2),"")</f>
        <v/>
      </c>
      <c r="R11" s="64" t="str">
        <f aca="false">IF(LEFT('📅 Calendrier'!$D21,2)="S6",MID('📅 Calendrier'!$D21,SEARCH("séance",'📅 Calendrier'!$D21)+7,2),"")</f>
        <v/>
      </c>
      <c r="S11" s="64" t="str">
        <f aca="false">IF(LEFT('📅 Calendrier'!$D22,2)="S6",MID('📅 Calendrier'!$D22,SEARCH("séance",'📅 Calendrier'!$D22)+7,2),"")</f>
        <v/>
      </c>
      <c r="T11" s="64" t="str">
        <f aca="false">IF(LEFT('📅 Calendrier'!$D23,2)="S6",MID('📅 Calendrier'!$D23,SEARCH("séance",'📅 Calendrier'!$D23)+7,2),"")</f>
        <v/>
      </c>
      <c r="U11" s="64" t="str">
        <f aca="false">IF(LEFT('📅 Calendrier'!$D24,2)="S6",MID('📅 Calendrier'!$D24,SEARCH("séance",'📅 Calendrier'!$D24)+7,2),"")</f>
        <v/>
      </c>
      <c r="V11" s="64" t="str">
        <f aca="false">IF(LEFT('📅 Calendrier'!$D25,2)="S6",MID('📅 Calendrier'!$D25,SEARCH("séance",'📅 Calendrier'!$D25)+7,2),"")</f>
        <v/>
      </c>
      <c r="W11" s="64" t="str">
        <f aca="false">IF(LEFT('📅 Calendrier'!$D27,2)="S6",MID('📅 Calendrier'!$D27,SEARCH("séance",'📅 Calendrier'!$D27)+7,2),"")</f>
        <v/>
      </c>
      <c r="X11" s="64" t="str">
        <f aca="false">IF(LEFT('📅 Calendrier'!$D28,2)="S6",MID('📅 Calendrier'!$D28,SEARCH("séance",'📅 Calendrier'!$D28)+7,2),"")</f>
        <v/>
      </c>
      <c r="Y11" s="64" t="str">
        <f aca="false">IF(LEFT('📅 Calendrier'!$D29,2)="S6",MID('📅 Calendrier'!$D29,SEARCH("séance",'📅 Calendrier'!$D29)+7,2),"")</f>
        <v>1</v>
      </c>
      <c r="Z11" s="64" t="str">
        <f aca="false">IF(LEFT('📅 Calendrier'!$D30,2)="S6",MID('📅 Calendrier'!$D30,SEARCH("séance",'📅 Calendrier'!$D30)+7,2),"")</f>
        <v>2</v>
      </c>
      <c r="AA11" s="64" t="str">
        <f aca="false">IF(LEFT('📅 Calendrier'!$D31,2)="S6",MID('📅 Calendrier'!$D31,SEARCH("séance",'📅 Calendrier'!$D31)+7,2),"")</f>
        <v>3</v>
      </c>
      <c r="AB11" s="64" t="str">
        <f aca="false">IF(LEFT('📅 Calendrier'!$D32,2)="S6",MID('📅 Calendrier'!$D32,SEARCH("séance",'📅 Calendrier'!$D32)+7,2),"")</f>
        <v>4</v>
      </c>
      <c r="AC11" s="64" t="str">
        <f aca="false">IF(LEFT('📅 Calendrier'!$D33,2)="S6",MID('📅 Calendrier'!$D33,SEARCH("séance",'📅 Calendrier'!$D33)+7,2),"")</f>
        <v/>
      </c>
      <c r="AD11" s="64" t="str">
        <f aca="false">IF(LEFT('📅 Calendrier'!$D34,2)="S6",MID('📅 Calendrier'!$D34,SEARCH("séance",'📅 Calendrier'!$D34)+7,2),"")</f>
        <v/>
      </c>
      <c r="AE11" s="64" t="str">
        <f aca="false">IF(LEFT('📅 Calendrier'!$D36,2)="S6",MID('📅 Calendrier'!$D36,SEARCH("séance",'📅 Calendrier'!$D36)+7,2),"")</f>
        <v/>
      </c>
      <c r="AF11" s="64" t="str">
        <f aca="false">IF(LEFT('📅 Calendrier'!$D37,2)="S6",MID('📅 Calendrier'!$D37,SEARCH("séance",'📅 Calendrier'!$D37)+7,2),"")</f>
        <v/>
      </c>
      <c r="AG11" s="64" t="str">
        <f aca="false">IF(LEFT('📅 Calendrier'!$D38,2)="S6",MID('📅 Calendrier'!$D38,SEARCH("séance",'📅 Calendrier'!$D38)+7,2),"")</f>
        <v/>
      </c>
      <c r="AH11" s="64" t="str">
        <f aca="false">IF(LEFT('📅 Calendrier'!$D39,2)="S6",MID('📅 Calendrier'!$D39,SEARCH("séance",'📅 Calendrier'!$D39)+7,2),"")</f>
        <v/>
      </c>
      <c r="AI11" s="64" t="str">
        <f aca="false">IF(LEFT('📅 Calendrier'!$D40,2)="S6",MID('📅 Calendrier'!$D40,SEARCH("séance",'📅 Calendrier'!$D40)+7,2),"")</f>
        <v/>
      </c>
      <c r="AJ11" s="64" t="str">
        <f aca="false">IF(LEFT('📅 Calendrier'!$D41,2)="S6",MID('📅 Calendrier'!$D41,SEARCH("séance",'📅 Calendrier'!$D41)+7,2),"")</f>
        <v/>
      </c>
      <c r="AK11" s="64" t="str">
        <f aca="false">IF(LEFT('📅 Calendrier'!$D42,2)="S6",MID('📅 Calendrier'!$D42,SEARCH("séance",'📅 Calendrier'!$D42)+7,2),"")</f>
        <v/>
      </c>
      <c r="AL11" s="64" t="str">
        <f aca="false">IF(LEFT('📅 Calendrier'!$D43,2)="S6",MID('📅 Calendrier'!$D43,SEARCH("séance",'📅 Calendrier'!$D43)+7,2),"")</f>
        <v/>
      </c>
      <c r="AM11" s="64" t="str">
        <f aca="false">IF(LEFT('📅 Calendrier'!$D44,2)="S6",MID('📅 Calendrier'!$D44,SEARCH("séance",'📅 Calendrier'!$D44)+7,2),"")</f>
        <v/>
      </c>
    </row>
    <row r="12" customFormat="false" ht="15" hidden="false" customHeight="true" outlineLevel="0" collapsed="false">
      <c r="B12" s="66" t="s">
        <v>205</v>
      </c>
      <c r="C12" s="64" t="str">
        <f aca="false">IF(LEFT('📅 Calendrier'!$D4,2)="S7",MID('📅 Calendrier'!$D4,SEARCH("séance",'📅 Calendrier'!$D4)+7,2),"")</f>
        <v/>
      </c>
      <c r="D12" s="64" t="str">
        <f aca="false">IF(LEFT('📅 Calendrier'!$D5,2)="S7",MID('📅 Calendrier'!$D5,SEARCH("séance",'📅 Calendrier'!$D5)+7,2),"")</f>
        <v/>
      </c>
      <c r="E12" s="64" t="str">
        <f aca="false">IF(LEFT('📅 Calendrier'!$D6,2)="S7",MID('📅 Calendrier'!$D6,SEARCH("séance",'📅 Calendrier'!$D6)+7,2),"")</f>
        <v/>
      </c>
      <c r="F12" s="64" t="str">
        <f aca="false">IF(LEFT('📅 Calendrier'!$D7,2)="S7",MID('📅 Calendrier'!$D7,SEARCH("séance",'📅 Calendrier'!$D7)+7,2),"")</f>
        <v/>
      </c>
      <c r="G12" s="64" t="str">
        <f aca="false">IF(LEFT('📅 Calendrier'!$D8,2)="S7",MID('📅 Calendrier'!$D8,SEARCH("séance",'📅 Calendrier'!$D8)+7,2),"")</f>
        <v/>
      </c>
      <c r="H12" s="64" t="str">
        <f aca="false">IF(LEFT('📅 Calendrier'!$D9,2)="S7",MID('📅 Calendrier'!$D9,SEARCH("séance",'📅 Calendrier'!$D9)+7,2),"")</f>
        <v/>
      </c>
      <c r="I12" s="64" t="str">
        <f aca="false">IF(LEFT('📅 Calendrier'!$D10,2)="S7",MID('📅 Calendrier'!$D10,SEARCH("séance",'📅 Calendrier'!$D10)+7,2),"")</f>
        <v/>
      </c>
      <c r="J12" s="64" t="str">
        <f aca="false">IF(LEFT('📅 Calendrier'!$D11,2)="S7",MID('📅 Calendrier'!$D11,SEARCH("séance",'📅 Calendrier'!$D11)+7,2),"")</f>
        <v/>
      </c>
      <c r="K12" s="64" t="str">
        <f aca="false">IF(LEFT('📅 Calendrier'!$D13,2)="S7",MID('📅 Calendrier'!$D13,SEARCH("séance",'📅 Calendrier'!$D13)+7,2),"")</f>
        <v/>
      </c>
      <c r="L12" s="64" t="str">
        <f aca="false">IF(LEFT('📅 Calendrier'!$D14,2)="S7",MID('📅 Calendrier'!$D14,SEARCH("séance",'📅 Calendrier'!$D14)+7,2),"")</f>
        <v/>
      </c>
      <c r="M12" s="64" t="str">
        <f aca="false">IF(LEFT('📅 Calendrier'!$D15,2)="S7",MID('📅 Calendrier'!$D15,SEARCH("séance",'📅 Calendrier'!$D15)+7,2),"")</f>
        <v/>
      </c>
      <c r="N12" s="64" t="str">
        <f aca="false">IF(LEFT('📅 Calendrier'!$D16,2)="S7",MID('📅 Calendrier'!$D16,SEARCH("séance",'📅 Calendrier'!$D16)+7,2),"")</f>
        <v/>
      </c>
      <c r="O12" s="64" t="str">
        <f aca="false">IF(LEFT('📅 Calendrier'!$D17,2)="S7",MID('📅 Calendrier'!$D17,SEARCH("séance",'📅 Calendrier'!$D17)+7,2),"")</f>
        <v/>
      </c>
      <c r="P12" s="64" t="str">
        <f aca="false">IF(LEFT('📅 Calendrier'!$D18,2)="S7",MID('📅 Calendrier'!$D18,SEARCH("séance",'📅 Calendrier'!$D18)+7,2),"")</f>
        <v/>
      </c>
      <c r="Q12" s="64" t="str">
        <f aca="false">IF(LEFT('📅 Calendrier'!$D19,2)="S7",MID('📅 Calendrier'!$D19,SEARCH("séance",'📅 Calendrier'!$D19)+7,2),"")</f>
        <v/>
      </c>
      <c r="R12" s="64" t="str">
        <f aca="false">IF(LEFT('📅 Calendrier'!$D21,2)="S7",MID('📅 Calendrier'!$D21,SEARCH("séance",'📅 Calendrier'!$D21)+7,2),"")</f>
        <v/>
      </c>
      <c r="S12" s="64" t="str">
        <f aca="false">IF(LEFT('📅 Calendrier'!$D22,2)="S7",MID('📅 Calendrier'!$D22,SEARCH("séance",'📅 Calendrier'!$D22)+7,2),"")</f>
        <v/>
      </c>
      <c r="T12" s="64" t="str">
        <f aca="false">IF(LEFT('📅 Calendrier'!$D23,2)="S7",MID('📅 Calendrier'!$D23,SEARCH("séance",'📅 Calendrier'!$D23)+7,2),"")</f>
        <v/>
      </c>
      <c r="U12" s="64" t="str">
        <f aca="false">IF(LEFT('📅 Calendrier'!$D24,2)="S7",MID('📅 Calendrier'!$D24,SEARCH("séance",'📅 Calendrier'!$D24)+7,2),"")</f>
        <v/>
      </c>
      <c r="V12" s="64" t="str">
        <f aca="false">IF(LEFT('📅 Calendrier'!$D25,2)="S7",MID('📅 Calendrier'!$D25,SEARCH("séance",'📅 Calendrier'!$D25)+7,2),"")</f>
        <v/>
      </c>
      <c r="W12" s="64" t="str">
        <f aca="false">IF(LEFT('📅 Calendrier'!$D27,2)="S7",MID('📅 Calendrier'!$D27,SEARCH("séance",'📅 Calendrier'!$D27)+7,2),"")</f>
        <v/>
      </c>
      <c r="X12" s="64" t="str">
        <f aca="false">IF(LEFT('📅 Calendrier'!$D28,2)="S7",MID('📅 Calendrier'!$D28,SEARCH("séance",'📅 Calendrier'!$D28)+7,2),"")</f>
        <v/>
      </c>
      <c r="Y12" s="64" t="str">
        <f aca="false">IF(LEFT('📅 Calendrier'!$D29,2)="S7",MID('📅 Calendrier'!$D29,SEARCH("séance",'📅 Calendrier'!$D29)+7,2),"")</f>
        <v/>
      </c>
      <c r="Z12" s="64" t="str">
        <f aca="false">IF(LEFT('📅 Calendrier'!$D30,2)="S7",MID('📅 Calendrier'!$D30,SEARCH("séance",'📅 Calendrier'!$D30)+7,2),"")</f>
        <v/>
      </c>
      <c r="AA12" s="64" t="str">
        <f aca="false">IF(LEFT('📅 Calendrier'!$D31,2)="S7",MID('📅 Calendrier'!$D31,SEARCH("séance",'📅 Calendrier'!$D31)+7,2),"")</f>
        <v/>
      </c>
      <c r="AB12" s="64" t="str">
        <f aca="false">IF(LEFT('📅 Calendrier'!$D32,2)="S7",MID('📅 Calendrier'!$D32,SEARCH("séance",'📅 Calendrier'!$D32)+7,2),"")</f>
        <v/>
      </c>
      <c r="AC12" s="64" t="str">
        <f aca="false">IF(LEFT('📅 Calendrier'!$D33,2)="S7",MID('📅 Calendrier'!$D33,SEARCH("séance",'📅 Calendrier'!$D33)+7,2),"")</f>
        <v>1</v>
      </c>
      <c r="AD12" s="64" t="str">
        <f aca="false">IF(LEFT('📅 Calendrier'!$D34,2)="S7",MID('📅 Calendrier'!$D34,SEARCH("séance",'📅 Calendrier'!$D34)+7,2),"")</f>
        <v/>
      </c>
      <c r="AE12" s="64" t="str">
        <f aca="false">IF(LEFT('📅 Calendrier'!$D36,2)="S7",MID('📅 Calendrier'!$D36,SEARCH("séance",'📅 Calendrier'!$D36)+7,2),"")</f>
        <v>2</v>
      </c>
      <c r="AF12" s="64" t="str">
        <f aca="false">IF(LEFT('📅 Calendrier'!$D37,2)="S7",MID('📅 Calendrier'!$D37,SEARCH("séance",'📅 Calendrier'!$D37)+7,2),"")</f>
        <v>3</v>
      </c>
      <c r="AG12" s="64" t="str">
        <f aca="false">IF(LEFT('📅 Calendrier'!$D38,2)="S7",MID('📅 Calendrier'!$D38,SEARCH("séance",'📅 Calendrier'!$D38)+7,2),"")</f>
        <v>4</v>
      </c>
      <c r="AH12" s="64" t="str">
        <f aca="false">IF(LEFT('📅 Calendrier'!$D39,2)="S7",MID('📅 Calendrier'!$D39,SEARCH("séance",'📅 Calendrier'!$D39)+7,2),"")</f>
        <v>5</v>
      </c>
      <c r="AI12" s="64" t="str">
        <f aca="false">IF(LEFT('📅 Calendrier'!$D40,2)="S7",MID('📅 Calendrier'!$D40,SEARCH("séance",'📅 Calendrier'!$D40)+7,2),"")</f>
        <v>6</v>
      </c>
      <c r="AJ12" s="64" t="str">
        <f aca="false">IF(LEFT('📅 Calendrier'!$D41,2)="S7",MID('📅 Calendrier'!$D41,SEARCH("séance",'📅 Calendrier'!$D41)+7,2),"")</f>
        <v/>
      </c>
      <c r="AK12" s="64" t="str">
        <f aca="false">IF(LEFT('📅 Calendrier'!$D42,2)="S7",MID('📅 Calendrier'!$D42,SEARCH("séance",'📅 Calendrier'!$D42)+7,2),"")</f>
        <v/>
      </c>
      <c r="AL12" s="64" t="str">
        <f aca="false">IF(LEFT('📅 Calendrier'!$D43,2)="S7",MID('📅 Calendrier'!$D43,SEARCH("séance",'📅 Calendrier'!$D43)+7,2),"")</f>
        <v/>
      </c>
      <c r="AM12" s="64" t="str">
        <f aca="false">IF(LEFT('📅 Calendrier'!$D44,2)="S7",MID('📅 Calendrier'!$D44,SEARCH("séance",'📅 Calendrier'!$D44)+7,2),"")</f>
        <v/>
      </c>
    </row>
    <row r="13" customFormat="false" ht="15" hidden="false" customHeight="true" outlineLevel="0" collapsed="false">
      <c r="B13" s="67" t="s">
        <v>206</v>
      </c>
      <c r="C13" s="68" t="str">
        <f aca="false">IF(LEFT('📅 Calendrier'!$D4,1)="⏳","⏳","")</f>
        <v/>
      </c>
      <c r="D13" s="68" t="str">
        <f aca="false">IF(LEFT('📅 Calendrier'!$D5,1)="⏳","⏳","")</f>
        <v/>
      </c>
      <c r="E13" s="68" t="str">
        <f aca="false">IF(LEFT('📅 Calendrier'!$D6,1)="⏳","⏳","")</f>
        <v/>
      </c>
      <c r="F13" s="68" t="str">
        <f aca="false">IF(LEFT('📅 Calendrier'!$D7,1)="⏳","⏳","")</f>
        <v/>
      </c>
      <c r="G13" s="68" t="str">
        <f aca="false">IF(LEFT('📅 Calendrier'!$D8,1)="⏳","⏳","")</f>
        <v/>
      </c>
      <c r="H13" s="68" t="str">
        <f aca="false">IF(LEFT('📅 Calendrier'!$D9,1)="⏳","⏳","")</f>
        <v/>
      </c>
      <c r="I13" s="68" t="str">
        <f aca="false">IF(LEFT('📅 Calendrier'!$D10,1)="⏳","⏳","")</f>
        <v/>
      </c>
      <c r="J13" s="68" t="str">
        <f aca="false">IF(LEFT('📅 Calendrier'!$D11,1)="⏳","⏳","")</f>
        <v>⏳</v>
      </c>
      <c r="K13" s="68" t="str">
        <f aca="false">IF(LEFT('📅 Calendrier'!$D13,1)="⏳","⏳","")</f>
        <v/>
      </c>
      <c r="L13" s="68" t="str">
        <f aca="false">IF(LEFT('📅 Calendrier'!$D14,1)="⏳","⏳","")</f>
        <v/>
      </c>
      <c r="M13" s="68" t="str">
        <f aca="false">IF(LEFT('📅 Calendrier'!$D15,1)="⏳","⏳","")</f>
        <v/>
      </c>
      <c r="N13" s="68" t="str">
        <f aca="false">IF(LEFT('📅 Calendrier'!$D16,1)="⏳","⏳","")</f>
        <v/>
      </c>
      <c r="O13" s="68" t="str">
        <f aca="false">IF(LEFT('📅 Calendrier'!$D17,1)="⏳","⏳","")</f>
        <v/>
      </c>
      <c r="P13" s="68" t="str">
        <f aca="false">IF(LEFT('📅 Calendrier'!$D18,1)="⏳","⏳","")</f>
        <v/>
      </c>
      <c r="Q13" s="68" t="str">
        <f aca="false">IF(LEFT('📅 Calendrier'!$D19,1)="⏳","⏳","")</f>
        <v>⏳</v>
      </c>
      <c r="R13" s="68" t="str">
        <f aca="false">IF(LEFT('📅 Calendrier'!$D21,1)="⏳","⏳","")</f>
        <v/>
      </c>
      <c r="S13" s="68" t="str">
        <f aca="false">IF(LEFT('📅 Calendrier'!$D22,1)="⏳","⏳","")</f>
        <v/>
      </c>
      <c r="T13" s="68" t="str">
        <f aca="false">IF(LEFT('📅 Calendrier'!$D23,1)="⏳","⏳","")</f>
        <v/>
      </c>
      <c r="U13" s="68" t="str">
        <f aca="false">IF(LEFT('📅 Calendrier'!$D24,1)="⏳","⏳","")</f>
        <v/>
      </c>
      <c r="V13" s="68" t="str">
        <f aca="false">IF(LEFT('📅 Calendrier'!$D25,1)="⏳","⏳","")</f>
        <v>⏳</v>
      </c>
      <c r="W13" s="68" t="str">
        <f aca="false">IF(LEFT('📅 Calendrier'!$D27,1)="⏳","⏳","")</f>
        <v/>
      </c>
      <c r="X13" s="68" t="str">
        <f aca="false">IF(LEFT('📅 Calendrier'!$D28,1)="⏳","⏳","")</f>
        <v/>
      </c>
      <c r="Y13" s="68" t="str">
        <f aca="false">IF(LEFT('📅 Calendrier'!$D29,1)="⏳","⏳","")</f>
        <v/>
      </c>
      <c r="Z13" s="68" t="str">
        <f aca="false">IF(LEFT('📅 Calendrier'!$D30,1)="⏳","⏳","")</f>
        <v/>
      </c>
      <c r="AA13" s="68" t="str">
        <f aca="false">IF(LEFT('📅 Calendrier'!$D31,1)="⏳","⏳","")</f>
        <v/>
      </c>
      <c r="AB13" s="68" t="str">
        <f aca="false">IF(LEFT('📅 Calendrier'!$D32,1)="⏳","⏳","")</f>
        <v/>
      </c>
      <c r="AC13" s="68" t="str">
        <f aca="false">IF(LEFT('📅 Calendrier'!$D33,1)="⏳","⏳","")</f>
        <v/>
      </c>
      <c r="AD13" s="68" t="str">
        <f aca="false">IF(LEFT('📅 Calendrier'!$D34,1)="⏳","⏳","")</f>
        <v>⏳</v>
      </c>
      <c r="AE13" s="68" t="str">
        <f aca="false">IF(LEFT('📅 Calendrier'!$D36,1)="⏳","⏳","")</f>
        <v/>
      </c>
      <c r="AF13" s="68" t="str">
        <f aca="false">IF(LEFT('📅 Calendrier'!$D37,1)="⏳","⏳","")</f>
        <v/>
      </c>
      <c r="AG13" s="68" t="str">
        <f aca="false">IF(LEFT('📅 Calendrier'!$D38,1)="⏳","⏳","")</f>
        <v/>
      </c>
      <c r="AH13" s="68" t="str">
        <f aca="false">IF(LEFT('📅 Calendrier'!$D39,1)="⏳","⏳","")</f>
        <v/>
      </c>
      <c r="AI13" s="68" t="str">
        <f aca="false">IF(LEFT('📅 Calendrier'!$D40,1)="⏳","⏳","")</f>
        <v/>
      </c>
      <c r="AJ13" s="68" t="str">
        <f aca="false">IF(LEFT('📅 Calendrier'!$D41,1)="⏳","⏳","")</f>
        <v>⏳</v>
      </c>
      <c r="AK13" s="68" t="str">
        <f aca="false">IF(LEFT('📅 Calendrier'!$D42,1)="⏳","⏳","")</f>
        <v>⏳</v>
      </c>
      <c r="AL13" s="68" t="str">
        <f aca="false">IF(LEFT('📅 Calendrier'!$D43,1)="⏳","⏳","")</f>
        <v>⏳</v>
      </c>
      <c r="AM13" s="68" t="str">
        <f aca="false">IF(LEFT('📅 Calendrier'!$D44,1)="⏳","⏳","")</f>
        <v>⏳</v>
      </c>
    </row>
    <row r="14" customFormat="false" ht="15" hidden="false" customHeight="true" outlineLevel="0" collapsed="false">
      <c r="B14" s="69" t="s">
        <v>207</v>
      </c>
      <c r="C14" s="70" t="str">
        <f aca="false">IF('📅 Calendrier'!$G4&lt;&gt;"","⚠","")</f>
        <v/>
      </c>
      <c r="D14" s="70" t="str">
        <f aca="false">IF('📅 Calendrier'!$G5&lt;&gt;"","⚠","")</f>
        <v/>
      </c>
      <c r="E14" s="70" t="str">
        <f aca="false">IF('📅 Calendrier'!$G6&lt;&gt;"","⚠","")</f>
        <v/>
      </c>
      <c r="F14" s="70" t="str">
        <f aca="false">IF('📅 Calendrier'!$G7&lt;&gt;"","⚠","")</f>
        <v/>
      </c>
      <c r="G14" s="70" t="str">
        <f aca="false">IF('📅 Calendrier'!$G8&lt;&gt;"","⚠","")</f>
        <v/>
      </c>
      <c r="H14" s="70" t="str">
        <f aca="false">IF('📅 Calendrier'!$G9&lt;&gt;"","⚠","")</f>
        <v/>
      </c>
      <c r="I14" s="70" t="str">
        <f aca="false">IF('📅 Calendrier'!$G10&lt;&gt;"","⚠","")</f>
        <v/>
      </c>
      <c r="J14" s="70" t="str">
        <f aca="false">IF('📅 Calendrier'!$G11&lt;&gt;"","⚠","")</f>
        <v/>
      </c>
      <c r="K14" s="70" t="str">
        <f aca="false">IF('📅 Calendrier'!$G13&lt;&gt;"","⚠","")</f>
        <v/>
      </c>
      <c r="L14" s="70" t="str">
        <f aca="false">IF('📅 Calendrier'!$G14&lt;&gt;"","⚠","")</f>
        <v/>
      </c>
      <c r="M14" s="70" t="str">
        <f aca="false">IF('📅 Calendrier'!$G15&lt;&gt;"","⚠","")</f>
        <v/>
      </c>
      <c r="N14" s="70" t="str">
        <f aca="false">IF('📅 Calendrier'!$G16&lt;&gt;"","⚠","")</f>
        <v/>
      </c>
      <c r="O14" s="70" t="str">
        <f aca="false">IF('📅 Calendrier'!$G17&lt;&gt;"","⚠","")</f>
        <v/>
      </c>
      <c r="P14" s="70" t="str">
        <f aca="false">IF('📅 Calendrier'!$G18&lt;&gt;"","⚠","")</f>
        <v/>
      </c>
      <c r="Q14" s="70" t="str">
        <f aca="false">IF('📅 Calendrier'!$G19&lt;&gt;"","⚠","")</f>
        <v/>
      </c>
      <c r="R14" s="70" t="str">
        <f aca="false">IF('📅 Calendrier'!$G21&lt;&gt;"","⚠","")</f>
        <v/>
      </c>
      <c r="S14" s="70" t="str">
        <f aca="false">IF('📅 Calendrier'!$G22&lt;&gt;"","⚠","")</f>
        <v/>
      </c>
      <c r="T14" s="70" t="str">
        <f aca="false">IF('📅 Calendrier'!$G23&lt;&gt;"","⚠","")</f>
        <v/>
      </c>
      <c r="U14" s="70" t="str">
        <f aca="false">IF('📅 Calendrier'!$G24&lt;&gt;"","⚠","")</f>
        <v/>
      </c>
      <c r="V14" s="70" t="str">
        <f aca="false">IF('📅 Calendrier'!$G25&lt;&gt;"","⚠","")</f>
        <v/>
      </c>
      <c r="W14" s="70" t="str">
        <f aca="false">IF('📅 Calendrier'!$G27&lt;&gt;"","⚠","")</f>
        <v/>
      </c>
      <c r="X14" s="70" t="str">
        <f aca="false">IF('📅 Calendrier'!$G28&lt;&gt;"","⚠","")</f>
        <v/>
      </c>
      <c r="Y14" s="70" t="str">
        <f aca="false">IF('📅 Calendrier'!$G29&lt;&gt;"","⚠","")</f>
        <v/>
      </c>
      <c r="Z14" s="70" t="str">
        <f aca="false">IF('📅 Calendrier'!$G30&lt;&gt;"","⚠","")</f>
        <v/>
      </c>
      <c r="AA14" s="70" t="str">
        <f aca="false">IF('📅 Calendrier'!$G31&lt;&gt;"","⚠","")</f>
        <v/>
      </c>
      <c r="AB14" s="70" t="str">
        <f aca="false">IF('📅 Calendrier'!$G32&lt;&gt;"","⚠","")</f>
        <v/>
      </c>
      <c r="AC14" s="70" t="str">
        <f aca="false">IF('📅 Calendrier'!$G33&lt;&gt;"","⚠","")</f>
        <v/>
      </c>
      <c r="AD14" s="70" t="str">
        <f aca="false">IF('📅 Calendrier'!$G34&lt;&gt;"","⚠","")</f>
        <v/>
      </c>
      <c r="AE14" s="70" t="str">
        <f aca="false">IF('📅 Calendrier'!$G36&lt;&gt;"","⚠","")</f>
        <v/>
      </c>
      <c r="AF14" s="70" t="str">
        <f aca="false">IF('📅 Calendrier'!$G37&lt;&gt;"","⚠","")</f>
        <v/>
      </c>
      <c r="AG14" s="70" t="str">
        <f aca="false">IF('📅 Calendrier'!$G38&lt;&gt;"","⚠","")</f>
        <v/>
      </c>
      <c r="AH14" s="70" t="str">
        <f aca="false">IF('📅 Calendrier'!$G39&lt;&gt;"","⚠","")</f>
        <v/>
      </c>
      <c r="AI14" s="70" t="str">
        <f aca="false">IF('📅 Calendrier'!$G40&lt;&gt;"","⚠","")</f>
        <v/>
      </c>
      <c r="AJ14" s="70" t="str">
        <f aca="false">IF('📅 Calendrier'!$G41&lt;&gt;"","⚠","")</f>
        <v/>
      </c>
      <c r="AK14" s="70" t="str">
        <f aca="false">IF('📅 Calendrier'!$G42&lt;&gt;"","⚠","")</f>
        <v/>
      </c>
      <c r="AL14" s="70" t="str">
        <f aca="false">IF('📅 Calendrier'!$G43&lt;&gt;"","⚠","")</f>
        <v/>
      </c>
      <c r="AM14" s="70" t="str">
        <f aca="false">IF('📅 Calendrier'!$G44&lt;&gt;"","⚠","")</f>
        <v/>
      </c>
    </row>
    <row r="16" customFormat="false" ht="39.75" hidden="false" customHeight="true" outlineLevel="0" collapsed="false">
      <c r="B16" s="71" t="s">
        <v>208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</sheetData>
  <mergeCells count="8">
    <mergeCell ref="A1:AM1"/>
    <mergeCell ref="B2:N2"/>
    <mergeCell ref="C3:J3"/>
    <mergeCell ref="K3:Q3"/>
    <mergeCell ref="R3:V3"/>
    <mergeCell ref="W3:AD3"/>
    <mergeCell ref="AE3:AM3"/>
    <mergeCell ref="B16:X16"/>
  </mergeCells>
  <conditionalFormatting sqref="C6:AM6">
    <cfRule type="expression" priority="2" aboveAverage="0" equalAverage="0" bottom="0" percent="0" rank="0" text="" dxfId="2">
      <formula>C6&lt;&gt;""</formula>
    </cfRule>
  </conditionalFormatting>
  <conditionalFormatting sqref="C7:AM7">
    <cfRule type="expression" priority="3" aboveAverage="0" equalAverage="0" bottom="0" percent="0" rank="0" text="" dxfId="2">
      <formula>C7&lt;&gt;""</formula>
    </cfRule>
  </conditionalFormatting>
  <conditionalFormatting sqref="C8:AM8">
    <cfRule type="expression" priority="4" aboveAverage="0" equalAverage="0" bottom="0" percent="0" rank="0" text="" dxfId="2">
      <formula>C8&lt;&gt;""</formula>
    </cfRule>
  </conditionalFormatting>
  <conditionalFormatting sqref="C9:AM9">
    <cfRule type="expression" priority="5" aboveAverage="0" equalAverage="0" bottom="0" percent="0" rank="0" text="" dxfId="3">
      <formula>C9&lt;&gt;""</formula>
    </cfRule>
  </conditionalFormatting>
  <conditionalFormatting sqref="C10:AM10">
    <cfRule type="expression" priority="6" aboveAverage="0" equalAverage="0" bottom="0" percent="0" rank="0" text="" dxfId="3">
      <formula>C10&lt;&gt;""</formula>
    </cfRule>
  </conditionalFormatting>
  <conditionalFormatting sqref="C11:AM11">
    <cfRule type="expression" priority="7" aboveAverage="0" equalAverage="0" bottom="0" percent="0" rank="0" text="" dxfId="3">
      <formula>C11&lt;&gt;""</formula>
    </cfRule>
  </conditionalFormatting>
  <conditionalFormatting sqref="C12:AM12">
    <cfRule type="expression" priority="8" aboveAverage="0" equalAverage="0" bottom="0" percent="0" rank="0" text="" dxfId="4">
      <formula>C12&lt;&gt;""</formula>
    </cfRule>
  </conditionalFormatting>
  <conditionalFormatting sqref="C13:AM13">
    <cfRule type="expression" priority="9" aboveAverage="0" equalAverage="0" bottom="0" percent="0" rank="0" text="" dxfId="5">
      <formula>C13&lt;&gt;""</formula>
    </cfRule>
  </conditionalFormatting>
  <conditionalFormatting sqref="C14:AM14">
    <cfRule type="expression" priority="10" aboveAverage="0" equalAverage="0" bottom="0" percent="0" rank="0" text="" dxfId="6">
      <formula>C14&lt;&gt;""</formula>
    </cfRule>
  </conditionalFormatting>
  <hyperlinks>
    <hyperlink ref="P2" r:id="rId1" location="'🏠%20Accueil'!A1" display="◀ Accueil"/>
    <hyperlink ref="B6" r:id="rId2" location="'S1'!A1" display="S1 · Environnement numérique"/>
    <hyperlink ref="B7" r:id="rId3" location="'S2'!A1" display="S2 · Comparer pour choisir"/>
    <hyperlink ref="B8" r:id="rId4" location="'S3'!A1" display="S3 · Chaîne d'énergie"/>
    <hyperlink ref="B9" r:id="rId5" location="'S4'!A1" display="S4 · Lampadaire (1) : information &amp; programmes"/>
    <hyperlink ref="B10" r:id="rId6" location="'S5'!A1" display="S5 · Lampadaire (2) : réseau local"/>
    <hyperlink ref="B11" r:id="rId7" location="'S6'!A1" display="S6 · SOS panne"/>
    <hyperlink ref="B12" r:id="rId8" location="'S7'!A1" display="S7 · Mini-proj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F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78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1"/>
  </cols>
  <sheetData>
    <row r="1" customFormat="false" ht="18" hidden="false" customHeight="true" outlineLevel="0" collapsed="false">
      <c r="A1" s="50" t="s">
        <v>209</v>
      </c>
      <c r="B1" s="50"/>
      <c r="C1" s="50"/>
      <c r="D1" s="50"/>
      <c r="E1" s="50"/>
      <c r="F1" s="50"/>
    </row>
    <row r="2" customFormat="false" ht="15" hidden="false" customHeight="true" outlineLevel="0" collapsed="false">
      <c r="A2" s="72" t="s">
        <v>210</v>
      </c>
      <c r="B2" s="72"/>
      <c r="C2" s="72"/>
      <c r="D2" s="72"/>
      <c r="E2" s="72"/>
      <c r="F2" s="72"/>
    </row>
    <row r="3" customFormat="false" ht="15" hidden="false" customHeight="true" outlineLevel="0" collapsed="false">
      <c r="F3" s="30" t="s">
        <v>52</v>
      </c>
    </row>
    <row r="4" customFormat="false" ht="15" hidden="false" customHeight="true" outlineLevel="0" collapsed="false">
      <c r="A4" s="31" t="s">
        <v>211</v>
      </c>
      <c r="B4" s="31" t="s">
        <v>212</v>
      </c>
      <c r="C4" s="31" t="s">
        <v>213</v>
      </c>
      <c r="D4" s="31" t="s">
        <v>214</v>
      </c>
      <c r="E4" s="31" t="s">
        <v>215</v>
      </c>
      <c r="F4" s="31" t="s">
        <v>216</v>
      </c>
    </row>
    <row r="5" customFormat="false" ht="30" hidden="false" customHeight="true" outlineLevel="0" collapsed="false">
      <c r="A5" s="73" t="s">
        <v>217</v>
      </c>
      <c r="B5" s="73" t="s">
        <v>218</v>
      </c>
      <c r="C5" s="73" t="s">
        <v>219</v>
      </c>
      <c r="D5" s="73" t="s">
        <v>220</v>
      </c>
      <c r="E5" s="73" t="s">
        <v>221</v>
      </c>
      <c r="F5" s="73" t="s">
        <v>222</v>
      </c>
    </row>
    <row r="6" customFormat="false" ht="25.5" hidden="false" customHeight="true" outlineLevel="0" collapsed="false">
      <c r="A6" s="74" t="s">
        <v>223</v>
      </c>
      <c r="B6" s="36" t="s">
        <v>224</v>
      </c>
      <c r="C6" s="36" t="s">
        <v>225</v>
      </c>
      <c r="D6" s="36" t="s">
        <v>226</v>
      </c>
      <c r="E6" s="36" t="s">
        <v>227</v>
      </c>
      <c r="F6" s="36" t="s">
        <v>222</v>
      </c>
    </row>
    <row r="7" customFormat="false" ht="25.5" hidden="false" customHeight="true" outlineLevel="0" collapsed="false">
      <c r="A7" s="74" t="s">
        <v>228</v>
      </c>
      <c r="B7" s="36" t="s">
        <v>224</v>
      </c>
      <c r="C7" s="36" t="s">
        <v>229</v>
      </c>
      <c r="D7" s="36" t="s">
        <v>226</v>
      </c>
      <c r="E7" s="36" t="s">
        <v>227</v>
      </c>
      <c r="F7" s="36" t="s">
        <v>222</v>
      </c>
    </row>
    <row r="8" customFormat="false" ht="25.5" hidden="false" customHeight="true" outlineLevel="0" collapsed="false">
      <c r="A8" s="74" t="s">
        <v>230</v>
      </c>
      <c r="B8" s="36" t="s">
        <v>224</v>
      </c>
      <c r="C8" s="36" t="s">
        <v>231</v>
      </c>
      <c r="D8" s="36" t="s">
        <v>226</v>
      </c>
      <c r="E8" s="36" t="s">
        <v>232</v>
      </c>
      <c r="F8" s="36" t="s">
        <v>222</v>
      </c>
    </row>
    <row r="9" customFormat="false" ht="25.5" hidden="false" customHeight="true" outlineLevel="0" collapsed="false">
      <c r="A9" s="74" t="s">
        <v>233</v>
      </c>
      <c r="B9" s="36" t="s">
        <v>224</v>
      </c>
      <c r="C9" s="36" t="s">
        <v>234</v>
      </c>
      <c r="D9" s="36" t="s">
        <v>226</v>
      </c>
      <c r="E9" s="36" t="s">
        <v>235</v>
      </c>
      <c r="F9" s="36" t="s">
        <v>222</v>
      </c>
    </row>
    <row r="10" customFormat="false" ht="25.5" hidden="false" customHeight="true" outlineLevel="0" collapsed="false">
      <c r="A10" s="74" t="s">
        <v>236</v>
      </c>
      <c r="B10" s="36" t="s">
        <v>224</v>
      </c>
      <c r="C10" s="36" t="s">
        <v>237</v>
      </c>
      <c r="D10" s="36" t="s">
        <v>226</v>
      </c>
      <c r="E10" s="36" t="s">
        <v>238</v>
      </c>
      <c r="F10" s="36" t="s">
        <v>222</v>
      </c>
    </row>
    <row r="11" customFormat="false" ht="25.5" hidden="false" customHeight="true" outlineLevel="0" collapsed="false">
      <c r="A11" s="74" t="s">
        <v>239</v>
      </c>
      <c r="B11" s="36" t="s">
        <v>224</v>
      </c>
      <c r="C11" s="36" t="s">
        <v>240</v>
      </c>
      <c r="D11" s="36" t="s">
        <v>226</v>
      </c>
      <c r="E11" s="36" t="s">
        <v>238</v>
      </c>
      <c r="F11" s="36" t="s">
        <v>222</v>
      </c>
    </row>
    <row r="12" customFormat="false" ht="25.5" hidden="false" customHeight="true" outlineLevel="0" collapsed="false">
      <c r="A12" s="74" t="s">
        <v>241</v>
      </c>
      <c r="B12" s="36" t="s">
        <v>242</v>
      </c>
      <c r="C12" s="36" t="s">
        <v>243</v>
      </c>
      <c r="D12" s="36" t="s">
        <v>226</v>
      </c>
      <c r="E12" s="36" t="s">
        <v>244</v>
      </c>
      <c r="F12" s="36" t="s">
        <v>222</v>
      </c>
    </row>
    <row r="13" customFormat="false" ht="25.5" hidden="false" customHeight="true" outlineLevel="0" collapsed="false">
      <c r="A13" s="74" t="s">
        <v>245</v>
      </c>
      <c r="B13" s="36" t="s">
        <v>242</v>
      </c>
      <c r="C13" s="36" t="s">
        <v>246</v>
      </c>
      <c r="D13" s="36" t="s">
        <v>226</v>
      </c>
      <c r="E13" s="36" t="s">
        <v>247</v>
      </c>
      <c r="F13" s="36" t="s">
        <v>222</v>
      </c>
    </row>
    <row r="14" customFormat="false" ht="25.5" hidden="false" customHeight="true" outlineLevel="0" collapsed="false">
      <c r="A14" s="74" t="s">
        <v>248</v>
      </c>
      <c r="B14" s="36" t="s">
        <v>242</v>
      </c>
      <c r="C14" s="36" t="s">
        <v>249</v>
      </c>
      <c r="D14" s="36" t="s">
        <v>226</v>
      </c>
      <c r="E14" s="36" t="s">
        <v>247</v>
      </c>
      <c r="F14" s="36" t="s">
        <v>222</v>
      </c>
    </row>
    <row r="15" customFormat="false" ht="39" hidden="false" customHeight="true" outlineLevel="0" collapsed="false">
      <c r="A15" s="74" t="s">
        <v>250</v>
      </c>
      <c r="B15" s="36" t="s">
        <v>242</v>
      </c>
      <c r="C15" s="36" t="s">
        <v>251</v>
      </c>
      <c r="D15" s="36" t="s">
        <v>226</v>
      </c>
      <c r="E15" s="36" t="s">
        <v>252</v>
      </c>
      <c r="F15" s="36" t="s">
        <v>222</v>
      </c>
    </row>
    <row r="16" customFormat="false" ht="25.5" hidden="false" customHeight="true" outlineLevel="0" collapsed="false">
      <c r="A16" s="74" t="s">
        <v>253</v>
      </c>
      <c r="B16" s="36" t="s">
        <v>254</v>
      </c>
      <c r="C16" s="36" t="s">
        <v>255</v>
      </c>
      <c r="D16" s="36" t="s">
        <v>226</v>
      </c>
      <c r="E16" s="36" t="s">
        <v>247</v>
      </c>
      <c r="F16" s="36" t="s">
        <v>222</v>
      </c>
    </row>
    <row r="17" customFormat="false" ht="25.5" hidden="false" customHeight="true" outlineLevel="0" collapsed="false">
      <c r="A17" s="74" t="s">
        <v>256</v>
      </c>
      <c r="B17" s="36" t="s">
        <v>254</v>
      </c>
      <c r="C17" s="36" t="s">
        <v>257</v>
      </c>
      <c r="D17" s="36" t="s">
        <v>226</v>
      </c>
      <c r="E17" s="36" t="s">
        <v>247</v>
      </c>
      <c r="F17" s="36" t="s">
        <v>222</v>
      </c>
    </row>
    <row r="18" customFormat="false" ht="25.5" hidden="false" customHeight="true" outlineLevel="0" collapsed="false">
      <c r="A18" s="74" t="s">
        <v>258</v>
      </c>
      <c r="B18" s="36" t="s">
        <v>254</v>
      </c>
      <c r="C18" s="36" t="s">
        <v>259</v>
      </c>
      <c r="D18" s="36" t="s">
        <v>226</v>
      </c>
      <c r="E18" s="36" t="s">
        <v>247</v>
      </c>
      <c r="F18" s="36" t="s">
        <v>222</v>
      </c>
    </row>
    <row r="19" customFormat="false" ht="25.5" hidden="false" customHeight="true" outlineLevel="0" collapsed="false">
      <c r="A19" s="74" t="s">
        <v>260</v>
      </c>
      <c r="B19" s="36" t="s">
        <v>254</v>
      </c>
      <c r="C19" s="36" t="s">
        <v>261</v>
      </c>
      <c r="D19" s="36" t="s">
        <v>226</v>
      </c>
      <c r="E19" s="36" t="s">
        <v>247</v>
      </c>
      <c r="F19" s="36" t="s">
        <v>222</v>
      </c>
    </row>
    <row r="20" customFormat="false" ht="25.5" hidden="false" customHeight="true" outlineLevel="0" collapsed="false">
      <c r="A20" s="74" t="s">
        <v>262</v>
      </c>
      <c r="B20" s="36" t="s">
        <v>254</v>
      </c>
      <c r="C20" s="36" t="s">
        <v>263</v>
      </c>
      <c r="D20" s="36" t="s">
        <v>226</v>
      </c>
      <c r="E20" s="36" t="s">
        <v>264</v>
      </c>
      <c r="F20" s="36" t="s">
        <v>222</v>
      </c>
    </row>
    <row r="21" customFormat="false" ht="30" hidden="false" customHeight="true" outlineLevel="0" collapsed="false">
      <c r="A21" s="73" t="s">
        <v>265</v>
      </c>
      <c r="B21" s="73" t="s">
        <v>218</v>
      </c>
      <c r="C21" s="73" t="s">
        <v>266</v>
      </c>
      <c r="D21" s="73" t="s">
        <v>226</v>
      </c>
      <c r="E21" s="73" t="s">
        <v>244</v>
      </c>
      <c r="F21" s="73" t="s">
        <v>222</v>
      </c>
    </row>
    <row r="22" customFormat="false" ht="25.5" hidden="false" customHeight="true" outlineLevel="0" collapsed="false">
      <c r="A22" s="74" t="s">
        <v>267</v>
      </c>
      <c r="B22" s="36" t="s">
        <v>224</v>
      </c>
      <c r="C22" s="36" t="s">
        <v>268</v>
      </c>
      <c r="D22" s="36" t="s">
        <v>226</v>
      </c>
      <c r="E22" s="36" t="s">
        <v>269</v>
      </c>
      <c r="F22" s="36" t="s">
        <v>222</v>
      </c>
    </row>
    <row r="23" customFormat="false" ht="25.5" hidden="false" customHeight="true" outlineLevel="0" collapsed="false">
      <c r="A23" s="74" t="s">
        <v>270</v>
      </c>
      <c r="B23" s="36" t="s">
        <v>224</v>
      </c>
      <c r="C23" s="36" t="s">
        <v>271</v>
      </c>
      <c r="D23" s="36" t="s">
        <v>226</v>
      </c>
      <c r="E23" s="36" t="s">
        <v>244</v>
      </c>
      <c r="F23" s="36" t="s">
        <v>222</v>
      </c>
    </row>
    <row r="24" customFormat="false" ht="39" hidden="false" customHeight="true" outlineLevel="0" collapsed="false">
      <c r="A24" s="74" t="s">
        <v>272</v>
      </c>
      <c r="B24" s="36" t="s">
        <v>242</v>
      </c>
      <c r="C24" s="36" t="s">
        <v>273</v>
      </c>
      <c r="D24" s="36" t="s">
        <v>226</v>
      </c>
      <c r="E24" s="36" t="s">
        <v>274</v>
      </c>
      <c r="F24" s="36" t="s">
        <v>222</v>
      </c>
    </row>
    <row r="25" customFormat="false" ht="39" hidden="false" customHeight="true" outlineLevel="0" collapsed="false">
      <c r="A25" s="74" t="s">
        <v>275</v>
      </c>
      <c r="B25" s="36" t="s">
        <v>242</v>
      </c>
      <c r="C25" s="36" t="s">
        <v>276</v>
      </c>
      <c r="D25" s="36" t="s">
        <v>226</v>
      </c>
      <c r="E25" s="36" t="s">
        <v>247</v>
      </c>
      <c r="F25" s="36" t="s">
        <v>222</v>
      </c>
    </row>
    <row r="26" customFormat="false" ht="25.5" hidden="false" customHeight="true" outlineLevel="0" collapsed="false">
      <c r="A26" s="74" t="s">
        <v>277</v>
      </c>
      <c r="B26" s="36" t="s">
        <v>254</v>
      </c>
      <c r="C26" s="36" t="s">
        <v>278</v>
      </c>
      <c r="D26" s="36" t="s">
        <v>226</v>
      </c>
      <c r="E26" s="36" t="s">
        <v>274</v>
      </c>
      <c r="F26" s="36" t="s">
        <v>222</v>
      </c>
    </row>
    <row r="27" customFormat="false" ht="30" hidden="false" customHeight="true" outlineLevel="0" collapsed="false">
      <c r="A27" s="73" t="s">
        <v>279</v>
      </c>
      <c r="B27" s="73" t="s">
        <v>218</v>
      </c>
      <c r="C27" s="73" t="s">
        <v>280</v>
      </c>
      <c r="D27" s="73" t="s">
        <v>226</v>
      </c>
      <c r="E27" s="73" t="s">
        <v>281</v>
      </c>
      <c r="F27" s="73" t="s">
        <v>222</v>
      </c>
    </row>
    <row r="28" customFormat="false" ht="25.5" hidden="false" customHeight="true" outlineLevel="0" collapsed="false">
      <c r="A28" s="74" t="s">
        <v>282</v>
      </c>
      <c r="B28" s="36" t="s">
        <v>224</v>
      </c>
      <c r="C28" s="36" t="s">
        <v>283</v>
      </c>
      <c r="D28" s="36" t="s">
        <v>226</v>
      </c>
      <c r="E28" s="36" t="s">
        <v>227</v>
      </c>
      <c r="F28" s="36" t="s">
        <v>222</v>
      </c>
    </row>
    <row r="29" customFormat="false" ht="25.5" hidden="false" customHeight="true" outlineLevel="0" collapsed="false">
      <c r="A29" s="74" t="s">
        <v>284</v>
      </c>
      <c r="B29" s="36" t="s">
        <v>224</v>
      </c>
      <c r="C29" s="36" t="s">
        <v>285</v>
      </c>
      <c r="D29" s="36" t="s">
        <v>226</v>
      </c>
      <c r="E29" s="36" t="s">
        <v>247</v>
      </c>
      <c r="F29" s="36" t="s">
        <v>222</v>
      </c>
    </row>
    <row r="30" customFormat="false" ht="25.5" hidden="false" customHeight="true" outlineLevel="0" collapsed="false">
      <c r="A30" s="74" t="s">
        <v>286</v>
      </c>
      <c r="B30" s="36" t="s">
        <v>224</v>
      </c>
      <c r="C30" s="36" t="s">
        <v>287</v>
      </c>
      <c r="D30" s="36" t="s">
        <v>226</v>
      </c>
      <c r="E30" s="36" t="s">
        <v>247</v>
      </c>
      <c r="F30" s="36" t="s">
        <v>222</v>
      </c>
    </row>
    <row r="31" customFormat="false" ht="25.5" hidden="false" customHeight="true" outlineLevel="0" collapsed="false">
      <c r="A31" s="74" t="s">
        <v>288</v>
      </c>
      <c r="B31" s="36" t="s">
        <v>224</v>
      </c>
      <c r="C31" s="36" t="s">
        <v>289</v>
      </c>
      <c r="D31" s="36" t="s">
        <v>226</v>
      </c>
      <c r="E31" s="36" t="s">
        <v>290</v>
      </c>
      <c r="F31" s="36" t="s">
        <v>222</v>
      </c>
    </row>
    <row r="32" customFormat="false" ht="25.5" hidden="false" customHeight="true" outlineLevel="0" collapsed="false">
      <c r="A32" s="74" t="s">
        <v>291</v>
      </c>
      <c r="B32" s="36" t="s">
        <v>242</v>
      </c>
      <c r="C32" s="36" t="s">
        <v>292</v>
      </c>
      <c r="D32" s="36" t="s">
        <v>226</v>
      </c>
      <c r="E32" s="36" t="s">
        <v>247</v>
      </c>
      <c r="F32" s="36" t="s">
        <v>222</v>
      </c>
    </row>
    <row r="33" customFormat="false" ht="39" hidden="false" customHeight="true" outlineLevel="0" collapsed="false">
      <c r="A33" s="74" t="s">
        <v>293</v>
      </c>
      <c r="B33" s="36" t="s">
        <v>242</v>
      </c>
      <c r="C33" s="36" t="s">
        <v>294</v>
      </c>
      <c r="D33" s="36" t="s">
        <v>226</v>
      </c>
      <c r="E33" s="36" t="s">
        <v>281</v>
      </c>
      <c r="F33" s="36" t="s">
        <v>222</v>
      </c>
    </row>
    <row r="34" customFormat="false" ht="25.5" hidden="false" customHeight="true" outlineLevel="0" collapsed="false">
      <c r="A34" s="74" t="s">
        <v>295</v>
      </c>
      <c r="B34" s="36" t="s">
        <v>242</v>
      </c>
      <c r="C34" s="36" t="s">
        <v>296</v>
      </c>
      <c r="D34" s="36" t="s">
        <v>226</v>
      </c>
      <c r="E34" s="36" t="s">
        <v>290</v>
      </c>
      <c r="F34" s="36" t="s">
        <v>222</v>
      </c>
    </row>
    <row r="35" customFormat="false" ht="25.5" hidden="false" customHeight="true" outlineLevel="0" collapsed="false">
      <c r="A35" s="74" t="s">
        <v>297</v>
      </c>
      <c r="B35" s="36" t="s">
        <v>254</v>
      </c>
      <c r="C35" s="36" t="s">
        <v>298</v>
      </c>
      <c r="D35" s="36" t="s">
        <v>226</v>
      </c>
      <c r="E35" s="36" t="s">
        <v>247</v>
      </c>
      <c r="F35" s="36" t="s">
        <v>222</v>
      </c>
    </row>
    <row r="36" customFormat="false" ht="25.5" hidden="false" customHeight="true" outlineLevel="0" collapsed="false">
      <c r="A36" s="74" t="s">
        <v>299</v>
      </c>
      <c r="B36" s="36" t="s">
        <v>254</v>
      </c>
      <c r="C36" s="36" t="s">
        <v>300</v>
      </c>
      <c r="D36" s="36" t="s">
        <v>226</v>
      </c>
      <c r="E36" s="36" t="s">
        <v>247</v>
      </c>
      <c r="F36" s="36" t="s">
        <v>222</v>
      </c>
    </row>
    <row r="37" customFormat="false" ht="25.5" hidden="false" customHeight="true" outlineLevel="0" collapsed="false">
      <c r="A37" s="74" t="s">
        <v>301</v>
      </c>
      <c r="B37" s="36" t="s">
        <v>254</v>
      </c>
      <c r="C37" s="36" t="s">
        <v>302</v>
      </c>
      <c r="D37" s="36" t="s">
        <v>226</v>
      </c>
      <c r="E37" s="36" t="s">
        <v>247</v>
      </c>
      <c r="F37" s="36" t="s">
        <v>222</v>
      </c>
    </row>
    <row r="38" customFormat="false" ht="25.5" hidden="false" customHeight="true" outlineLevel="0" collapsed="false">
      <c r="A38" s="74" t="s">
        <v>303</v>
      </c>
      <c r="B38" s="36" t="s">
        <v>254</v>
      </c>
      <c r="C38" s="36" t="s">
        <v>304</v>
      </c>
      <c r="D38" s="36" t="s">
        <v>226</v>
      </c>
      <c r="E38" s="36" t="s">
        <v>290</v>
      </c>
      <c r="F38" s="36" t="s">
        <v>222</v>
      </c>
    </row>
    <row r="39" customFormat="false" ht="30" hidden="false" customHeight="true" outlineLevel="0" collapsed="false">
      <c r="A39" s="73" t="s">
        <v>305</v>
      </c>
      <c r="B39" s="73" t="s">
        <v>218</v>
      </c>
      <c r="C39" s="73" t="s">
        <v>306</v>
      </c>
      <c r="D39" s="73" t="s">
        <v>307</v>
      </c>
      <c r="E39" s="73" t="s">
        <v>308</v>
      </c>
      <c r="F39" s="73" t="s">
        <v>222</v>
      </c>
    </row>
    <row r="40" customFormat="false" ht="25.5" hidden="false" customHeight="true" outlineLevel="0" collapsed="false">
      <c r="A40" s="74" t="s">
        <v>309</v>
      </c>
      <c r="B40" s="36" t="s">
        <v>224</v>
      </c>
      <c r="C40" s="36" t="s">
        <v>310</v>
      </c>
      <c r="D40" s="36" t="s">
        <v>311</v>
      </c>
      <c r="E40" s="36" t="s">
        <v>312</v>
      </c>
      <c r="F40" s="36" t="s">
        <v>222</v>
      </c>
    </row>
    <row r="41" customFormat="false" ht="25.5" hidden="false" customHeight="true" outlineLevel="0" collapsed="false">
      <c r="A41" s="74" t="s">
        <v>313</v>
      </c>
      <c r="B41" s="36" t="s">
        <v>224</v>
      </c>
      <c r="C41" s="36" t="s">
        <v>314</v>
      </c>
      <c r="D41" s="36" t="s">
        <v>311</v>
      </c>
      <c r="E41" s="36" t="s">
        <v>290</v>
      </c>
      <c r="F41" s="36" t="s">
        <v>222</v>
      </c>
    </row>
    <row r="42" customFormat="false" ht="25.5" hidden="false" customHeight="true" outlineLevel="0" collapsed="false">
      <c r="A42" s="74" t="s">
        <v>315</v>
      </c>
      <c r="B42" s="36" t="s">
        <v>224</v>
      </c>
      <c r="C42" s="36" t="s">
        <v>316</v>
      </c>
      <c r="D42" s="36" t="s">
        <v>311</v>
      </c>
      <c r="E42" s="36" t="s">
        <v>317</v>
      </c>
      <c r="F42" s="36" t="s">
        <v>222</v>
      </c>
    </row>
    <row r="43" customFormat="false" ht="25.5" hidden="false" customHeight="true" outlineLevel="0" collapsed="false">
      <c r="A43" s="74" t="s">
        <v>318</v>
      </c>
      <c r="B43" s="36" t="s">
        <v>224</v>
      </c>
      <c r="C43" s="36" t="s">
        <v>319</v>
      </c>
      <c r="D43" s="36" t="s">
        <v>311</v>
      </c>
      <c r="E43" s="36" t="s">
        <v>247</v>
      </c>
      <c r="F43" s="36" t="s">
        <v>222</v>
      </c>
    </row>
    <row r="44" customFormat="false" ht="25.5" hidden="false" customHeight="true" outlineLevel="0" collapsed="false">
      <c r="A44" s="74" t="s">
        <v>320</v>
      </c>
      <c r="B44" s="36" t="s">
        <v>224</v>
      </c>
      <c r="C44" s="36" t="s">
        <v>321</v>
      </c>
      <c r="D44" s="36" t="s">
        <v>311</v>
      </c>
      <c r="E44" s="36" t="s">
        <v>290</v>
      </c>
      <c r="F44" s="36" t="s">
        <v>222</v>
      </c>
    </row>
    <row r="45" customFormat="false" ht="25.5" hidden="false" customHeight="true" outlineLevel="0" collapsed="false">
      <c r="A45" s="74" t="s">
        <v>322</v>
      </c>
      <c r="B45" s="36" t="s">
        <v>224</v>
      </c>
      <c r="C45" s="36" t="s">
        <v>323</v>
      </c>
      <c r="D45" s="36" t="s">
        <v>311</v>
      </c>
      <c r="E45" s="36" t="s">
        <v>290</v>
      </c>
      <c r="F45" s="36" t="s">
        <v>222</v>
      </c>
    </row>
    <row r="46" customFormat="false" ht="25.5" hidden="false" customHeight="true" outlineLevel="0" collapsed="false">
      <c r="A46" s="74" t="s">
        <v>324</v>
      </c>
      <c r="B46" s="36" t="s">
        <v>224</v>
      </c>
      <c r="C46" s="36" t="s">
        <v>325</v>
      </c>
      <c r="D46" s="36" t="s">
        <v>311</v>
      </c>
      <c r="E46" s="36" t="s">
        <v>227</v>
      </c>
      <c r="F46" s="36" t="s">
        <v>222</v>
      </c>
    </row>
    <row r="47" customFormat="false" ht="25.5" hidden="false" customHeight="true" outlineLevel="0" collapsed="false">
      <c r="A47" s="74" t="s">
        <v>326</v>
      </c>
      <c r="B47" s="36" t="s">
        <v>224</v>
      </c>
      <c r="C47" s="36" t="s">
        <v>327</v>
      </c>
      <c r="D47" s="36" t="s">
        <v>311</v>
      </c>
      <c r="E47" s="36" t="s">
        <v>227</v>
      </c>
      <c r="F47" s="36" t="s">
        <v>222</v>
      </c>
    </row>
    <row r="48" customFormat="false" ht="25.5" hidden="false" customHeight="true" outlineLevel="0" collapsed="false">
      <c r="A48" s="74" t="s">
        <v>328</v>
      </c>
      <c r="B48" s="36" t="s">
        <v>242</v>
      </c>
      <c r="C48" s="36" t="s">
        <v>329</v>
      </c>
      <c r="D48" s="36" t="s">
        <v>311</v>
      </c>
      <c r="E48" s="36" t="s">
        <v>312</v>
      </c>
      <c r="F48" s="36" t="s">
        <v>222</v>
      </c>
    </row>
    <row r="49" customFormat="false" ht="25.5" hidden="false" customHeight="true" outlineLevel="0" collapsed="false">
      <c r="A49" s="74" t="s">
        <v>330</v>
      </c>
      <c r="B49" s="36" t="s">
        <v>242</v>
      </c>
      <c r="C49" s="36" t="s">
        <v>331</v>
      </c>
      <c r="D49" s="36" t="s">
        <v>311</v>
      </c>
      <c r="E49" s="36" t="s">
        <v>290</v>
      </c>
      <c r="F49" s="36" t="s">
        <v>222</v>
      </c>
    </row>
    <row r="50" customFormat="false" ht="25.5" hidden="false" customHeight="true" outlineLevel="0" collapsed="false">
      <c r="A50" s="74" t="s">
        <v>332</v>
      </c>
      <c r="B50" s="36" t="s">
        <v>242</v>
      </c>
      <c r="C50" s="36" t="s">
        <v>333</v>
      </c>
      <c r="D50" s="36" t="s">
        <v>311</v>
      </c>
      <c r="E50" s="36" t="s">
        <v>247</v>
      </c>
      <c r="F50" s="36" t="s">
        <v>222</v>
      </c>
    </row>
    <row r="51" customFormat="false" ht="25.5" hidden="false" customHeight="true" outlineLevel="0" collapsed="false">
      <c r="A51" s="74" t="s">
        <v>334</v>
      </c>
      <c r="B51" s="36" t="s">
        <v>242</v>
      </c>
      <c r="C51" s="36" t="s">
        <v>335</v>
      </c>
      <c r="D51" s="36" t="s">
        <v>311</v>
      </c>
      <c r="E51" s="36" t="s">
        <v>290</v>
      </c>
      <c r="F51" s="36" t="s">
        <v>222</v>
      </c>
    </row>
    <row r="52" customFormat="false" ht="25.5" hidden="false" customHeight="true" outlineLevel="0" collapsed="false">
      <c r="A52" s="74" t="s">
        <v>336</v>
      </c>
      <c r="B52" s="36" t="s">
        <v>242</v>
      </c>
      <c r="C52" s="36" t="s">
        <v>337</v>
      </c>
      <c r="D52" s="36" t="s">
        <v>311</v>
      </c>
      <c r="E52" s="36" t="s">
        <v>290</v>
      </c>
      <c r="F52" s="36" t="s">
        <v>222</v>
      </c>
    </row>
    <row r="53" customFormat="false" ht="25.5" hidden="false" customHeight="true" outlineLevel="0" collapsed="false">
      <c r="A53" s="74" t="s">
        <v>338</v>
      </c>
      <c r="B53" s="36" t="s">
        <v>242</v>
      </c>
      <c r="C53" s="36" t="s">
        <v>339</v>
      </c>
      <c r="D53" s="36" t="s">
        <v>311</v>
      </c>
      <c r="E53" s="36" t="s">
        <v>290</v>
      </c>
      <c r="F53" s="36" t="s">
        <v>222</v>
      </c>
    </row>
    <row r="54" customFormat="false" ht="25.5" hidden="false" customHeight="true" outlineLevel="0" collapsed="false">
      <c r="A54" s="74" t="s">
        <v>340</v>
      </c>
      <c r="B54" s="36" t="s">
        <v>242</v>
      </c>
      <c r="C54" s="36" t="s">
        <v>341</v>
      </c>
      <c r="D54" s="36" t="s">
        <v>311</v>
      </c>
      <c r="E54" s="36" t="s">
        <v>227</v>
      </c>
      <c r="F54" s="36" t="s">
        <v>222</v>
      </c>
    </row>
    <row r="55" customFormat="false" ht="39" hidden="false" customHeight="true" outlineLevel="0" collapsed="false">
      <c r="A55" s="74" t="s">
        <v>342</v>
      </c>
      <c r="B55" s="36" t="s">
        <v>242</v>
      </c>
      <c r="C55" s="36" t="s">
        <v>343</v>
      </c>
      <c r="D55" s="36" t="s">
        <v>311</v>
      </c>
      <c r="E55" s="36" t="s">
        <v>227</v>
      </c>
      <c r="F55" s="36" t="s">
        <v>222</v>
      </c>
    </row>
    <row r="56" customFormat="false" ht="25.5" hidden="false" customHeight="true" outlineLevel="0" collapsed="false">
      <c r="A56" s="74" t="s">
        <v>344</v>
      </c>
      <c r="B56" s="36" t="s">
        <v>242</v>
      </c>
      <c r="C56" s="36" t="s">
        <v>345</v>
      </c>
      <c r="D56" s="36" t="s">
        <v>311</v>
      </c>
      <c r="E56" s="36" t="s">
        <v>227</v>
      </c>
      <c r="F56" s="36" t="s">
        <v>222</v>
      </c>
    </row>
    <row r="57" customFormat="false" ht="25.5" hidden="false" customHeight="true" outlineLevel="0" collapsed="false">
      <c r="A57" s="74" t="s">
        <v>346</v>
      </c>
      <c r="B57" s="36" t="s">
        <v>254</v>
      </c>
      <c r="C57" s="36" t="s">
        <v>347</v>
      </c>
      <c r="D57" s="36" t="s">
        <v>311</v>
      </c>
      <c r="E57" s="36" t="s">
        <v>290</v>
      </c>
      <c r="F57" s="36" t="s">
        <v>222</v>
      </c>
    </row>
    <row r="58" customFormat="false" ht="25.5" hidden="false" customHeight="true" outlineLevel="0" collapsed="false">
      <c r="A58" s="74" t="s">
        <v>348</v>
      </c>
      <c r="B58" s="36" t="s">
        <v>254</v>
      </c>
      <c r="C58" s="36" t="s">
        <v>349</v>
      </c>
      <c r="D58" s="36" t="s">
        <v>311</v>
      </c>
      <c r="E58" s="36" t="s">
        <v>247</v>
      </c>
      <c r="F58" s="36" t="s">
        <v>222</v>
      </c>
    </row>
    <row r="59" customFormat="false" ht="25.5" hidden="false" customHeight="true" outlineLevel="0" collapsed="false">
      <c r="A59" s="74" t="s">
        <v>350</v>
      </c>
      <c r="B59" s="36" t="s">
        <v>254</v>
      </c>
      <c r="C59" s="36" t="s">
        <v>351</v>
      </c>
      <c r="D59" s="36" t="s">
        <v>311</v>
      </c>
      <c r="E59" s="36" t="s">
        <v>290</v>
      </c>
      <c r="F59" s="36" t="s">
        <v>222</v>
      </c>
    </row>
    <row r="60" customFormat="false" ht="25.5" hidden="false" customHeight="true" outlineLevel="0" collapsed="false">
      <c r="A60" s="74" t="s">
        <v>352</v>
      </c>
      <c r="B60" s="36" t="s">
        <v>254</v>
      </c>
      <c r="C60" s="36" t="s">
        <v>353</v>
      </c>
      <c r="D60" s="36" t="s">
        <v>311</v>
      </c>
      <c r="E60" s="36" t="s">
        <v>290</v>
      </c>
      <c r="F60" s="36" t="s">
        <v>222</v>
      </c>
    </row>
    <row r="61" customFormat="false" ht="25.5" hidden="false" customHeight="true" outlineLevel="0" collapsed="false">
      <c r="A61" s="74" t="s">
        <v>354</v>
      </c>
      <c r="B61" s="36" t="s">
        <v>254</v>
      </c>
      <c r="C61" s="36" t="s">
        <v>355</v>
      </c>
      <c r="D61" s="36" t="s">
        <v>311</v>
      </c>
      <c r="E61" s="36" t="s">
        <v>290</v>
      </c>
      <c r="F61" s="36" t="s">
        <v>222</v>
      </c>
    </row>
    <row r="62" customFormat="false" ht="25.5" hidden="false" customHeight="true" outlineLevel="0" collapsed="false">
      <c r="A62" s="74" t="s">
        <v>356</v>
      </c>
      <c r="B62" s="36" t="s">
        <v>254</v>
      </c>
      <c r="C62" s="36" t="s">
        <v>357</v>
      </c>
      <c r="D62" s="36" t="s">
        <v>311</v>
      </c>
      <c r="E62" s="36" t="s">
        <v>290</v>
      </c>
      <c r="F62" s="36" t="s">
        <v>222</v>
      </c>
    </row>
    <row r="63" customFormat="false" ht="25.5" hidden="false" customHeight="true" outlineLevel="0" collapsed="false">
      <c r="A63" s="74" t="s">
        <v>358</v>
      </c>
      <c r="B63" s="36" t="s">
        <v>254</v>
      </c>
      <c r="C63" s="36" t="s">
        <v>359</v>
      </c>
      <c r="D63" s="36" t="s">
        <v>311</v>
      </c>
      <c r="E63" s="36" t="s">
        <v>227</v>
      </c>
      <c r="F63" s="36" t="s">
        <v>222</v>
      </c>
    </row>
    <row r="64" customFormat="false" ht="25.5" hidden="false" customHeight="true" outlineLevel="0" collapsed="false">
      <c r="A64" s="74" t="s">
        <v>360</v>
      </c>
      <c r="B64" s="36" t="s">
        <v>254</v>
      </c>
      <c r="C64" s="36" t="s">
        <v>361</v>
      </c>
      <c r="D64" s="36" t="s">
        <v>311</v>
      </c>
      <c r="E64" s="36" t="s">
        <v>227</v>
      </c>
      <c r="F64" s="36" t="s">
        <v>222</v>
      </c>
    </row>
    <row r="65" customFormat="false" ht="30" hidden="false" customHeight="true" outlineLevel="0" collapsed="false">
      <c r="A65" s="73" t="s">
        <v>362</v>
      </c>
      <c r="B65" s="73" t="s">
        <v>218</v>
      </c>
      <c r="C65" s="73" t="s">
        <v>363</v>
      </c>
      <c r="D65" s="73" t="s">
        <v>311</v>
      </c>
      <c r="E65" s="73" t="s">
        <v>281</v>
      </c>
      <c r="F65" s="73" t="s">
        <v>222</v>
      </c>
    </row>
    <row r="66" customFormat="false" ht="25.5" hidden="false" customHeight="true" outlineLevel="0" collapsed="false">
      <c r="A66" s="74" t="s">
        <v>364</v>
      </c>
      <c r="B66" s="36" t="s">
        <v>224</v>
      </c>
      <c r="C66" s="36" t="s">
        <v>365</v>
      </c>
      <c r="D66" s="36" t="s">
        <v>311</v>
      </c>
      <c r="E66" s="36" t="s">
        <v>290</v>
      </c>
      <c r="F66" s="36" t="s">
        <v>222</v>
      </c>
    </row>
    <row r="67" customFormat="false" ht="25.5" hidden="false" customHeight="true" outlineLevel="0" collapsed="false">
      <c r="A67" s="74" t="s">
        <v>366</v>
      </c>
      <c r="B67" s="36" t="s">
        <v>224</v>
      </c>
      <c r="C67" s="36" t="s">
        <v>367</v>
      </c>
      <c r="D67" s="36" t="s">
        <v>311</v>
      </c>
      <c r="E67" s="36" t="s">
        <v>368</v>
      </c>
      <c r="F67" s="36" t="s">
        <v>222</v>
      </c>
    </row>
    <row r="68" customFormat="false" ht="25.5" hidden="false" customHeight="true" outlineLevel="0" collapsed="false">
      <c r="A68" s="74" t="s">
        <v>369</v>
      </c>
      <c r="B68" s="36" t="s">
        <v>224</v>
      </c>
      <c r="C68" s="36" t="s">
        <v>370</v>
      </c>
      <c r="D68" s="36" t="s">
        <v>311</v>
      </c>
      <c r="E68" s="36" t="s">
        <v>221</v>
      </c>
      <c r="F68" s="36" t="s">
        <v>222</v>
      </c>
    </row>
    <row r="69" customFormat="false" ht="25.5" hidden="false" customHeight="true" outlineLevel="0" collapsed="false">
      <c r="A69" s="74" t="s">
        <v>371</v>
      </c>
      <c r="B69" s="36" t="s">
        <v>242</v>
      </c>
      <c r="C69" s="36" t="s">
        <v>372</v>
      </c>
      <c r="D69" s="36" t="s">
        <v>311</v>
      </c>
      <c r="E69" s="36" t="s">
        <v>290</v>
      </c>
      <c r="F69" s="36" t="s">
        <v>222</v>
      </c>
    </row>
    <row r="70" customFormat="false" ht="25.5" hidden="false" customHeight="true" outlineLevel="0" collapsed="false">
      <c r="A70" s="74" t="s">
        <v>373</v>
      </c>
      <c r="B70" s="36" t="s">
        <v>242</v>
      </c>
      <c r="C70" s="36" t="s">
        <v>374</v>
      </c>
      <c r="D70" s="36" t="s">
        <v>311</v>
      </c>
      <c r="E70" s="36" t="s">
        <v>368</v>
      </c>
      <c r="F70" s="36" t="s">
        <v>222</v>
      </c>
    </row>
    <row r="71" customFormat="false" ht="25.5" hidden="false" customHeight="true" outlineLevel="0" collapsed="false">
      <c r="A71" s="74" t="s">
        <v>375</v>
      </c>
      <c r="B71" s="36" t="s">
        <v>242</v>
      </c>
      <c r="C71" s="36" t="s">
        <v>376</v>
      </c>
      <c r="D71" s="36" t="s">
        <v>311</v>
      </c>
      <c r="E71" s="36" t="s">
        <v>368</v>
      </c>
      <c r="F71" s="36" t="s">
        <v>222</v>
      </c>
    </row>
    <row r="72" customFormat="false" ht="25.5" hidden="false" customHeight="true" outlineLevel="0" collapsed="false">
      <c r="A72" s="74" t="s">
        <v>377</v>
      </c>
      <c r="B72" s="36" t="s">
        <v>254</v>
      </c>
      <c r="C72" s="36" t="s">
        <v>378</v>
      </c>
      <c r="D72" s="36" t="s">
        <v>311</v>
      </c>
      <c r="E72" s="36" t="s">
        <v>290</v>
      </c>
      <c r="F72" s="36" t="s">
        <v>222</v>
      </c>
    </row>
    <row r="73" customFormat="false" ht="25.5" hidden="false" customHeight="true" outlineLevel="0" collapsed="false">
      <c r="A73" s="74" t="s">
        <v>379</v>
      </c>
      <c r="B73" s="36" t="s">
        <v>254</v>
      </c>
      <c r="C73" s="36" t="s">
        <v>380</v>
      </c>
      <c r="D73" s="36" t="s">
        <v>311</v>
      </c>
      <c r="E73" s="36" t="s">
        <v>290</v>
      </c>
      <c r="F73" s="36" t="s">
        <v>222</v>
      </c>
    </row>
    <row r="74" customFormat="false" ht="25.5" hidden="false" customHeight="true" outlineLevel="0" collapsed="false">
      <c r="A74" s="74" t="s">
        <v>381</v>
      </c>
      <c r="B74" s="36" t="s">
        <v>254</v>
      </c>
      <c r="C74" s="36" t="s">
        <v>382</v>
      </c>
      <c r="D74" s="36" t="s">
        <v>311</v>
      </c>
      <c r="E74" s="36" t="s">
        <v>368</v>
      </c>
      <c r="F74" s="36" t="s">
        <v>222</v>
      </c>
    </row>
    <row r="75" customFormat="false" ht="25.5" hidden="false" customHeight="true" outlineLevel="0" collapsed="false">
      <c r="A75" s="74" t="s">
        <v>383</v>
      </c>
      <c r="B75" s="36" t="s">
        <v>254</v>
      </c>
      <c r="C75" s="36" t="s">
        <v>384</v>
      </c>
      <c r="D75" s="36" t="s">
        <v>311</v>
      </c>
      <c r="E75" s="36" t="s">
        <v>368</v>
      </c>
      <c r="F75" s="36" t="s">
        <v>222</v>
      </c>
    </row>
    <row r="76" customFormat="false" ht="30" hidden="false" customHeight="true" outlineLevel="0" collapsed="false">
      <c r="A76" s="73" t="s">
        <v>385</v>
      </c>
      <c r="B76" s="73" t="s">
        <v>218</v>
      </c>
      <c r="C76" s="73" t="s">
        <v>386</v>
      </c>
      <c r="D76" s="73" t="s">
        <v>311</v>
      </c>
      <c r="E76" s="73" t="s">
        <v>290</v>
      </c>
      <c r="F76" s="73" t="s">
        <v>222</v>
      </c>
    </row>
    <row r="77" customFormat="false" ht="25.5" hidden="false" customHeight="true" outlineLevel="0" collapsed="false">
      <c r="A77" s="74" t="s">
        <v>387</v>
      </c>
      <c r="B77" s="36" t="s">
        <v>224</v>
      </c>
      <c r="C77" s="36" t="s">
        <v>388</v>
      </c>
      <c r="D77" s="36" t="s">
        <v>311</v>
      </c>
      <c r="E77" s="36" t="s">
        <v>290</v>
      </c>
      <c r="F77" s="36" t="s">
        <v>222</v>
      </c>
    </row>
    <row r="78" customFormat="false" ht="25.5" hidden="false" customHeight="true" outlineLevel="0" collapsed="false">
      <c r="A78" s="74" t="s">
        <v>389</v>
      </c>
      <c r="B78" s="36" t="s">
        <v>224</v>
      </c>
      <c r="C78" s="36" t="s">
        <v>390</v>
      </c>
      <c r="D78" s="36" t="s">
        <v>311</v>
      </c>
      <c r="E78" s="36" t="s">
        <v>317</v>
      </c>
      <c r="F78" s="36" t="s">
        <v>222</v>
      </c>
    </row>
    <row r="79" customFormat="false" ht="25.5" hidden="false" customHeight="true" outlineLevel="0" collapsed="false">
      <c r="A79" s="74" t="s">
        <v>391</v>
      </c>
      <c r="B79" s="36" t="s">
        <v>224</v>
      </c>
      <c r="C79" s="36" t="s">
        <v>392</v>
      </c>
      <c r="D79" s="36" t="s">
        <v>311</v>
      </c>
      <c r="E79" s="36" t="s">
        <v>317</v>
      </c>
      <c r="F79" s="36" t="s">
        <v>222</v>
      </c>
    </row>
    <row r="80" customFormat="false" ht="25.5" hidden="false" customHeight="true" outlineLevel="0" collapsed="false">
      <c r="A80" s="74" t="s">
        <v>393</v>
      </c>
      <c r="B80" s="36" t="s">
        <v>242</v>
      </c>
      <c r="C80" s="36" t="s">
        <v>394</v>
      </c>
      <c r="D80" s="36" t="s">
        <v>311</v>
      </c>
      <c r="E80" s="36" t="s">
        <v>290</v>
      </c>
      <c r="F80" s="36" t="s">
        <v>222</v>
      </c>
    </row>
    <row r="81" customFormat="false" ht="25.5" hidden="false" customHeight="true" outlineLevel="0" collapsed="false">
      <c r="A81" s="74" t="s">
        <v>395</v>
      </c>
      <c r="B81" s="36" t="s">
        <v>242</v>
      </c>
      <c r="C81" s="36" t="s">
        <v>396</v>
      </c>
      <c r="D81" s="36" t="s">
        <v>311</v>
      </c>
      <c r="E81" s="36" t="s">
        <v>290</v>
      </c>
      <c r="F81" s="36" t="s">
        <v>222</v>
      </c>
    </row>
    <row r="82" customFormat="false" ht="25.5" hidden="false" customHeight="true" outlineLevel="0" collapsed="false">
      <c r="A82" s="74" t="s">
        <v>397</v>
      </c>
      <c r="B82" s="36" t="s">
        <v>242</v>
      </c>
      <c r="C82" s="36" t="s">
        <v>398</v>
      </c>
      <c r="D82" s="36" t="s">
        <v>311</v>
      </c>
      <c r="E82" s="36" t="s">
        <v>290</v>
      </c>
      <c r="F82" s="36" t="s">
        <v>222</v>
      </c>
    </row>
    <row r="83" customFormat="false" ht="25.5" hidden="false" customHeight="true" outlineLevel="0" collapsed="false">
      <c r="A83" s="74" t="s">
        <v>399</v>
      </c>
      <c r="B83" s="36" t="s">
        <v>254</v>
      </c>
      <c r="C83" s="36" t="s">
        <v>400</v>
      </c>
      <c r="D83" s="36" t="s">
        <v>311</v>
      </c>
      <c r="E83" s="36" t="s">
        <v>290</v>
      </c>
      <c r="F83" s="36" t="s">
        <v>222</v>
      </c>
    </row>
    <row r="84" customFormat="false" ht="25.5" hidden="false" customHeight="true" outlineLevel="0" collapsed="false">
      <c r="A84" s="74" t="s">
        <v>401</v>
      </c>
      <c r="B84" s="36" t="s">
        <v>254</v>
      </c>
      <c r="C84" s="36" t="s">
        <v>402</v>
      </c>
      <c r="D84" s="36" t="s">
        <v>311</v>
      </c>
      <c r="E84" s="36" t="s">
        <v>290</v>
      </c>
      <c r="F84" s="36" t="s">
        <v>222</v>
      </c>
    </row>
    <row r="85" customFormat="false" ht="25.5" hidden="false" customHeight="true" outlineLevel="0" collapsed="false">
      <c r="A85" s="74" t="s">
        <v>403</v>
      </c>
      <c r="B85" s="36" t="s">
        <v>254</v>
      </c>
      <c r="C85" s="36" t="s">
        <v>404</v>
      </c>
      <c r="D85" s="36" t="s">
        <v>311</v>
      </c>
      <c r="E85" s="36" t="s">
        <v>290</v>
      </c>
      <c r="F85" s="36" t="s">
        <v>222</v>
      </c>
    </row>
    <row r="86" customFormat="false" ht="30" hidden="false" customHeight="true" outlineLevel="0" collapsed="false">
      <c r="A86" s="73" t="s">
        <v>405</v>
      </c>
      <c r="B86" s="73" t="s">
        <v>218</v>
      </c>
      <c r="C86" s="73" t="s">
        <v>406</v>
      </c>
      <c r="D86" s="73" t="s">
        <v>407</v>
      </c>
      <c r="E86" s="73" t="s">
        <v>221</v>
      </c>
      <c r="F86" s="73" t="s">
        <v>222</v>
      </c>
    </row>
    <row r="87" customFormat="false" ht="25.5" hidden="false" customHeight="true" outlineLevel="0" collapsed="false">
      <c r="A87" s="74" t="s">
        <v>408</v>
      </c>
      <c r="B87" s="36" t="s">
        <v>224</v>
      </c>
      <c r="C87" s="36" t="s">
        <v>409</v>
      </c>
      <c r="D87" s="36" t="s">
        <v>410</v>
      </c>
      <c r="E87" s="36" t="s">
        <v>312</v>
      </c>
      <c r="F87" s="36" t="s">
        <v>222</v>
      </c>
    </row>
    <row r="88" customFormat="false" ht="25.5" hidden="false" customHeight="true" outlineLevel="0" collapsed="false">
      <c r="A88" s="74" t="s">
        <v>411</v>
      </c>
      <c r="B88" s="36" t="s">
        <v>224</v>
      </c>
      <c r="C88" s="36" t="s">
        <v>412</v>
      </c>
      <c r="D88" s="36" t="s">
        <v>410</v>
      </c>
      <c r="E88" s="36" t="s">
        <v>368</v>
      </c>
      <c r="F88" s="36" t="s">
        <v>222</v>
      </c>
    </row>
    <row r="89" customFormat="false" ht="25.5" hidden="false" customHeight="true" outlineLevel="0" collapsed="false">
      <c r="A89" s="74" t="s">
        <v>413</v>
      </c>
      <c r="B89" s="36" t="s">
        <v>224</v>
      </c>
      <c r="C89" s="36" t="s">
        <v>414</v>
      </c>
      <c r="D89" s="36" t="s">
        <v>410</v>
      </c>
      <c r="E89" s="36" t="s">
        <v>247</v>
      </c>
      <c r="F89" s="36" t="s">
        <v>222</v>
      </c>
    </row>
    <row r="90" customFormat="false" ht="25.5" hidden="false" customHeight="true" outlineLevel="0" collapsed="false">
      <c r="A90" s="74" t="s">
        <v>415</v>
      </c>
      <c r="B90" s="36" t="s">
        <v>224</v>
      </c>
      <c r="C90" s="36" t="s">
        <v>416</v>
      </c>
      <c r="D90" s="36" t="s">
        <v>410</v>
      </c>
      <c r="E90" s="36" t="s">
        <v>247</v>
      </c>
      <c r="F90" s="36" t="s">
        <v>222</v>
      </c>
    </row>
    <row r="91" customFormat="false" ht="25.5" hidden="false" customHeight="true" outlineLevel="0" collapsed="false">
      <c r="A91" s="74" t="s">
        <v>417</v>
      </c>
      <c r="B91" s="36" t="s">
        <v>224</v>
      </c>
      <c r="C91" s="36" t="s">
        <v>418</v>
      </c>
      <c r="D91" s="36" t="s">
        <v>410</v>
      </c>
      <c r="E91" s="36" t="s">
        <v>368</v>
      </c>
      <c r="F91" s="36" t="s">
        <v>222</v>
      </c>
    </row>
    <row r="92" customFormat="false" ht="25.5" hidden="false" customHeight="true" outlineLevel="0" collapsed="false">
      <c r="A92" s="74" t="s">
        <v>419</v>
      </c>
      <c r="B92" s="36" t="s">
        <v>224</v>
      </c>
      <c r="C92" s="36" t="s">
        <v>420</v>
      </c>
      <c r="D92" s="36" t="s">
        <v>410</v>
      </c>
      <c r="E92" s="36" t="s">
        <v>368</v>
      </c>
      <c r="F92" s="36" t="s">
        <v>222</v>
      </c>
    </row>
    <row r="93" customFormat="false" ht="25.5" hidden="false" customHeight="true" outlineLevel="0" collapsed="false">
      <c r="A93" s="74" t="s">
        <v>421</v>
      </c>
      <c r="B93" s="36" t="s">
        <v>242</v>
      </c>
      <c r="C93" s="36" t="s">
        <v>422</v>
      </c>
      <c r="D93" s="36" t="s">
        <v>410</v>
      </c>
      <c r="E93" s="36" t="s">
        <v>312</v>
      </c>
      <c r="F93" s="36" t="s">
        <v>222</v>
      </c>
    </row>
    <row r="94" customFormat="false" ht="25.5" hidden="false" customHeight="true" outlineLevel="0" collapsed="false">
      <c r="A94" s="74" t="s">
        <v>423</v>
      </c>
      <c r="B94" s="36" t="s">
        <v>242</v>
      </c>
      <c r="C94" s="36" t="s">
        <v>424</v>
      </c>
      <c r="D94" s="36" t="s">
        <v>410</v>
      </c>
      <c r="E94" s="36" t="s">
        <v>368</v>
      </c>
      <c r="F94" s="36" t="s">
        <v>222</v>
      </c>
    </row>
    <row r="95" customFormat="false" ht="25.5" hidden="false" customHeight="true" outlineLevel="0" collapsed="false">
      <c r="A95" s="74" t="s">
        <v>425</v>
      </c>
      <c r="B95" s="36" t="s">
        <v>242</v>
      </c>
      <c r="C95" s="36" t="s">
        <v>426</v>
      </c>
      <c r="D95" s="36" t="s">
        <v>410</v>
      </c>
      <c r="E95" s="36" t="s">
        <v>247</v>
      </c>
      <c r="F95" s="36" t="s">
        <v>222</v>
      </c>
    </row>
    <row r="96" customFormat="false" ht="25.5" hidden="false" customHeight="true" outlineLevel="0" collapsed="false">
      <c r="A96" s="74" t="s">
        <v>427</v>
      </c>
      <c r="B96" s="36" t="s">
        <v>242</v>
      </c>
      <c r="C96" s="36" t="s">
        <v>428</v>
      </c>
      <c r="D96" s="36" t="s">
        <v>410</v>
      </c>
      <c r="E96" s="36" t="s">
        <v>247</v>
      </c>
      <c r="F96" s="36" t="s">
        <v>222</v>
      </c>
    </row>
    <row r="97" customFormat="false" ht="25.5" hidden="false" customHeight="true" outlineLevel="0" collapsed="false">
      <c r="A97" s="74" t="s">
        <v>429</v>
      </c>
      <c r="B97" s="36" t="s">
        <v>242</v>
      </c>
      <c r="C97" s="36" t="s">
        <v>430</v>
      </c>
      <c r="D97" s="36" t="s">
        <v>410</v>
      </c>
      <c r="E97" s="36" t="s">
        <v>368</v>
      </c>
      <c r="F97" s="36" t="s">
        <v>222</v>
      </c>
    </row>
    <row r="98" customFormat="false" ht="25.5" hidden="false" customHeight="true" outlineLevel="0" collapsed="false">
      <c r="A98" s="74" t="s">
        <v>431</v>
      </c>
      <c r="B98" s="36" t="s">
        <v>242</v>
      </c>
      <c r="C98" s="36" t="s">
        <v>432</v>
      </c>
      <c r="D98" s="36" t="s">
        <v>410</v>
      </c>
      <c r="E98" s="36" t="s">
        <v>368</v>
      </c>
      <c r="F98" s="36" t="s">
        <v>222</v>
      </c>
    </row>
    <row r="99" customFormat="false" ht="25.5" hidden="false" customHeight="true" outlineLevel="0" collapsed="false">
      <c r="A99" s="74" t="s">
        <v>433</v>
      </c>
      <c r="B99" s="36" t="s">
        <v>242</v>
      </c>
      <c r="C99" s="36" t="s">
        <v>434</v>
      </c>
      <c r="D99" s="36" t="s">
        <v>410</v>
      </c>
      <c r="E99" s="36" t="s">
        <v>368</v>
      </c>
      <c r="F99" s="36" t="s">
        <v>222</v>
      </c>
    </row>
    <row r="100" customFormat="false" ht="25.5" hidden="false" customHeight="true" outlineLevel="0" collapsed="false">
      <c r="A100" s="74" t="s">
        <v>435</v>
      </c>
      <c r="B100" s="36" t="s">
        <v>242</v>
      </c>
      <c r="C100" s="36" t="s">
        <v>436</v>
      </c>
      <c r="D100" s="36" t="s">
        <v>410</v>
      </c>
      <c r="E100" s="36" t="s">
        <v>368</v>
      </c>
      <c r="F100" s="36" t="s">
        <v>222</v>
      </c>
    </row>
    <row r="101" customFormat="false" ht="25.5" hidden="false" customHeight="true" outlineLevel="0" collapsed="false">
      <c r="A101" s="74" t="s">
        <v>437</v>
      </c>
      <c r="B101" s="36" t="s">
        <v>254</v>
      </c>
      <c r="C101" s="36" t="s">
        <v>438</v>
      </c>
      <c r="D101" s="36" t="s">
        <v>410</v>
      </c>
      <c r="E101" s="36" t="s">
        <v>312</v>
      </c>
      <c r="F101" s="36" t="s">
        <v>222</v>
      </c>
    </row>
    <row r="102" customFormat="false" ht="25.5" hidden="false" customHeight="true" outlineLevel="0" collapsed="false">
      <c r="A102" s="74" t="s">
        <v>439</v>
      </c>
      <c r="B102" s="36" t="s">
        <v>254</v>
      </c>
      <c r="C102" s="36" t="s">
        <v>440</v>
      </c>
      <c r="D102" s="36" t="s">
        <v>410</v>
      </c>
      <c r="E102" s="36" t="s">
        <v>368</v>
      </c>
      <c r="F102" s="36" t="s">
        <v>222</v>
      </c>
    </row>
    <row r="103" customFormat="false" ht="25.5" hidden="false" customHeight="true" outlineLevel="0" collapsed="false">
      <c r="A103" s="74" t="s">
        <v>441</v>
      </c>
      <c r="B103" s="36" t="s">
        <v>254</v>
      </c>
      <c r="C103" s="36" t="s">
        <v>442</v>
      </c>
      <c r="D103" s="36" t="s">
        <v>410</v>
      </c>
      <c r="E103" s="36" t="s">
        <v>247</v>
      </c>
      <c r="F103" s="36" t="s">
        <v>222</v>
      </c>
    </row>
    <row r="104" customFormat="false" ht="25.5" hidden="false" customHeight="true" outlineLevel="0" collapsed="false">
      <c r="A104" s="74" t="s">
        <v>443</v>
      </c>
      <c r="B104" s="36" t="s">
        <v>254</v>
      </c>
      <c r="C104" s="36" t="s">
        <v>444</v>
      </c>
      <c r="D104" s="36" t="s">
        <v>410</v>
      </c>
      <c r="E104" s="36" t="s">
        <v>247</v>
      </c>
      <c r="F104" s="36" t="s">
        <v>222</v>
      </c>
    </row>
    <row r="105" customFormat="false" ht="25.5" hidden="false" customHeight="true" outlineLevel="0" collapsed="false">
      <c r="A105" s="74" t="s">
        <v>445</v>
      </c>
      <c r="B105" s="36" t="s">
        <v>254</v>
      </c>
      <c r="C105" s="36" t="s">
        <v>446</v>
      </c>
      <c r="D105" s="36" t="s">
        <v>410</v>
      </c>
      <c r="E105" s="36" t="s">
        <v>368</v>
      </c>
      <c r="F105" s="36" t="s">
        <v>222</v>
      </c>
    </row>
    <row r="106" customFormat="false" ht="25.5" hidden="false" customHeight="true" outlineLevel="0" collapsed="false">
      <c r="A106" s="74" t="s">
        <v>447</v>
      </c>
      <c r="B106" s="36" t="s">
        <v>254</v>
      </c>
      <c r="C106" s="36" t="s">
        <v>448</v>
      </c>
      <c r="D106" s="36" t="s">
        <v>410</v>
      </c>
      <c r="E106" s="36" t="s">
        <v>368</v>
      </c>
      <c r="F106" s="36" t="s">
        <v>222</v>
      </c>
    </row>
    <row r="107" customFormat="false" ht="25.5" hidden="false" customHeight="true" outlineLevel="0" collapsed="false">
      <c r="A107" s="74" t="s">
        <v>449</v>
      </c>
      <c r="B107" s="36" t="s">
        <v>254</v>
      </c>
      <c r="C107" s="36" t="s">
        <v>434</v>
      </c>
      <c r="D107" s="36" t="s">
        <v>410</v>
      </c>
      <c r="E107" s="36" t="s">
        <v>368</v>
      </c>
      <c r="F107" s="36" t="s">
        <v>222</v>
      </c>
    </row>
    <row r="108" customFormat="false" ht="25.5" hidden="false" customHeight="true" outlineLevel="0" collapsed="false">
      <c r="A108" s="74" t="s">
        <v>450</v>
      </c>
      <c r="B108" s="36" t="s">
        <v>254</v>
      </c>
      <c r="C108" s="36" t="s">
        <v>451</v>
      </c>
      <c r="D108" s="36" t="s">
        <v>410</v>
      </c>
      <c r="E108" s="36" t="s">
        <v>368</v>
      </c>
      <c r="F108" s="36" t="s">
        <v>222</v>
      </c>
    </row>
    <row r="109" customFormat="false" ht="30" hidden="false" customHeight="true" outlineLevel="0" collapsed="false">
      <c r="A109" s="73" t="s">
        <v>452</v>
      </c>
      <c r="B109" s="73" t="s">
        <v>218</v>
      </c>
      <c r="C109" s="73" t="s">
        <v>453</v>
      </c>
      <c r="D109" s="73" t="s">
        <v>410</v>
      </c>
      <c r="E109" s="73" t="s">
        <v>281</v>
      </c>
      <c r="F109" s="73" t="s">
        <v>222</v>
      </c>
    </row>
    <row r="110" customFormat="false" ht="25.5" hidden="false" customHeight="true" outlineLevel="0" collapsed="false">
      <c r="A110" s="74" t="s">
        <v>454</v>
      </c>
      <c r="B110" s="36" t="s">
        <v>224</v>
      </c>
      <c r="C110" s="36" t="s">
        <v>455</v>
      </c>
      <c r="D110" s="36" t="s">
        <v>410</v>
      </c>
      <c r="E110" s="36" t="s">
        <v>290</v>
      </c>
      <c r="F110" s="36" t="s">
        <v>222</v>
      </c>
    </row>
    <row r="111" customFormat="false" ht="25.5" hidden="false" customHeight="true" outlineLevel="0" collapsed="false">
      <c r="A111" s="74" t="s">
        <v>456</v>
      </c>
      <c r="B111" s="36" t="s">
        <v>224</v>
      </c>
      <c r="C111" s="36" t="s">
        <v>457</v>
      </c>
      <c r="D111" s="36" t="s">
        <v>410</v>
      </c>
      <c r="E111" s="36" t="s">
        <v>252</v>
      </c>
      <c r="F111" s="36" t="s">
        <v>222</v>
      </c>
    </row>
    <row r="112" customFormat="false" ht="25.5" hidden="false" customHeight="true" outlineLevel="0" collapsed="false">
      <c r="A112" s="74" t="s">
        <v>458</v>
      </c>
      <c r="B112" s="36" t="s">
        <v>224</v>
      </c>
      <c r="C112" s="36" t="s">
        <v>459</v>
      </c>
      <c r="D112" s="36" t="s">
        <v>410</v>
      </c>
      <c r="E112" s="36" t="s">
        <v>460</v>
      </c>
      <c r="F112" s="36" t="s">
        <v>222</v>
      </c>
    </row>
    <row r="113" customFormat="false" ht="25.5" hidden="false" customHeight="true" outlineLevel="0" collapsed="false">
      <c r="A113" s="74" t="s">
        <v>461</v>
      </c>
      <c r="B113" s="36" t="s">
        <v>242</v>
      </c>
      <c r="C113" s="36" t="s">
        <v>462</v>
      </c>
      <c r="D113" s="36" t="s">
        <v>410</v>
      </c>
      <c r="E113" s="36" t="s">
        <v>290</v>
      </c>
      <c r="F113" s="36" t="s">
        <v>222</v>
      </c>
    </row>
    <row r="114" customFormat="false" ht="25.5" hidden="false" customHeight="true" outlineLevel="0" collapsed="false">
      <c r="A114" s="74" t="s">
        <v>463</v>
      </c>
      <c r="B114" s="36" t="s">
        <v>242</v>
      </c>
      <c r="C114" s="36" t="s">
        <v>464</v>
      </c>
      <c r="D114" s="36" t="s">
        <v>410</v>
      </c>
      <c r="E114" s="36" t="s">
        <v>252</v>
      </c>
      <c r="F114" s="36" t="s">
        <v>222</v>
      </c>
    </row>
    <row r="115" customFormat="false" ht="25.5" hidden="false" customHeight="true" outlineLevel="0" collapsed="false">
      <c r="A115" s="74" t="s">
        <v>465</v>
      </c>
      <c r="B115" s="36" t="s">
        <v>242</v>
      </c>
      <c r="C115" s="36" t="s">
        <v>466</v>
      </c>
      <c r="D115" s="36" t="s">
        <v>410</v>
      </c>
      <c r="E115" s="36" t="s">
        <v>281</v>
      </c>
      <c r="F115" s="36" t="s">
        <v>222</v>
      </c>
    </row>
    <row r="116" customFormat="false" ht="25.5" hidden="false" customHeight="true" outlineLevel="0" collapsed="false">
      <c r="A116" s="74" t="s">
        <v>467</v>
      </c>
      <c r="B116" s="36" t="s">
        <v>254</v>
      </c>
      <c r="C116" s="36" t="s">
        <v>468</v>
      </c>
      <c r="D116" s="36" t="s">
        <v>410</v>
      </c>
      <c r="E116" s="36" t="s">
        <v>290</v>
      </c>
      <c r="F116" s="36" t="s">
        <v>222</v>
      </c>
    </row>
    <row r="117" customFormat="false" ht="25.5" hidden="false" customHeight="true" outlineLevel="0" collapsed="false">
      <c r="A117" s="74" t="s">
        <v>469</v>
      </c>
      <c r="B117" s="36" t="s">
        <v>254</v>
      </c>
      <c r="C117" s="36" t="s">
        <v>464</v>
      </c>
      <c r="D117" s="36" t="s">
        <v>410</v>
      </c>
      <c r="E117" s="36" t="s">
        <v>252</v>
      </c>
      <c r="F117" s="36" t="s">
        <v>222</v>
      </c>
    </row>
    <row r="118" customFormat="false" ht="25.5" hidden="false" customHeight="true" outlineLevel="0" collapsed="false">
      <c r="A118" s="74" t="s">
        <v>470</v>
      </c>
      <c r="B118" s="36" t="s">
        <v>254</v>
      </c>
      <c r="C118" s="36" t="s">
        <v>466</v>
      </c>
      <c r="D118" s="36" t="s">
        <v>410</v>
      </c>
      <c r="E118" s="36" t="s">
        <v>281</v>
      </c>
      <c r="F118" s="36" t="s">
        <v>222</v>
      </c>
    </row>
    <row r="119" customFormat="false" ht="30" hidden="false" customHeight="true" outlineLevel="0" collapsed="false">
      <c r="A119" s="73" t="s">
        <v>471</v>
      </c>
      <c r="B119" s="73" t="s">
        <v>218</v>
      </c>
      <c r="C119" s="73" t="s">
        <v>472</v>
      </c>
      <c r="D119" s="73" t="s">
        <v>410</v>
      </c>
      <c r="E119" s="73" t="s">
        <v>290</v>
      </c>
      <c r="F119" s="73" t="s">
        <v>222</v>
      </c>
    </row>
    <row r="120" customFormat="false" ht="25.5" hidden="false" customHeight="true" outlineLevel="0" collapsed="false">
      <c r="A120" s="74" t="s">
        <v>473</v>
      </c>
      <c r="B120" s="36" t="s">
        <v>224</v>
      </c>
      <c r="C120" s="36" t="s">
        <v>474</v>
      </c>
      <c r="D120" s="36" t="s">
        <v>410</v>
      </c>
      <c r="E120" s="36" t="s">
        <v>290</v>
      </c>
      <c r="F120" s="36" t="s">
        <v>222</v>
      </c>
    </row>
    <row r="121" customFormat="false" ht="25.5" hidden="false" customHeight="true" outlineLevel="0" collapsed="false">
      <c r="A121" s="74" t="s">
        <v>475</v>
      </c>
      <c r="B121" s="36" t="s">
        <v>224</v>
      </c>
      <c r="C121" s="36" t="s">
        <v>476</v>
      </c>
      <c r="D121" s="36" t="s">
        <v>410</v>
      </c>
      <c r="E121" s="36" t="s">
        <v>290</v>
      </c>
      <c r="F121" s="36" t="s">
        <v>222</v>
      </c>
    </row>
    <row r="122" customFormat="false" ht="25.5" hidden="false" customHeight="true" outlineLevel="0" collapsed="false">
      <c r="A122" s="74" t="s">
        <v>477</v>
      </c>
      <c r="B122" s="36" t="s">
        <v>224</v>
      </c>
      <c r="C122" s="36" t="s">
        <v>478</v>
      </c>
      <c r="D122" s="36" t="s">
        <v>410</v>
      </c>
      <c r="E122" s="36" t="s">
        <v>290</v>
      </c>
      <c r="F122" s="36" t="s">
        <v>222</v>
      </c>
    </row>
    <row r="123" customFormat="false" ht="25.5" hidden="false" customHeight="true" outlineLevel="0" collapsed="false">
      <c r="A123" s="74" t="s">
        <v>479</v>
      </c>
      <c r="B123" s="36" t="s">
        <v>242</v>
      </c>
      <c r="C123" s="36" t="s">
        <v>480</v>
      </c>
      <c r="D123" s="36" t="s">
        <v>410</v>
      </c>
      <c r="E123" s="36" t="s">
        <v>290</v>
      </c>
      <c r="F123" s="36" t="s">
        <v>222</v>
      </c>
    </row>
    <row r="124" customFormat="false" ht="25.5" hidden="false" customHeight="true" outlineLevel="0" collapsed="false">
      <c r="A124" s="74" t="s">
        <v>481</v>
      </c>
      <c r="B124" s="36" t="s">
        <v>242</v>
      </c>
      <c r="C124" s="36" t="s">
        <v>482</v>
      </c>
      <c r="D124" s="36" t="s">
        <v>410</v>
      </c>
      <c r="E124" s="36" t="s">
        <v>290</v>
      </c>
      <c r="F124" s="36" t="s">
        <v>222</v>
      </c>
    </row>
    <row r="125" customFormat="false" ht="25.5" hidden="false" customHeight="true" outlineLevel="0" collapsed="false">
      <c r="A125" s="74" t="s">
        <v>483</v>
      </c>
      <c r="B125" s="36" t="s">
        <v>242</v>
      </c>
      <c r="C125" s="36" t="s">
        <v>484</v>
      </c>
      <c r="D125" s="36" t="s">
        <v>410</v>
      </c>
      <c r="E125" s="36" t="s">
        <v>290</v>
      </c>
      <c r="F125" s="36" t="s">
        <v>222</v>
      </c>
    </row>
    <row r="126" customFormat="false" ht="39" hidden="false" customHeight="true" outlineLevel="0" collapsed="false">
      <c r="A126" s="74" t="s">
        <v>485</v>
      </c>
      <c r="B126" s="36" t="s">
        <v>254</v>
      </c>
      <c r="C126" s="36" t="s">
        <v>486</v>
      </c>
      <c r="D126" s="36" t="s">
        <v>410</v>
      </c>
      <c r="E126" s="36" t="s">
        <v>290</v>
      </c>
      <c r="F126" s="36" t="s">
        <v>222</v>
      </c>
    </row>
    <row r="127" customFormat="false" ht="25.5" hidden="false" customHeight="true" outlineLevel="0" collapsed="false">
      <c r="A127" s="74" t="s">
        <v>487</v>
      </c>
      <c r="B127" s="36" t="s">
        <v>254</v>
      </c>
      <c r="C127" s="36" t="s">
        <v>488</v>
      </c>
      <c r="D127" s="36" t="s">
        <v>410</v>
      </c>
      <c r="E127" s="36" t="s">
        <v>290</v>
      </c>
      <c r="F127" s="36" t="s">
        <v>222</v>
      </c>
    </row>
    <row r="129" customFormat="false" ht="15" hidden="false" customHeight="true" outlineLevel="0" collapsed="false">
      <c r="A129" s="72" t="s">
        <v>489</v>
      </c>
      <c r="B129" s="72"/>
      <c r="C129" s="72"/>
      <c r="D129" s="72"/>
      <c r="E129" s="72"/>
      <c r="F129" s="72"/>
    </row>
  </sheetData>
  <mergeCells count="3">
    <mergeCell ref="A1:F1"/>
    <mergeCell ref="A2:F2"/>
    <mergeCell ref="A129:F129"/>
  </mergeCells>
  <hyperlinks>
    <hyperlink ref="F3" r:id="rId1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78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1"/>
  </cols>
  <sheetData>
    <row r="1" customFormat="false" ht="18" hidden="false" customHeight="true" outlineLevel="0" collapsed="false">
      <c r="A1" s="50" t="s">
        <v>490</v>
      </c>
      <c r="B1" s="50"/>
      <c r="C1" s="50"/>
      <c r="D1" s="50"/>
      <c r="E1" s="50"/>
      <c r="F1" s="50"/>
    </row>
    <row r="2" customFormat="false" ht="15" hidden="false" customHeight="true" outlineLevel="0" collapsed="false">
      <c r="A2" s="72" t="s">
        <v>491</v>
      </c>
      <c r="B2" s="72"/>
      <c r="C2" s="72"/>
      <c r="D2" s="72"/>
      <c r="E2" s="72"/>
      <c r="F2" s="72"/>
    </row>
    <row r="3" customFormat="false" ht="15" hidden="false" customHeight="true" outlineLevel="0" collapsed="false">
      <c r="F3" s="30" t="s">
        <v>52</v>
      </c>
    </row>
    <row r="4" customFormat="false" ht="15" hidden="false" customHeight="true" outlineLevel="0" collapsed="false">
      <c r="A4" s="31" t="s">
        <v>211</v>
      </c>
      <c r="B4" s="31" t="s">
        <v>212</v>
      </c>
      <c r="C4" s="31" t="s">
        <v>213</v>
      </c>
      <c r="D4" s="31" t="s">
        <v>214</v>
      </c>
      <c r="E4" s="31" t="s">
        <v>215</v>
      </c>
      <c r="F4" s="31" t="s">
        <v>216</v>
      </c>
    </row>
    <row r="5" customFormat="false" ht="30" hidden="false" customHeight="true" outlineLevel="0" collapsed="false">
      <c r="A5" s="73" t="s">
        <v>217</v>
      </c>
      <c r="B5" s="73" t="s">
        <v>218</v>
      </c>
      <c r="C5" s="73" t="s">
        <v>219</v>
      </c>
      <c r="D5" s="73" t="s">
        <v>220</v>
      </c>
      <c r="E5" s="73" t="s">
        <v>221</v>
      </c>
      <c r="F5" s="73" t="s">
        <v>222</v>
      </c>
    </row>
    <row r="6" customFormat="false" ht="25.5" hidden="false" customHeight="true" outlineLevel="0" collapsed="false">
      <c r="A6" s="74" t="s">
        <v>223</v>
      </c>
      <c r="B6" s="36" t="s">
        <v>224</v>
      </c>
      <c r="C6" s="36" t="s">
        <v>225</v>
      </c>
      <c r="D6" s="36" t="s">
        <v>226</v>
      </c>
      <c r="E6" s="36" t="s">
        <v>227</v>
      </c>
      <c r="F6" s="36" t="s">
        <v>222</v>
      </c>
    </row>
    <row r="7" customFormat="false" ht="25.5" hidden="false" customHeight="true" outlineLevel="0" collapsed="false">
      <c r="A7" s="74" t="s">
        <v>228</v>
      </c>
      <c r="B7" s="36" t="s">
        <v>224</v>
      </c>
      <c r="C7" s="36" t="s">
        <v>229</v>
      </c>
      <c r="D7" s="36" t="s">
        <v>226</v>
      </c>
      <c r="E7" s="36" t="s">
        <v>227</v>
      </c>
      <c r="F7" s="36" t="s">
        <v>222</v>
      </c>
    </row>
    <row r="8" customFormat="false" ht="25.5" hidden="false" customHeight="true" outlineLevel="0" collapsed="false">
      <c r="A8" s="74" t="s">
        <v>230</v>
      </c>
      <c r="B8" s="36" t="s">
        <v>224</v>
      </c>
      <c r="C8" s="36" t="s">
        <v>231</v>
      </c>
      <c r="D8" s="36" t="s">
        <v>226</v>
      </c>
      <c r="E8" s="36" t="s">
        <v>232</v>
      </c>
      <c r="F8" s="36" t="s">
        <v>222</v>
      </c>
    </row>
    <row r="9" customFormat="false" ht="25.5" hidden="false" customHeight="true" outlineLevel="0" collapsed="false">
      <c r="A9" s="74" t="s">
        <v>233</v>
      </c>
      <c r="B9" s="36" t="s">
        <v>224</v>
      </c>
      <c r="C9" s="36" t="s">
        <v>234</v>
      </c>
      <c r="D9" s="36" t="s">
        <v>226</v>
      </c>
      <c r="E9" s="36" t="s">
        <v>235</v>
      </c>
      <c r="F9" s="36" t="s">
        <v>222</v>
      </c>
    </row>
    <row r="10" customFormat="false" ht="25.5" hidden="false" customHeight="true" outlineLevel="0" collapsed="false">
      <c r="A10" s="74" t="s">
        <v>236</v>
      </c>
      <c r="B10" s="36" t="s">
        <v>224</v>
      </c>
      <c r="C10" s="36" t="s">
        <v>237</v>
      </c>
      <c r="D10" s="36" t="s">
        <v>226</v>
      </c>
      <c r="E10" s="36" t="s">
        <v>238</v>
      </c>
      <c r="F10" s="36" t="s">
        <v>222</v>
      </c>
    </row>
    <row r="11" customFormat="false" ht="25.5" hidden="false" customHeight="true" outlineLevel="0" collapsed="false">
      <c r="A11" s="74" t="s">
        <v>239</v>
      </c>
      <c r="B11" s="36" t="s">
        <v>224</v>
      </c>
      <c r="C11" s="36" t="s">
        <v>240</v>
      </c>
      <c r="D11" s="36" t="s">
        <v>226</v>
      </c>
      <c r="E11" s="36" t="s">
        <v>238</v>
      </c>
      <c r="F11" s="36" t="s">
        <v>222</v>
      </c>
    </row>
    <row r="12" customFormat="false" ht="30" hidden="false" customHeight="true" outlineLevel="0" collapsed="false">
      <c r="A12" s="73" t="s">
        <v>265</v>
      </c>
      <c r="B12" s="73" t="s">
        <v>218</v>
      </c>
      <c r="C12" s="73" t="s">
        <v>266</v>
      </c>
      <c r="D12" s="73" t="s">
        <v>226</v>
      </c>
      <c r="E12" s="73" t="s">
        <v>244</v>
      </c>
      <c r="F12" s="73" t="s">
        <v>222</v>
      </c>
    </row>
    <row r="13" customFormat="false" ht="25.5" hidden="false" customHeight="true" outlineLevel="0" collapsed="false">
      <c r="A13" s="74" t="s">
        <v>267</v>
      </c>
      <c r="B13" s="36" t="s">
        <v>224</v>
      </c>
      <c r="C13" s="36" t="s">
        <v>268</v>
      </c>
      <c r="D13" s="36" t="s">
        <v>226</v>
      </c>
      <c r="E13" s="36" t="s">
        <v>269</v>
      </c>
      <c r="F13" s="36" t="s">
        <v>222</v>
      </c>
    </row>
    <row r="14" customFormat="false" ht="25.5" hidden="false" customHeight="true" outlineLevel="0" collapsed="false">
      <c r="A14" s="74" t="s">
        <v>270</v>
      </c>
      <c r="B14" s="36" t="s">
        <v>224</v>
      </c>
      <c r="C14" s="36" t="s">
        <v>271</v>
      </c>
      <c r="D14" s="36" t="s">
        <v>226</v>
      </c>
      <c r="E14" s="36" t="s">
        <v>244</v>
      </c>
      <c r="F14" s="36" t="s">
        <v>222</v>
      </c>
    </row>
    <row r="15" customFormat="false" ht="30" hidden="false" customHeight="true" outlineLevel="0" collapsed="false">
      <c r="A15" s="73" t="s">
        <v>279</v>
      </c>
      <c r="B15" s="73" t="s">
        <v>218</v>
      </c>
      <c r="C15" s="73" t="s">
        <v>280</v>
      </c>
      <c r="D15" s="73" t="s">
        <v>226</v>
      </c>
      <c r="E15" s="73" t="s">
        <v>281</v>
      </c>
      <c r="F15" s="73" t="s">
        <v>222</v>
      </c>
    </row>
    <row r="16" customFormat="false" ht="25.5" hidden="false" customHeight="true" outlineLevel="0" collapsed="false">
      <c r="A16" s="74" t="s">
        <v>282</v>
      </c>
      <c r="B16" s="36" t="s">
        <v>224</v>
      </c>
      <c r="C16" s="36" t="s">
        <v>283</v>
      </c>
      <c r="D16" s="36" t="s">
        <v>226</v>
      </c>
      <c r="E16" s="36" t="s">
        <v>227</v>
      </c>
      <c r="F16" s="36" t="s">
        <v>222</v>
      </c>
    </row>
    <row r="17" customFormat="false" ht="25.5" hidden="false" customHeight="true" outlineLevel="0" collapsed="false">
      <c r="A17" s="74" t="s">
        <v>284</v>
      </c>
      <c r="B17" s="36" t="s">
        <v>224</v>
      </c>
      <c r="C17" s="36" t="s">
        <v>285</v>
      </c>
      <c r="D17" s="36" t="s">
        <v>226</v>
      </c>
      <c r="E17" s="36" t="s">
        <v>247</v>
      </c>
      <c r="F17" s="36" t="s">
        <v>222</v>
      </c>
    </row>
    <row r="18" customFormat="false" ht="25.5" hidden="false" customHeight="true" outlineLevel="0" collapsed="false">
      <c r="A18" s="74" t="s">
        <v>286</v>
      </c>
      <c r="B18" s="36" t="s">
        <v>224</v>
      </c>
      <c r="C18" s="36" t="s">
        <v>287</v>
      </c>
      <c r="D18" s="36" t="s">
        <v>226</v>
      </c>
      <c r="E18" s="36" t="s">
        <v>247</v>
      </c>
      <c r="F18" s="36" t="s">
        <v>222</v>
      </c>
    </row>
    <row r="19" customFormat="false" ht="25.5" hidden="false" customHeight="true" outlineLevel="0" collapsed="false">
      <c r="A19" s="74" t="s">
        <v>288</v>
      </c>
      <c r="B19" s="36" t="s">
        <v>224</v>
      </c>
      <c r="C19" s="36" t="s">
        <v>289</v>
      </c>
      <c r="D19" s="36" t="s">
        <v>226</v>
      </c>
      <c r="E19" s="36" t="s">
        <v>290</v>
      </c>
      <c r="F19" s="36" t="s">
        <v>222</v>
      </c>
    </row>
    <row r="20" customFormat="false" ht="30" hidden="false" customHeight="true" outlineLevel="0" collapsed="false">
      <c r="A20" s="73" t="s">
        <v>305</v>
      </c>
      <c r="B20" s="73" t="s">
        <v>218</v>
      </c>
      <c r="C20" s="73" t="s">
        <v>306</v>
      </c>
      <c r="D20" s="73" t="s">
        <v>307</v>
      </c>
      <c r="E20" s="73" t="s">
        <v>308</v>
      </c>
      <c r="F20" s="73" t="s">
        <v>222</v>
      </c>
    </row>
    <row r="21" customFormat="false" ht="25.5" hidden="false" customHeight="true" outlineLevel="0" collapsed="false">
      <c r="A21" s="74" t="s">
        <v>309</v>
      </c>
      <c r="B21" s="36" t="s">
        <v>224</v>
      </c>
      <c r="C21" s="36" t="s">
        <v>310</v>
      </c>
      <c r="D21" s="36" t="s">
        <v>311</v>
      </c>
      <c r="E21" s="36" t="s">
        <v>312</v>
      </c>
      <c r="F21" s="36" t="s">
        <v>222</v>
      </c>
    </row>
    <row r="22" customFormat="false" ht="25.5" hidden="false" customHeight="true" outlineLevel="0" collapsed="false">
      <c r="A22" s="74" t="s">
        <v>313</v>
      </c>
      <c r="B22" s="36" t="s">
        <v>224</v>
      </c>
      <c r="C22" s="36" t="s">
        <v>314</v>
      </c>
      <c r="D22" s="36" t="s">
        <v>311</v>
      </c>
      <c r="E22" s="36" t="s">
        <v>290</v>
      </c>
      <c r="F22" s="36" t="s">
        <v>222</v>
      </c>
    </row>
    <row r="23" customFormat="false" ht="25.5" hidden="false" customHeight="true" outlineLevel="0" collapsed="false">
      <c r="A23" s="74" t="s">
        <v>315</v>
      </c>
      <c r="B23" s="36" t="s">
        <v>224</v>
      </c>
      <c r="C23" s="36" t="s">
        <v>316</v>
      </c>
      <c r="D23" s="36" t="s">
        <v>311</v>
      </c>
      <c r="E23" s="36" t="s">
        <v>317</v>
      </c>
      <c r="F23" s="36" t="s">
        <v>222</v>
      </c>
    </row>
    <row r="24" customFormat="false" ht="25.5" hidden="false" customHeight="true" outlineLevel="0" collapsed="false">
      <c r="A24" s="74" t="s">
        <v>318</v>
      </c>
      <c r="B24" s="36" t="s">
        <v>224</v>
      </c>
      <c r="C24" s="36" t="s">
        <v>319</v>
      </c>
      <c r="D24" s="36" t="s">
        <v>311</v>
      </c>
      <c r="E24" s="36" t="s">
        <v>247</v>
      </c>
      <c r="F24" s="36" t="s">
        <v>222</v>
      </c>
    </row>
    <row r="25" customFormat="false" ht="25.5" hidden="false" customHeight="true" outlineLevel="0" collapsed="false">
      <c r="A25" s="74" t="s">
        <v>320</v>
      </c>
      <c r="B25" s="36" t="s">
        <v>224</v>
      </c>
      <c r="C25" s="36" t="s">
        <v>321</v>
      </c>
      <c r="D25" s="36" t="s">
        <v>311</v>
      </c>
      <c r="E25" s="36" t="s">
        <v>290</v>
      </c>
      <c r="F25" s="36" t="s">
        <v>222</v>
      </c>
    </row>
    <row r="26" customFormat="false" ht="25.5" hidden="false" customHeight="true" outlineLevel="0" collapsed="false">
      <c r="A26" s="74" t="s">
        <v>322</v>
      </c>
      <c r="B26" s="36" t="s">
        <v>224</v>
      </c>
      <c r="C26" s="36" t="s">
        <v>323</v>
      </c>
      <c r="D26" s="36" t="s">
        <v>311</v>
      </c>
      <c r="E26" s="36" t="s">
        <v>290</v>
      </c>
      <c r="F26" s="36" t="s">
        <v>222</v>
      </c>
    </row>
    <row r="27" customFormat="false" ht="25.5" hidden="false" customHeight="true" outlineLevel="0" collapsed="false">
      <c r="A27" s="74" t="s">
        <v>324</v>
      </c>
      <c r="B27" s="36" t="s">
        <v>224</v>
      </c>
      <c r="C27" s="36" t="s">
        <v>325</v>
      </c>
      <c r="D27" s="36" t="s">
        <v>311</v>
      </c>
      <c r="E27" s="36" t="s">
        <v>227</v>
      </c>
      <c r="F27" s="36" t="s">
        <v>222</v>
      </c>
    </row>
    <row r="28" customFormat="false" ht="25.5" hidden="false" customHeight="true" outlineLevel="0" collapsed="false">
      <c r="A28" s="74" t="s">
        <v>326</v>
      </c>
      <c r="B28" s="36" t="s">
        <v>224</v>
      </c>
      <c r="C28" s="36" t="s">
        <v>327</v>
      </c>
      <c r="D28" s="36" t="s">
        <v>311</v>
      </c>
      <c r="E28" s="36" t="s">
        <v>227</v>
      </c>
      <c r="F28" s="36" t="s">
        <v>222</v>
      </c>
    </row>
    <row r="29" customFormat="false" ht="30" hidden="false" customHeight="true" outlineLevel="0" collapsed="false">
      <c r="A29" s="73" t="s">
        <v>362</v>
      </c>
      <c r="B29" s="73" t="s">
        <v>218</v>
      </c>
      <c r="C29" s="73" t="s">
        <v>363</v>
      </c>
      <c r="D29" s="73" t="s">
        <v>311</v>
      </c>
      <c r="E29" s="73" t="s">
        <v>281</v>
      </c>
      <c r="F29" s="73" t="s">
        <v>222</v>
      </c>
    </row>
    <row r="30" customFormat="false" ht="25.5" hidden="false" customHeight="true" outlineLevel="0" collapsed="false">
      <c r="A30" s="74" t="s">
        <v>364</v>
      </c>
      <c r="B30" s="36" t="s">
        <v>224</v>
      </c>
      <c r="C30" s="36" t="s">
        <v>365</v>
      </c>
      <c r="D30" s="36" t="s">
        <v>311</v>
      </c>
      <c r="E30" s="36" t="s">
        <v>290</v>
      </c>
      <c r="F30" s="36" t="s">
        <v>222</v>
      </c>
    </row>
    <row r="31" customFormat="false" ht="25.5" hidden="false" customHeight="true" outlineLevel="0" collapsed="false">
      <c r="A31" s="74" t="s">
        <v>366</v>
      </c>
      <c r="B31" s="36" t="s">
        <v>224</v>
      </c>
      <c r="C31" s="36" t="s">
        <v>367</v>
      </c>
      <c r="D31" s="36" t="s">
        <v>311</v>
      </c>
      <c r="E31" s="36" t="s">
        <v>368</v>
      </c>
      <c r="F31" s="36" t="s">
        <v>222</v>
      </c>
    </row>
    <row r="32" customFormat="false" ht="25.5" hidden="false" customHeight="true" outlineLevel="0" collapsed="false">
      <c r="A32" s="74" t="s">
        <v>369</v>
      </c>
      <c r="B32" s="36" t="s">
        <v>224</v>
      </c>
      <c r="C32" s="36" t="s">
        <v>370</v>
      </c>
      <c r="D32" s="36" t="s">
        <v>311</v>
      </c>
      <c r="E32" s="36" t="s">
        <v>221</v>
      </c>
      <c r="F32" s="36" t="s">
        <v>222</v>
      </c>
    </row>
    <row r="33" customFormat="false" ht="30" hidden="false" customHeight="true" outlineLevel="0" collapsed="false">
      <c r="A33" s="73" t="s">
        <v>385</v>
      </c>
      <c r="B33" s="73" t="s">
        <v>218</v>
      </c>
      <c r="C33" s="73" t="s">
        <v>386</v>
      </c>
      <c r="D33" s="73" t="s">
        <v>311</v>
      </c>
      <c r="E33" s="73" t="s">
        <v>290</v>
      </c>
      <c r="F33" s="73" t="s">
        <v>222</v>
      </c>
    </row>
    <row r="34" customFormat="false" ht="25.5" hidden="false" customHeight="true" outlineLevel="0" collapsed="false">
      <c r="A34" s="74" t="s">
        <v>387</v>
      </c>
      <c r="B34" s="36" t="s">
        <v>224</v>
      </c>
      <c r="C34" s="36" t="s">
        <v>388</v>
      </c>
      <c r="D34" s="36" t="s">
        <v>311</v>
      </c>
      <c r="E34" s="36" t="s">
        <v>290</v>
      </c>
      <c r="F34" s="36" t="s">
        <v>222</v>
      </c>
    </row>
    <row r="35" customFormat="false" ht="25.5" hidden="false" customHeight="true" outlineLevel="0" collapsed="false">
      <c r="A35" s="74" t="s">
        <v>389</v>
      </c>
      <c r="B35" s="36" t="s">
        <v>224</v>
      </c>
      <c r="C35" s="36" t="s">
        <v>390</v>
      </c>
      <c r="D35" s="36" t="s">
        <v>311</v>
      </c>
      <c r="E35" s="36" t="s">
        <v>317</v>
      </c>
      <c r="F35" s="36" t="s">
        <v>222</v>
      </c>
    </row>
    <row r="36" customFormat="false" ht="25.5" hidden="false" customHeight="true" outlineLevel="0" collapsed="false">
      <c r="A36" s="74" t="s">
        <v>391</v>
      </c>
      <c r="B36" s="36" t="s">
        <v>224</v>
      </c>
      <c r="C36" s="36" t="s">
        <v>392</v>
      </c>
      <c r="D36" s="36" t="s">
        <v>311</v>
      </c>
      <c r="E36" s="36" t="s">
        <v>317</v>
      </c>
      <c r="F36" s="36" t="s">
        <v>222</v>
      </c>
    </row>
    <row r="37" customFormat="false" ht="30" hidden="false" customHeight="true" outlineLevel="0" collapsed="false">
      <c r="A37" s="73" t="s">
        <v>405</v>
      </c>
      <c r="B37" s="73" t="s">
        <v>218</v>
      </c>
      <c r="C37" s="73" t="s">
        <v>406</v>
      </c>
      <c r="D37" s="73" t="s">
        <v>407</v>
      </c>
      <c r="E37" s="73" t="s">
        <v>221</v>
      </c>
      <c r="F37" s="73" t="s">
        <v>222</v>
      </c>
    </row>
    <row r="38" customFormat="false" ht="25.5" hidden="false" customHeight="true" outlineLevel="0" collapsed="false">
      <c r="A38" s="74" t="s">
        <v>408</v>
      </c>
      <c r="B38" s="36" t="s">
        <v>224</v>
      </c>
      <c r="C38" s="36" t="s">
        <v>409</v>
      </c>
      <c r="D38" s="36" t="s">
        <v>410</v>
      </c>
      <c r="E38" s="36" t="s">
        <v>312</v>
      </c>
      <c r="F38" s="36" t="s">
        <v>222</v>
      </c>
    </row>
    <row r="39" customFormat="false" ht="25.5" hidden="false" customHeight="true" outlineLevel="0" collapsed="false">
      <c r="A39" s="74" t="s">
        <v>411</v>
      </c>
      <c r="B39" s="36" t="s">
        <v>224</v>
      </c>
      <c r="C39" s="36" t="s">
        <v>412</v>
      </c>
      <c r="D39" s="36" t="s">
        <v>410</v>
      </c>
      <c r="E39" s="36" t="s">
        <v>368</v>
      </c>
      <c r="F39" s="36" t="s">
        <v>222</v>
      </c>
    </row>
    <row r="40" customFormat="false" ht="25.5" hidden="false" customHeight="true" outlineLevel="0" collapsed="false">
      <c r="A40" s="74" t="s">
        <v>413</v>
      </c>
      <c r="B40" s="36" t="s">
        <v>224</v>
      </c>
      <c r="C40" s="36" t="s">
        <v>414</v>
      </c>
      <c r="D40" s="36" t="s">
        <v>410</v>
      </c>
      <c r="E40" s="36" t="s">
        <v>247</v>
      </c>
      <c r="F40" s="36" t="s">
        <v>222</v>
      </c>
    </row>
    <row r="41" customFormat="false" ht="25.5" hidden="false" customHeight="true" outlineLevel="0" collapsed="false">
      <c r="A41" s="74" t="s">
        <v>415</v>
      </c>
      <c r="B41" s="36" t="s">
        <v>224</v>
      </c>
      <c r="C41" s="36" t="s">
        <v>416</v>
      </c>
      <c r="D41" s="36" t="s">
        <v>410</v>
      </c>
      <c r="E41" s="36" t="s">
        <v>247</v>
      </c>
      <c r="F41" s="36" t="s">
        <v>222</v>
      </c>
    </row>
    <row r="42" customFormat="false" ht="25.5" hidden="false" customHeight="true" outlineLevel="0" collapsed="false">
      <c r="A42" s="74" t="s">
        <v>417</v>
      </c>
      <c r="B42" s="36" t="s">
        <v>224</v>
      </c>
      <c r="C42" s="36" t="s">
        <v>418</v>
      </c>
      <c r="D42" s="36" t="s">
        <v>410</v>
      </c>
      <c r="E42" s="36" t="s">
        <v>368</v>
      </c>
      <c r="F42" s="36" t="s">
        <v>222</v>
      </c>
    </row>
    <row r="43" customFormat="false" ht="25.5" hidden="false" customHeight="true" outlineLevel="0" collapsed="false">
      <c r="A43" s="74" t="s">
        <v>419</v>
      </c>
      <c r="B43" s="36" t="s">
        <v>224</v>
      </c>
      <c r="C43" s="36" t="s">
        <v>420</v>
      </c>
      <c r="D43" s="36" t="s">
        <v>410</v>
      </c>
      <c r="E43" s="36" t="s">
        <v>368</v>
      </c>
      <c r="F43" s="36" t="s">
        <v>222</v>
      </c>
    </row>
    <row r="44" customFormat="false" ht="30" hidden="false" customHeight="true" outlineLevel="0" collapsed="false">
      <c r="A44" s="73" t="s">
        <v>452</v>
      </c>
      <c r="B44" s="73" t="s">
        <v>218</v>
      </c>
      <c r="C44" s="73" t="s">
        <v>453</v>
      </c>
      <c r="D44" s="73" t="s">
        <v>410</v>
      </c>
      <c r="E44" s="73" t="s">
        <v>281</v>
      </c>
      <c r="F44" s="73" t="s">
        <v>222</v>
      </c>
    </row>
    <row r="45" customFormat="false" ht="25.5" hidden="false" customHeight="true" outlineLevel="0" collapsed="false">
      <c r="A45" s="74" t="s">
        <v>454</v>
      </c>
      <c r="B45" s="36" t="s">
        <v>224</v>
      </c>
      <c r="C45" s="36" t="s">
        <v>455</v>
      </c>
      <c r="D45" s="36" t="s">
        <v>410</v>
      </c>
      <c r="E45" s="36" t="s">
        <v>290</v>
      </c>
      <c r="F45" s="36" t="s">
        <v>222</v>
      </c>
    </row>
    <row r="46" customFormat="false" ht="25.5" hidden="false" customHeight="true" outlineLevel="0" collapsed="false">
      <c r="A46" s="74" t="s">
        <v>456</v>
      </c>
      <c r="B46" s="36" t="s">
        <v>224</v>
      </c>
      <c r="C46" s="36" t="s">
        <v>457</v>
      </c>
      <c r="D46" s="36" t="s">
        <v>410</v>
      </c>
      <c r="E46" s="36" t="s">
        <v>252</v>
      </c>
      <c r="F46" s="36" t="s">
        <v>222</v>
      </c>
    </row>
    <row r="47" customFormat="false" ht="25.5" hidden="false" customHeight="true" outlineLevel="0" collapsed="false">
      <c r="A47" s="74" t="s">
        <v>458</v>
      </c>
      <c r="B47" s="36" t="s">
        <v>224</v>
      </c>
      <c r="C47" s="36" t="s">
        <v>459</v>
      </c>
      <c r="D47" s="36" t="s">
        <v>410</v>
      </c>
      <c r="E47" s="36" t="s">
        <v>460</v>
      </c>
      <c r="F47" s="36" t="s">
        <v>222</v>
      </c>
    </row>
    <row r="48" customFormat="false" ht="30" hidden="false" customHeight="true" outlineLevel="0" collapsed="false">
      <c r="A48" s="73" t="s">
        <v>471</v>
      </c>
      <c r="B48" s="73" t="s">
        <v>218</v>
      </c>
      <c r="C48" s="73" t="s">
        <v>472</v>
      </c>
      <c r="D48" s="73" t="s">
        <v>410</v>
      </c>
      <c r="E48" s="73" t="s">
        <v>290</v>
      </c>
      <c r="F48" s="73" t="s">
        <v>222</v>
      </c>
    </row>
    <row r="49" customFormat="false" ht="25.5" hidden="false" customHeight="true" outlineLevel="0" collapsed="false">
      <c r="A49" s="74" t="s">
        <v>473</v>
      </c>
      <c r="B49" s="36" t="s">
        <v>224</v>
      </c>
      <c r="C49" s="36" t="s">
        <v>474</v>
      </c>
      <c r="D49" s="36" t="s">
        <v>410</v>
      </c>
      <c r="E49" s="36" t="s">
        <v>290</v>
      </c>
      <c r="F49" s="36" t="s">
        <v>222</v>
      </c>
    </row>
    <row r="50" customFormat="false" ht="25.5" hidden="false" customHeight="true" outlineLevel="0" collapsed="false">
      <c r="A50" s="74" t="s">
        <v>475</v>
      </c>
      <c r="B50" s="36" t="s">
        <v>224</v>
      </c>
      <c r="C50" s="36" t="s">
        <v>476</v>
      </c>
      <c r="D50" s="36" t="s">
        <v>410</v>
      </c>
      <c r="E50" s="36" t="s">
        <v>290</v>
      </c>
      <c r="F50" s="36" t="s">
        <v>222</v>
      </c>
    </row>
    <row r="51" customFormat="false" ht="25.5" hidden="false" customHeight="true" outlineLevel="0" collapsed="false">
      <c r="A51" s="74" t="s">
        <v>477</v>
      </c>
      <c r="B51" s="36" t="s">
        <v>224</v>
      </c>
      <c r="C51" s="36" t="s">
        <v>478</v>
      </c>
      <c r="D51" s="36" t="s">
        <v>410</v>
      </c>
      <c r="E51" s="36" t="s">
        <v>290</v>
      </c>
      <c r="F51" s="36" t="s">
        <v>222</v>
      </c>
    </row>
    <row r="53" customFormat="false" ht="15" hidden="false" customHeight="true" outlineLevel="0" collapsed="false">
      <c r="A53" s="72" t="s">
        <v>492</v>
      </c>
      <c r="B53" s="72"/>
      <c r="C53" s="72"/>
      <c r="D53" s="72"/>
      <c r="E53" s="72"/>
      <c r="F53" s="72"/>
    </row>
  </sheetData>
  <mergeCells count="3">
    <mergeCell ref="A1:F1"/>
    <mergeCell ref="A2:F2"/>
    <mergeCell ref="A53:F53"/>
  </mergeCells>
  <hyperlinks>
    <hyperlink ref="F3" r:id="rId1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9"/>
    <col collapsed="false" customWidth="true" hidden="false" outlineLevel="0" max="6" min="6" style="1" width="26"/>
    <col collapsed="false" customWidth="true" hidden="false" outlineLevel="0" max="7" min="7" style="1" width="8"/>
    <col collapsed="false" customWidth="true" hidden="false" outlineLevel="0" max="8" min="8" style="1" width="30"/>
    <col collapsed="false" customWidth="true" hidden="false" outlineLevel="0" max="9" min="9" style="1" width="34"/>
    <col collapsed="false" customWidth="true" hidden="false" outlineLevel="0" max="10" min="10" style="1" width="30"/>
    <col collapsed="false" customWidth="true" hidden="false" outlineLevel="0" max="11" min="11" style="1" width="16"/>
    <col collapsed="false" customWidth="true" hidden="false" outlineLevel="0" max="13" min="12" style="1" width="20"/>
  </cols>
  <sheetData>
    <row r="1" customFormat="false" ht="19.5" hidden="false" customHeight="true" outlineLevel="0" collapsed="false">
      <c r="A1" s="28" t="s">
        <v>493</v>
      </c>
    </row>
    <row r="2" customFormat="false" ht="15" hidden="false" customHeight="true" outlineLevel="0" collapsed="false">
      <c r="K2" s="30" t="s">
        <v>52</v>
      </c>
    </row>
    <row r="3" customFormat="false" ht="15" hidden="false" customHeight="true" outlineLevel="0" collapsed="false">
      <c r="A3" s="31" t="s">
        <v>494</v>
      </c>
      <c r="B3" s="31" t="s">
        <v>55</v>
      </c>
      <c r="C3" s="31" t="s">
        <v>495</v>
      </c>
      <c r="D3" s="31" t="s">
        <v>496</v>
      </c>
      <c r="E3" s="31" t="s">
        <v>214</v>
      </c>
      <c r="F3" s="31" t="s">
        <v>497</v>
      </c>
      <c r="G3" s="31" t="s">
        <v>498</v>
      </c>
      <c r="H3" s="31" t="s">
        <v>499</v>
      </c>
      <c r="I3" s="31" t="s">
        <v>500</v>
      </c>
      <c r="J3" s="31" t="s">
        <v>501</v>
      </c>
      <c r="K3" s="31" t="s">
        <v>502</v>
      </c>
      <c r="L3" s="32" t="s">
        <v>503</v>
      </c>
      <c r="M3" s="32" t="s">
        <v>504</v>
      </c>
    </row>
    <row r="4" customFormat="false" ht="78" hidden="false" customHeight="true" outlineLevel="0" collapsed="false">
      <c r="A4" s="75" t="n">
        <v>1</v>
      </c>
      <c r="B4" s="75" t="s">
        <v>63</v>
      </c>
      <c r="C4" s="76" t="s">
        <v>505</v>
      </c>
      <c r="D4" s="35" t="s">
        <v>506</v>
      </c>
      <c r="E4" s="75" t="s">
        <v>226</v>
      </c>
      <c r="F4" s="35" t="s">
        <v>507</v>
      </c>
      <c r="G4" s="75" t="n">
        <v>3</v>
      </c>
      <c r="H4" s="35" t="s">
        <v>508</v>
      </c>
      <c r="I4" s="35" t="s">
        <v>509</v>
      </c>
      <c r="J4" s="35" t="s">
        <v>510</v>
      </c>
      <c r="K4" s="35" t="s">
        <v>511</v>
      </c>
      <c r="L4" s="77" t="str">
        <f aca="false">IFERROR(INDEX('📅 Calendrier'!$A$4:$A$44,MATCH("S1 · séance 1",'📅 Calendrier'!$D$4:$D$44,0))&amp;" ("&amp;INDEX('📅 Calendrier'!$B$4:$B$44,MATCH("S1 · séance 1",'📅 Calendrier'!$D$4:$D$44,0))&amp;")","⚠ hors année !")</f>
        <v>S01 (31/08/2026)</v>
      </c>
      <c r="M4" s="77" t="str">
        <f aca="false">IFERROR(INDEX('📅 Calendrier'!$A$4:$A$44,MATCH("S1 · séance 3",'📅 Calendrier'!$D$4:$D$44,0))&amp;" ("&amp;INDEX('📅 Calendrier'!$B$4:$B$44,MATCH("S1 · séance 3",'📅 Calendrier'!$D$4:$D$44,0))&amp;")","⚠ hors année !")</f>
        <v>S03 (14/09/2026)</v>
      </c>
    </row>
    <row r="5" customFormat="false" ht="78" hidden="false" customHeight="true" outlineLevel="0" collapsed="false">
      <c r="A5" s="75" t="n">
        <v>2</v>
      </c>
      <c r="B5" s="75" t="s">
        <v>63</v>
      </c>
      <c r="C5" s="76" t="s">
        <v>512</v>
      </c>
      <c r="D5" s="35" t="s">
        <v>513</v>
      </c>
      <c r="E5" s="75" t="s">
        <v>226</v>
      </c>
      <c r="F5" s="35" t="s">
        <v>514</v>
      </c>
      <c r="G5" s="75" t="n">
        <v>4</v>
      </c>
      <c r="H5" s="35" t="s">
        <v>515</v>
      </c>
      <c r="I5" s="35" t="s">
        <v>509</v>
      </c>
      <c r="J5" s="35" t="s">
        <v>516</v>
      </c>
      <c r="K5" s="35" t="s">
        <v>511</v>
      </c>
      <c r="L5" s="77" t="str">
        <f aca="false">IFERROR(INDEX('📅 Calendrier'!$A$4:$A$44,MATCH("S2 · séance 1",'📅 Calendrier'!$D$4:$D$44,0))&amp;" ("&amp;INDEX('📅 Calendrier'!$B$4:$B$44,MATCH("S2 · séance 1",'📅 Calendrier'!$D$4:$D$44,0))&amp;")","⚠ hors année !")</f>
        <v>S04 (21/09/2026)</v>
      </c>
      <c r="M5" s="77" t="str">
        <f aca="false">IFERROR(INDEX('📅 Calendrier'!$A$4:$A$44,MATCH("S2 · séance 4",'📅 Calendrier'!$D$4:$D$44,0))&amp;" ("&amp;INDEX('📅 Calendrier'!$B$4:$B$44,MATCH("S2 · séance 4",'📅 Calendrier'!$D$4:$D$44,0))&amp;")","⚠ hors année !")</f>
        <v>S07 (12/10/2026)</v>
      </c>
    </row>
    <row r="6" customFormat="false" ht="78" hidden="false" customHeight="true" outlineLevel="0" collapsed="false">
      <c r="A6" s="75" t="n">
        <v>3</v>
      </c>
      <c r="B6" s="75" t="s">
        <v>82</v>
      </c>
      <c r="C6" s="76" t="s">
        <v>517</v>
      </c>
      <c r="D6" s="35" t="s">
        <v>518</v>
      </c>
      <c r="E6" s="75" t="s">
        <v>226</v>
      </c>
      <c r="F6" s="35" t="s">
        <v>519</v>
      </c>
      <c r="G6" s="75" t="n">
        <v>4</v>
      </c>
      <c r="H6" s="35" t="s">
        <v>520</v>
      </c>
      <c r="I6" s="35" t="s">
        <v>521</v>
      </c>
      <c r="J6" s="35" t="s">
        <v>522</v>
      </c>
      <c r="K6" s="35" t="s">
        <v>523</v>
      </c>
      <c r="L6" s="77" t="str">
        <f aca="false">IFERROR(INDEX('📅 Calendrier'!$A$4:$A$44,MATCH("S3 · séance 1",'📅 Calendrier'!$D$4:$D$44,0))&amp;" ("&amp;INDEX('📅 Calendrier'!$B$4:$B$44,MATCH("S3 · séance 1",'📅 Calendrier'!$D$4:$D$44,0))&amp;")","⚠ hors année !")</f>
        <v>S09 (02/11/2026)</v>
      </c>
      <c r="M6" s="77" t="str">
        <f aca="false">IFERROR(INDEX('📅 Calendrier'!$A$4:$A$44,MATCH("S3 · séance 4",'📅 Calendrier'!$D$4:$D$44,0))&amp;" ("&amp;INDEX('📅 Calendrier'!$B$4:$B$44,MATCH("S3 · séance 4",'📅 Calendrier'!$D$4:$D$44,0))&amp;")","⚠ hors année !")</f>
        <v>S12 (23/11/2026)</v>
      </c>
    </row>
    <row r="7" customFormat="false" ht="78" hidden="false" customHeight="true" outlineLevel="0" collapsed="false">
      <c r="A7" s="78" t="n">
        <v>4</v>
      </c>
      <c r="B7" s="78" t="s">
        <v>524</v>
      </c>
      <c r="C7" s="79" t="s">
        <v>525</v>
      </c>
      <c r="D7" s="42" t="s">
        <v>526</v>
      </c>
      <c r="E7" s="78" t="s">
        <v>311</v>
      </c>
      <c r="F7" s="42" t="s">
        <v>527</v>
      </c>
      <c r="G7" s="78" t="n">
        <v>5</v>
      </c>
      <c r="H7" s="42" t="s">
        <v>528</v>
      </c>
      <c r="I7" s="42" t="s">
        <v>529</v>
      </c>
      <c r="J7" s="42" t="s">
        <v>530</v>
      </c>
      <c r="K7" s="42" t="s">
        <v>531</v>
      </c>
      <c r="L7" s="80" t="str">
        <f aca="false">IFERROR(INDEX('📅 Calendrier'!$A$4:$A$44,MATCH("S4 · séance 1",'📅 Calendrier'!$D$4:$D$44,0))&amp;" ("&amp;INDEX('📅 Calendrier'!$B$4:$B$44,MATCH("S4 · séance 1",'📅 Calendrier'!$D$4:$D$44,0))&amp;")","⚠ hors année !")</f>
        <v>S13 (30/11/2026)</v>
      </c>
      <c r="M7" s="80" t="str">
        <f aca="false">IFERROR(INDEX('📅 Calendrier'!$A$4:$A$44,MATCH("S4 · séance 5",'📅 Calendrier'!$D$4:$D$44,0))&amp;" ("&amp;INDEX('📅 Calendrier'!$B$4:$B$44,MATCH("S4 · séance 5",'📅 Calendrier'!$D$4:$D$44,0))&amp;")","⚠ hors année !")</f>
        <v>S18 (18/01/2027)</v>
      </c>
    </row>
    <row r="8" customFormat="false" ht="78" hidden="false" customHeight="true" outlineLevel="0" collapsed="false">
      <c r="A8" s="78" t="n">
        <v>5</v>
      </c>
      <c r="B8" s="78" t="s">
        <v>532</v>
      </c>
      <c r="C8" s="79" t="s">
        <v>533</v>
      </c>
      <c r="D8" s="42" t="s">
        <v>534</v>
      </c>
      <c r="E8" s="78" t="s">
        <v>311</v>
      </c>
      <c r="F8" s="42" t="s">
        <v>535</v>
      </c>
      <c r="G8" s="78" t="n">
        <v>3</v>
      </c>
      <c r="H8" s="42" t="s">
        <v>536</v>
      </c>
      <c r="I8" s="42" t="s">
        <v>537</v>
      </c>
      <c r="J8" s="42" t="s">
        <v>538</v>
      </c>
      <c r="K8" s="42" t="s">
        <v>531</v>
      </c>
      <c r="L8" s="80" t="str">
        <f aca="false">IFERROR(INDEX('📅 Calendrier'!$A$4:$A$44,MATCH("S5 · séance 1",'📅 Calendrier'!$D$4:$D$44,0))&amp;" ("&amp;INDEX('📅 Calendrier'!$B$4:$B$44,MATCH("S5 · séance 1",'📅 Calendrier'!$D$4:$D$44,0))&amp;")","⚠ hors année !")</f>
        <v>S19 (25/01/2027)</v>
      </c>
      <c r="M8" s="80" t="str">
        <f aca="false">IFERROR(INDEX('📅 Calendrier'!$A$4:$A$44,MATCH("S5 · séance 3",'📅 Calendrier'!$D$4:$D$44,0))&amp;" ("&amp;INDEX('📅 Calendrier'!$B$4:$B$44,MATCH("S5 · séance 3",'📅 Calendrier'!$D$4:$D$44,0))&amp;")","⚠ hors année !")</f>
        <v>S22 (01/03/2027)</v>
      </c>
    </row>
    <row r="9" customFormat="false" ht="78" hidden="false" customHeight="true" outlineLevel="0" collapsed="false">
      <c r="A9" s="78" t="n">
        <v>6</v>
      </c>
      <c r="B9" s="78" t="s">
        <v>111</v>
      </c>
      <c r="C9" s="79" t="s">
        <v>539</v>
      </c>
      <c r="D9" s="42" t="s">
        <v>540</v>
      </c>
      <c r="E9" s="78" t="s">
        <v>311</v>
      </c>
      <c r="F9" s="42" t="s">
        <v>541</v>
      </c>
      <c r="G9" s="78" t="n">
        <v>4</v>
      </c>
      <c r="H9" s="42" t="s">
        <v>542</v>
      </c>
      <c r="I9" s="42" t="s">
        <v>543</v>
      </c>
      <c r="J9" s="42" t="s">
        <v>544</v>
      </c>
      <c r="K9" s="42" t="s">
        <v>531</v>
      </c>
      <c r="L9" s="80" t="str">
        <f aca="false">IFERROR(INDEX('📅 Calendrier'!$A$4:$A$44,MATCH("S6 · séance 1",'📅 Calendrier'!$D$4:$D$44,0))&amp;" ("&amp;INDEX('📅 Calendrier'!$B$4:$B$44,MATCH("S6 · séance 1",'📅 Calendrier'!$D$4:$D$44,0))&amp;")","⚠ hors année !")</f>
        <v>S23 (08/03/2027)</v>
      </c>
      <c r="M9" s="80" t="str">
        <f aca="false">IFERROR(INDEX('📅 Calendrier'!$A$4:$A$44,MATCH("S6 · séance 4",'📅 Calendrier'!$D$4:$D$44,0))&amp;" ("&amp;INDEX('📅 Calendrier'!$B$4:$B$44,MATCH("S6 · séance 4",'📅 Calendrier'!$D$4:$D$44,0))&amp;")","⚠ hors année !")</f>
        <v>S26 (29/03/2027)</v>
      </c>
    </row>
    <row r="10" customFormat="false" ht="78" hidden="false" customHeight="true" outlineLevel="0" collapsed="false">
      <c r="A10" s="81" t="n">
        <v>7</v>
      </c>
      <c r="B10" s="81" t="s">
        <v>545</v>
      </c>
      <c r="C10" s="82" t="s">
        <v>546</v>
      </c>
      <c r="D10" s="44" t="s">
        <v>547</v>
      </c>
      <c r="E10" s="81" t="s">
        <v>410</v>
      </c>
      <c r="F10" s="44" t="s">
        <v>548</v>
      </c>
      <c r="G10" s="81" t="n">
        <v>6</v>
      </c>
      <c r="H10" s="44" t="s">
        <v>549</v>
      </c>
      <c r="I10" s="44" t="s">
        <v>550</v>
      </c>
      <c r="J10" s="44" t="s">
        <v>551</v>
      </c>
      <c r="K10" s="44" t="s">
        <v>552</v>
      </c>
      <c r="L10" s="83" t="str">
        <f aca="false">IFERROR(INDEX('📅 Calendrier'!$A$4:$A$44,MATCH("S7 · séance 1",'📅 Calendrier'!$D$4:$D$44,0))&amp;" ("&amp;INDEX('📅 Calendrier'!$B$4:$B$44,MATCH("S7 · séance 1",'📅 Calendrier'!$D$4:$D$44,0))&amp;")","⚠ hors année !")</f>
        <v>S27 (05/04/2027)</v>
      </c>
      <c r="M10" s="83" t="str">
        <f aca="false">IFERROR(INDEX('📅 Calendrier'!$A$4:$A$44,MATCH("S7 · séance 6",'📅 Calendrier'!$D$4:$D$44,0))&amp;" ("&amp;INDEX('📅 Calendrier'!$B$4:$B$44,MATCH("S7 · séance 6",'📅 Calendrier'!$D$4:$D$44,0))&amp;")","⚠ hors année !")</f>
        <v>S33 (31/05/2027)</v>
      </c>
    </row>
    <row r="11" customFormat="false" ht="15" hidden="false" customHeight="true" outlineLevel="0" collapsed="false">
      <c r="F11" s="84" t="s">
        <v>553</v>
      </c>
      <c r="G11" s="85" t="n">
        <f aca="false">SUM(G4:G10)</f>
        <v>29</v>
      </c>
      <c r="H11" s="27" t="s">
        <v>554</v>
      </c>
    </row>
    <row r="12" customFormat="false" ht="15" hidden="false" customHeight="true" outlineLevel="0" collapsed="false">
      <c r="L12" s="86" t="s">
        <v>555</v>
      </c>
      <c r="M12" s="86"/>
    </row>
    <row r="13" customFormat="false" ht="15" hidden="false" customHeight="true" outlineLevel="0" collapsed="false">
      <c r="A13" s="72" t="s">
        <v>556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</row>
  </sheetData>
  <mergeCells count="2">
    <mergeCell ref="L12:M12"/>
    <mergeCell ref="A13:K13"/>
  </mergeCells>
  <hyperlinks>
    <hyperlink ref="K2" r:id="rId1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40"/>
    <col collapsed="false" customWidth="true" hidden="false" outlineLevel="0" max="5" min="5" style="1" width="3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87" t="s">
        <v>557</v>
      </c>
      <c r="B1" s="87"/>
      <c r="C1" s="87"/>
      <c r="D1" s="87"/>
      <c r="E1" s="87"/>
      <c r="F1" s="87"/>
    </row>
    <row r="2" customFormat="false" ht="15" hidden="false" customHeight="true" outlineLevel="0" collapsed="false">
      <c r="A2" s="72" t="s">
        <v>558</v>
      </c>
      <c r="B2" s="72"/>
      <c r="C2" s="72"/>
      <c r="D2" s="72"/>
      <c r="E2" s="72"/>
      <c r="F2" s="72"/>
    </row>
    <row r="3" customFormat="false" ht="15" hidden="false" customHeight="true" outlineLevel="0" collapsed="false">
      <c r="E3" s="88" t="s">
        <v>559</v>
      </c>
      <c r="F3" s="30" t="s">
        <v>52</v>
      </c>
    </row>
    <row r="4" customFormat="false" ht="27.75" hidden="false" customHeight="true" outlineLevel="0" collapsed="false">
      <c r="A4" s="76" t="s">
        <v>496</v>
      </c>
      <c r="B4" s="89" t="s">
        <v>506</v>
      </c>
      <c r="C4" s="89"/>
      <c r="D4" s="89"/>
      <c r="E4" s="89"/>
      <c r="F4" s="89"/>
    </row>
    <row r="5" customFormat="false" ht="27.75" hidden="false" customHeight="true" outlineLevel="0" collapsed="false">
      <c r="A5" s="76" t="s">
        <v>560</v>
      </c>
      <c r="B5" s="89" t="s">
        <v>561</v>
      </c>
      <c r="C5" s="89"/>
      <c r="D5" s="89"/>
      <c r="E5" s="89"/>
      <c r="F5" s="89"/>
    </row>
    <row r="6" customFormat="false" ht="27.75" hidden="false" customHeight="true" outlineLevel="0" collapsed="false">
      <c r="A6" s="76" t="s">
        <v>562</v>
      </c>
      <c r="B6" s="89" t="s">
        <v>218</v>
      </c>
      <c r="C6" s="89"/>
      <c r="D6" s="89"/>
      <c r="E6" s="89"/>
      <c r="F6" s="89"/>
    </row>
    <row r="7" customFormat="false" ht="27.75" hidden="false" customHeight="true" outlineLevel="0" collapsed="false">
      <c r="A7" s="76" t="s">
        <v>563</v>
      </c>
      <c r="B7" s="89" t="s">
        <v>561</v>
      </c>
      <c r="C7" s="89"/>
      <c r="D7" s="89"/>
      <c r="E7" s="89"/>
      <c r="F7" s="89"/>
    </row>
    <row r="8" customFormat="false" ht="27.75" hidden="false" customHeight="true" outlineLevel="0" collapsed="false">
      <c r="A8" s="76" t="s">
        <v>564</v>
      </c>
      <c r="B8" s="89" t="s">
        <v>565</v>
      </c>
      <c r="C8" s="89"/>
      <c r="D8" s="89"/>
      <c r="E8" s="89"/>
      <c r="F8" s="89"/>
    </row>
    <row r="9" customFormat="false" ht="27.75" hidden="false" customHeight="true" outlineLevel="0" collapsed="false">
      <c r="A9" s="76" t="s">
        <v>566</v>
      </c>
      <c r="B9" s="89" t="s">
        <v>567</v>
      </c>
      <c r="C9" s="89"/>
      <c r="D9" s="89"/>
      <c r="E9" s="89"/>
      <c r="F9" s="89"/>
    </row>
    <row r="10" customFormat="false" ht="27.75" hidden="false" customHeight="true" outlineLevel="0" collapsed="false">
      <c r="A10" s="76" t="s">
        <v>568</v>
      </c>
      <c r="B10" s="89" t="s">
        <v>569</v>
      </c>
      <c r="C10" s="89"/>
      <c r="D10" s="89"/>
      <c r="E10" s="89"/>
      <c r="F10" s="89"/>
    </row>
    <row r="11" customFormat="false" ht="27.75" hidden="false" customHeight="true" outlineLevel="0" collapsed="false">
      <c r="A11" s="76" t="s">
        <v>570</v>
      </c>
      <c r="B11" s="89" t="s">
        <v>561</v>
      </c>
      <c r="C11" s="89"/>
      <c r="D11" s="89"/>
      <c r="E11" s="89"/>
      <c r="F11" s="89"/>
    </row>
    <row r="12" customFormat="false" ht="27.75" hidden="false" customHeight="true" outlineLevel="0" collapsed="false">
      <c r="A12" s="76" t="s">
        <v>571</v>
      </c>
      <c r="B12" s="89" t="s">
        <v>561</v>
      </c>
      <c r="C12" s="89"/>
      <c r="D12" s="89"/>
      <c r="E12" s="89"/>
      <c r="F12" s="89"/>
    </row>
    <row r="13" customFormat="false" ht="27.75" hidden="false" customHeight="true" outlineLevel="0" collapsed="false">
      <c r="A13" s="76" t="s">
        <v>572</v>
      </c>
      <c r="B13" s="89" t="s">
        <v>510</v>
      </c>
      <c r="C13" s="89"/>
      <c r="D13" s="89"/>
      <c r="E13" s="89"/>
      <c r="F13" s="89"/>
    </row>
    <row r="14" customFormat="false" ht="27.75" hidden="false" customHeight="true" outlineLevel="0" collapsed="false">
      <c r="A14" s="76" t="s">
        <v>573</v>
      </c>
      <c r="B14" s="89" t="s">
        <v>509</v>
      </c>
      <c r="C14" s="89"/>
      <c r="D14" s="89"/>
      <c r="E14" s="89"/>
      <c r="F14" s="89"/>
    </row>
    <row r="16" customFormat="false" ht="15" hidden="false" customHeight="true" outlineLevel="0" collapsed="false">
      <c r="A16" s="48" t="s">
        <v>574</v>
      </c>
    </row>
    <row r="17" customFormat="false" ht="15" hidden="false" customHeight="true" outlineLevel="0" collapsed="false">
      <c r="A17" s="31" t="s">
        <v>211</v>
      </c>
      <c r="B17" s="31" t="s">
        <v>575</v>
      </c>
      <c r="C17" s="31" t="s">
        <v>576</v>
      </c>
      <c r="D17" s="31" t="s">
        <v>577</v>
      </c>
      <c r="E17" s="31" t="s">
        <v>578</v>
      </c>
    </row>
    <row r="18" customFormat="false" ht="30" hidden="false" customHeight="true" outlineLevel="0" collapsed="false">
      <c r="A18" s="74" t="s">
        <v>233</v>
      </c>
      <c r="B18" s="36" t="s">
        <v>234</v>
      </c>
      <c r="C18" s="36" t="s">
        <v>235</v>
      </c>
      <c r="D18" s="36" t="s">
        <v>218</v>
      </c>
      <c r="E18" s="36" t="s">
        <v>579</v>
      </c>
    </row>
    <row r="19" customFormat="false" ht="30" hidden="false" customHeight="true" outlineLevel="0" collapsed="false">
      <c r="A19" s="74" t="s">
        <v>236</v>
      </c>
      <c r="B19" s="36" t="s">
        <v>237</v>
      </c>
      <c r="C19" s="36" t="s">
        <v>238</v>
      </c>
      <c r="D19" s="36" t="s">
        <v>218</v>
      </c>
      <c r="E19" s="36" t="s">
        <v>579</v>
      </c>
    </row>
    <row r="20" customFormat="false" ht="30" hidden="false" customHeight="true" outlineLevel="0" collapsed="false">
      <c r="A20" s="74" t="s">
        <v>239</v>
      </c>
      <c r="B20" s="36" t="s">
        <v>240</v>
      </c>
      <c r="C20" s="36" t="s">
        <v>238</v>
      </c>
      <c r="D20" s="36" t="s">
        <v>218</v>
      </c>
      <c r="E20" s="36" t="s">
        <v>579</v>
      </c>
    </row>
    <row r="22" customFormat="false" ht="15" hidden="false" customHeight="true" outlineLevel="0" collapsed="false">
      <c r="A22" s="48" t="s">
        <v>580</v>
      </c>
    </row>
    <row r="23" customFormat="false" ht="15" hidden="false" customHeight="true" outlineLevel="0" collapsed="false">
      <c r="A23" s="90" t="s">
        <v>581</v>
      </c>
      <c r="B23" s="90"/>
      <c r="C23" s="90"/>
      <c r="D23" s="90"/>
      <c r="E23" s="90"/>
      <c r="F23" s="90"/>
    </row>
    <row r="24" customFormat="false" ht="27.75" hidden="false" customHeight="true" outlineLevel="0" collapsed="false">
      <c r="A24" s="76" t="s">
        <v>582</v>
      </c>
      <c r="B24" s="89" t="s">
        <v>583</v>
      </c>
      <c r="C24" s="89"/>
      <c r="D24" s="89"/>
      <c r="E24" s="89"/>
      <c r="F24" s="89"/>
    </row>
    <row r="25" customFormat="false" ht="27.75" hidden="false" customHeight="true" outlineLevel="0" collapsed="false">
      <c r="A25" s="76" t="s">
        <v>584</v>
      </c>
      <c r="B25" s="89" t="s">
        <v>585</v>
      </c>
      <c r="C25" s="89"/>
      <c r="D25" s="89"/>
      <c r="E25" s="89"/>
      <c r="F25" s="89"/>
    </row>
    <row r="26" customFormat="false" ht="27.75" hidden="false" customHeight="true" outlineLevel="0" collapsed="false">
      <c r="A26" s="76" t="s">
        <v>586</v>
      </c>
      <c r="B26" s="89" t="s">
        <v>587</v>
      </c>
      <c r="C26" s="89"/>
      <c r="D26" s="89"/>
      <c r="E26" s="89"/>
      <c r="F26" s="89"/>
    </row>
    <row r="27" customFormat="false" ht="27.75" hidden="false" customHeight="true" outlineLevel="0" collapsed="false">
      <c r="A27" s="76" t="s">
        <v>588</v>
      </c>
      <c r="B27" s="89" t="s">
        <v>589</v>
      </c>
      <c r="C27" s="89"/>
      <c r="D27" s="89"/>
      <c r="E27" s="89"/>
      <c r="F27" s="89"/>
    </row>
    <row r="28" customFormat="false" ht="39.75" hidden="false" customHeight="true" outlineLevel="0" collapsed="false">
      <c r="A28" s="91" t="s">
        <v>590</v>
      </c>
      <c r="B28" s="92" t="s">
        <v>591</v>
      </c>
      <c r="C28" s="92"/>
      <c r="D28" s="92"/>
      <c r="E28" s="92"/>
      <c r="F28" s="92"/>
    </row>
    <row r="29" customFormat="false" ht="39.75" hidden="false" customHeight="true" outlineLevel="0" collapsed="false">
      <c r="A29" s="91" t="s">
        <v>592</v>
      </c>
      <c r="B29" s="92" t="s">
        <v>593</v>
      </c>
      <c r="C29" s="92"/>
      <c r="D29" s="92"/>
      <c r="E29" s="92"/>
      <c r="F29" s="92"/>
    </row>
    <row r="30" customFormat="false" ht="15" hidden="false" customHeight="true" outlineLevel="0" collapsed="false">
      <c r="A30" s="93" t="s">
        <v>594</v>
      </c>
      <c r="B30" s="94" t="s">
        <v>595</v>
      </c>
      <c r="C30" s="95" t="s">
        <v>596</v>
      </c>
      <c r="D30" s="95"/>
      <c r="E30" s="95"/>
      <c r="F30" s="95"/>
    </row>
    <row r="32" customFormat="false" ht="15" hidden="false" customHeight="true" outlineLevel="0" collapsed="false">
      <c r="A32" s="90" t="s">
        <v>597</v>
      </c>
      <c r="B32" s="90"/>
      <c r="C32" s="90"/>
      <c r="D32" s="90"/>
      <c r="E32" s="90"/>
      <c r="F32" s="90"/>
    </row>
    <row r="33" customFormat="false" ht="27.75" hidden="false" customHeight="true" outlineLevel="0" collapsed="false">
      <c r="A33" s="76" t="s">
        <v>582</v>
      </c>
      <c r="B33" s="89" t="s">
        <v>583</v>
      </c>
      <c r="C33" s="89"/>
      <c r="D33" s="89"/>
      <c r="E33" s="89"/>
      <c r="F33" s="89"/>
    </row>
    <row r="34" customFormat="false" ht="27.75" hidden="false" customHeight="true" outlineLevel="0" collapsed="false">
      <c r="A34" s="76" t="s">
        <v>584</v>
      </c>
      <c r="B34" s="89" t="s">
        <v>585</v>
      </c>
      <c r="C34" s="89"/>
      <c r="D34" s="89"/>
      <c r="E34" s="89"/>
      <c r="F34" s="89"/>
    </row>
    <row r="35" customFormat="false" ht="27.75" hidden="false" customHeight="true" outlineLevel="0" collapsed="false">
      <c r="A35" s="76" t="s">
        <v>586</v>
      </c>
      <c r="B35" s="89" t="s">
        <v>587</v>
      </c>
      <c r="C35" s="89"/>
      <c r="D35" s="89"/>
      <c r="E35" s="89"/>
      <c r="F35" s="89"/>
    </row>
    <row r="36" customFormat="false" ht="27.75" hidden="false" customHeight="true" outlineLevel="0" collapsed="false">
      <c r="A36" s="76" t="s">
        <v>588</v>
      </c>
      <c r="B36" s="89" t="s">
        <v>589</v>
      </c>
      <c r="C36" s="89"/>
      <c r="D36" s="89"/>
      <c r="E36" s="89"/>
      <c r="F36" s="89"/>
    </row>
    <row r="37" customFormat="false" ht="39.75" hidden="false" customHeight="true" outlineLevel="0" collapsed="false">
      <c r="A37" s="91" t="s">
        <v>590</v>
      </c>
      <c r="B37" s="92" t="s">
        <v>598</v>
      </c>
      <c r="C37" s="92"/>
      <c r="D37" s="92"/>
      <c r="E37" s="92"/>
      <c r="F37" s="92"/>
    </row>
    <row r="38" customFormat="false" ht="39.75" hidden="false" customHeight="true" outlineLevel="0" collapsed="false">
      <c r="A38" s="91" t="s">
        <v>592</v>
      </c>
      <c r="B38" s="92" t="s">
        <v>593</v>
      </c>
      <c r="C38" s="92"/>
      <c r="D38" s="92"/>
      <c r="E38" s="92"/>
      <c r="F38" s="92"/>
    </row>
    <row r="39" customFormat="false" ht="15" hidden="false" customHeight="true" outlineLevel="0" collapsed="false">
      <c r="A39" s="93" t="s">
        <v>594</v>
      </c>
      <c r="B39" s="94" t="s">
        <v>595</v>
      </c>
      <c r="C39" s="95" t="s">
        <v>596</v>
      </c>
      <c r="D39" s="95"/>
      <c r="E39" s="95"/>
      <c r="F39" s="95"/>
    </row>
    <row r="41" customFormat="false" ht="15" hidden="false" customHeight="true" outlineLevel="0" collapsed="false">
      <c r="A41" s="90" t="s">
        <v>599</v>
      </c>
      <c r="B41" s="90"/>
      <c r="C41" s="90"/>
      <c r="D41" s="90"/>
      <c r="E41" s="90"/>
      <c r="F41" s="90"/>
    </row>
    <row r="42" customFormat="false" ht="27.75" hidden="false" customHeight="true" outlineLevel="0" collapsed="false">
      <c r="A42" s="76" t="s">
        <v>582</v>
      </c>
      <c r="B42" s="89" t="s">
        <v>583</v>
      </c>
      <c r="C42" s="89"/>
      <c r="D42" s="89"/>
      <c r="E42" s="89"/>
      <c r="F42" s="89"/>
    </row>
    <row r="43" customFormat="false" ht="27.75" hidden="false" customHeight="true" outlineLevel="0" collapsed="false">
      <c r="A43" s="76" t="s">
        <v>584</v>
      </c>
      <c r="B43" s="89" t="s">
        <v>585</v>
      </c>
      <c r="C43" s="89"/>
      <c r="D43" s="89"/>
      <c r="E43" s="89"/>
      <c r="F43" s="89"/>
    </row>
    <row r="44" customFormat="false" ht="27.75" hidden="false" customHeight="true" outlineLevel="0" collapsed="false">
      <c r="A44" s="76" t="s">
        <v>586</v>
      </c>
      <c r="B44" s="89" t="s">
        <v>587</v>
      </c>
      <c r="C44" s="89"/>
      <c r="D44" s="89"/>
      <c r="E44" s="89"/>
      <c r="F44" s="89"/>
    </row>
    <row r="45" customFormat="false" ht="27.75" hidden="false" customHeight="true" outlineLevel="0" collapsed="false">
      <c r="A45" s="76" t="s">
        <v>588</v>
      </c>
      <c r="B45" s="89" t="s">
        <v>589</v>
      </c>
      <c r="C45" s="89"/>
      <c r="D45" s="89"/>
      <c r="E45" s="89"/>
      <c r="F45" s="89"/>
    </row>
    <row r="46" customFormat="false" ht="39.75" hidden="false" customHeight="true" outlineLevel="0" collapsed="false">
      <c r="A46" s="91" t="s">
        <v>590</v>
      </c>
      <c r="B46" s="92" t="s">
        <v>600</v>
      </c>
      <c r="C46" s="92"/>
      <c r="D46" s="92"/>
      <c r="E46" s="92"/>
      <c r="F46" s="92"/>
    </row>
    <row r="47" customFormat="false" ht="39.75" hidden="false" customHeight="true" outlineLevel="0" collapsed="false">
      <c r="A47" s="91" t="s">
        <v>592</v>
      </c>
      <c r="B47" s="92" t="s">
        <v>593</v>
      </c>
      <c r="C47" s="92"/>
      <c r="D47" s="92"/>
      <c r="E47" s="92"/>
      <c r="F47" s="92"/>
    </row>
    <row r="48" customFormat="false" ht="15" hidden="false" customHeight="true" outlineLevel="0" collapsed="false">
      <c r="A48" s="93" t="s">
        <v>594</v>
      </c>
      <c r="B48" s="94" t="s">
        <v>595</v>
      </c>
      <c r="C48" s="95" t="s">
        <v>596</v>
      </c>
      <c r="D48" s="95"/>
      <c r="E48" s="95"/>
      <c r="F48" s="95"/>
    </row>
  </sheetData>
  <mergeCells count="37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23:F23"/>
    <mergeCell ref="B24:F24"/>
    <mergeCell ref="B25:F25"/>
    <mergeCell ref="B26:F26"/>
    <mergeCell ref="B27:F27"/>
    <mergeCell ref="B28:F28"/>
    <mergeCell ref="B29:F29"/>
    <mergeCell ref="C30:F30"/>
    <mergeCell ref="A32:F32"/>
    <mergeCell ref="B33:F33"/>
    <mergeCell ref="B34:F34"/>
    <mergeCell ref="B35:F35"/>
    <mergeCell ref="B36:F36"/>
    <mergeCell ref="B37:F37"/>
    <mergeCell ref="B38:F38"/>
    <mergeCell ref="C39:F39"/>
    <mergeCell ref="A41:F41"/>
    <mergeCell ref="B42:F42"/>
    <mergeCell ref="B43:F43"/>
    <mergeCell ref="B44:F44"/>
    <mergeCell ref="B45:F45"/>
    <mergeCell ref="B46:F46"/>
    <mergeCell ref="B47:F47"/>
    <mergeCell ref="C48:F48"/>
  </mergeCells>
  <hyperlinks>
    <hyperlink ref="E3" r:id="rId1" location="'🧭%20Progression'!A1" display="◀ Progression"/>
    <hyperlink ref="F3" r:id="rId2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40"/>
    <col collapsed="false" customWidth="true" hidden="false" outlineLevel="0" max="5" min="5" style="1" width="3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87" t="s">
        <v>601</v>
      </c>
      <c r="B1" s="87"/>
      <c r="C1" s="87"/>
      <c r="D1" s="87"/>
      <c r="E1" s="87"/>
      <c r="F1" s="87"/>
    </row>
    <row r="2" customFormat="false" ht="15" hidden="false" customHeight="true" outlineLevel="0" collapsed="false">
      <c r="A2" s="72" t="s">
        <v>602</v>
      </c>
      <c r="B2" s="72"/>
      <c r="C2" s="72"/>
      <c r="D2" s="72"/>
      <c r="E2" s="72"/>
      <c r="F2" s="72"/>
    </row>
    <row r="3" customFormat="false" ht="15" hidden="false" customHeight="true" outlineLevel="0" collapsed="false">
      <c r="E3" s="88" t="s">
        <v>559</v>
      </c>
      <c r="F3" s="30" t="s">
        <v>52</v>
      </c>
    </row>
    <row r="4" customFormat="false" ht="27.75" hidden="false" customHeight="true" outlineLevel="0" collapsed="false">
      <c r="A4" s="76" t="s">
        <v>496</v>
      </c>
      <c r="B4" s="89" t="s">
        <v>513</v>
      </c>
      <c r="C4" s="89"/>
      <c r="D4" s="89"/>
      <c r="E4" s="89"/>
      <c r="F4" s="89"/>
    </row>
    <row r="5" customFormat="false" ht="27.75" hidden="false" customHeight="true" outlineLevel="0" collapsed="false">
      <c r="A5" s="76" t="s">
        <v>560</v>
      </c>
      <c r="B5" s="89" t="s">
        <v>561</v>
      </c>
      <c r="C5" s="89"/>
      <c r="D5" s="89"/>
      <c r="E5" s="89"/>
      <c r="F5" s="89"/>
    </row>
    <row r="6" customFormat="false" ht="27.75" hidden="false" customHeight="true" outlineLevel="0" collapsed="false">
      <c r="A6" s="76" t="s">
        <v>562</v>
      </c>
      <c r="B6" s="89" t="s">
        <v>218</v>
      </c>
      <c r="C6" s="89"/>
      <c r="D6" s="89"/>
      <c r="E6" s="89"/>
      <c r="F6" s="89"/>
    </row>
    <row r="7" customFormat="false" ht="27.75" hidden="false" customHeight="true" outlineLevel="0" collapsed="false">
      <c r="A7" s="76" t="s">
        <v>563</v>
      </c>
      <c r="B7" s="89" t="s">
        <v>561</v>
      </c>
      <c r="C7" s="89"/>
      <c r="D7" s="89"/>
      <c r="E7" s="89"/>
      <c r="F7" s="89"/>
    </row>
    <row r="8" customFormat="false" ht="27.75" hidden="false" customHeight="true" outlineLevel="0" collapsed="false">
      <c r="A8" s="76" t="s">
        <v>564</v>
      </c>
      <c r="B8" s="89" t="s">
        <v>603</v>
      </c>
      <c r="C8" s="89"/>
      <c r="D8" s="89"/>
      <c r="E8" s="89"/>
      <c r="F8" s="89"/>
    </row>
    <row r="9" customFormat="false" ht="27.75" hidden="false" customHeight="true" outlineLevel="0" collapsed="false">
      <c r="A9" s="76" t="s">
        <v>566</v>
      </c>
      <c r="B9" s="89" t="s">
        <v>604</v>
      </c>
      <c r="C9" s="89"/>
      <c r="D9" s="89"/>
      <c r="E9" s="89"/>
      <c r="F9" s="89"/>
    </row>
    <row r="10" customFormat="false" ht="27.75" hidden="false" customHeight="true" outlineLevel="0" collapsed="false">
      <c r="A10" s="76" t="s">
        <v>568</v>
      </c>
      <c r="B10" s="89" t="s">
        <v>605</v>
      </c>
      <c r="C10" s="89"/>
      <c r="D10" s="89"/>
      <c r="E10" s="89"/>
      <c r="F10" s="89"/>
    </row>
    <row r="11" customFormat="false" ht="27.75" hidden="false" customHeight="true" outlineLevel="0" collapsed="false">
      <c r="A11" s="76" t="s">
        <v>570</v>
      </c>
      <c r="B11" s="89" t="s">
        <v>561</v>
      </c>
      <c r="C11" s="89"/>
      <c r="D11" s="89"/>
      <c r="E11" s="89"/>
      <c r="F11" s="89"/>
    </row>
    <row r="12" customFormat="false" ht="27.75" hidden="false" customHeight="true" outlineLevel="0" collapsed="false">
      <c r="A12" s="76" t="s">
        <v>571</v>
      </c>
      <c r="B12" s="89" t="s">
        <v>561</v>
      </c>
      <c r="C12" s="89"/>
      <c r="D12" s="89"/>
      <c r="E12" s="89"/>
      <c r="F12" s="89"/>
    </row>
    <row r="13" customFormat="false" ht="27.75" hidden="false" customHeight="true" outlineLevel="0" collapsed="false">
      <c r="A13" s="76" t="s">
        <v>572</v>
      </c>
      <c r="B13" s="89" t="s">
        <v>516</v>
      </c>
      <c r="C13" s="89"/>
      <c r="D13" s="89"/>
      <c r="E13" s="89"/>
      <c r="F13" s="89"/>
    </row>
    <row r="14" customFormat="false" ht="27.75" hidden="false" customHeight="true" outlineLevel="0" collapsed="false">
      <c r="A14" s="76" t="s">
        <v>573</v>
      </c>
      <c r="B14" s="89" t="s">
        <v>509</v>
      </c>
      <c r="C14" s="89"/>
      <c r="D14" s="89"/>
      <c r="E14" s="89"/>
      <c r="F14" s="89"/>
    </row>
    <row r="16" customFormat="false" ht="15" hidden="false" customHeight="true" outlineLevel="0" collapsed="false">
      <c r="A16" s="48" t="s">
        <v>574</v>
      </c>
    </row>
    <row r="17" customFormat="false" ht="15" hidden="false" customHeight="true" outlineLevel="0" collapsed="false">
      <c r="A17" s="31" t="s">
        <v>211</v>
      </c>
      <c r="B17" s="31" t="s">
        <v>575</v>
      </c>
      <c r="C17" s="31" t="s">
        <v>576</v>
      </c>
      <c r="D17" s="31" t="s">
        <v>577</v>
      </c>
      <c r="E17" s="31" t="s">
        <v>578</v>
      </c>
    </row>
    <row r="18" customFormat="false" ht="30" hidden="false" customHeight="true" outlineLevel="0" collapsed="false">
      <c r="A18" s="74" t="s">
        <v>223</v>
      </c>
      <c r="B18" s="36" t="s">
        <v>225</v>
      </c>
      <c r="C18" s="36" t="s">
        <v>227</v>
      </c>
      <c r="D18" s="36" t="s">
        <v>218</v>
      </c>
      <c r="E18" s="36" t="s">
        <v>579</v>
      </c>
    </row>
    <row r="19" customFormat="false" ht="30" hidden="false" customHeight="true" outlineLevel="0" collapsed="false">
      <c r="A19" s="74" t="s">
        <v>228</v>
      </c>
      <c r="B19" s="36" t="s">
        <v>229</v>
      </c>
      <c r="C19" s="36" t="s">
        <v>227</v>
      </c>
      <c r="D19" s="36" t="s">
        <v>218</v>
      </c>
      <c r="E19" s="36" t="s">
        <v>579</v>
      </c>
    </row>
    <row r="20" customFormat="false" ht="30" hidden="false" customHeight="true" outlineLevel="0" collapsed="false">
      <c r="A20" s="74" t="s">
        <v>230</v>
      </c>
      <c r="B20" s="36" t="s">
        <v>231</v>
      </c>
      <c r="C20" s="36" t="s">
        <v>232</v>
      </c>
      <c r="D20" s="36" t="s">
        <v>218</v>
      </c>
      <c r="E20" s="36" t="s">
        <v>579</v>
      </c>
    </row>
    <row r="21" customFormat="false" ht="30" hidden="false" customHeight="true" outlineLevel="0" collapsed="false">
      <c r="A21" s="74" t="s">
        <v>282</v>
      </c>
      <c r="B21" s="36" t="s">
        <v>283</v>
      </c>
      <c r="C21" s="36" t="s">
        <v>227</v>
      </c>
      <c r="D21" s="36" t="s">
        <v>218</v>
      </c>
      <c r="E21" s="36" t="s">
        <v>579</v>
      </c>
    </row>
    <row r="22" customFormat="false" ht="30" hidden="false" customHeight="true" outlineLevel="0" collapsed="false">
      <c r="A22" s="74" t="s">
        <v>286</v>
      </c>
      <c r="B22" s="36" t="s">
        <v>287</v>
      </c>
      <c r="C22" s="36" t="s">
        <v>247</v>
      </c>
      <c r="D22" s="36" t="s">
        <v>218</v>
      </c>
      <c r="E22" s="36" t="s">
        <v>579</v>
      </c>
    </row>
    <row r="24" customFormat="false" ht="15" hidden="false" customHeight="true" outlineLevel="0" collapsed="false">
      <c r="A24" s="48" t="s">
        <v>580</v>
      </c>
    </row>
    <row r="25" customFormat="false" ht="15" hidden="false" customHeight="true" outlineLevel="0" collapsed="false">
      <c r="A25" s="90" t="s">
        <v>606</v>
      </c>
      <c r="B25" s="90"/>
      <c r="C25" s="90"/>
      <c r="D25" s="90"/>
      <c r="E25" s="90"/>
      <c r="F25" s="90"/>
    </row>
    <row r="26" customFormat="false" ht="27.75" hidden="false" customHeight="true" outlineLevel="0" collapsed="false">
      <c r="A26" s="76" t="s">
        <v>582</v>
      </c>
      <c r="B26" s="89" t="s">
        <v>583</v>
      </c>
      <c r="C26" s="89"/>
      <c r="D26" s="89"/>
      <c r="E26" s="89"/>
      <c r="F26" s="89"/>
    </row>
    <row r="27" customFormat="false" ht="27.75" hidden="false" customHeight="true" outlineLevel="0" collapsed="false">
      <c r="A27" s="76" t="s">
        <v>584</v>
      </c>
      <c r="B27" s="89" t="s">
        <v>607</v>
      </c>
      <c r="C27" s="89"/>
      <c r="D27" s="89"/>
      <c r="E27" s="89"/>
      <c r="F27" s="89"/>
    </row>
    <row r="28" customFormat="false" ht="27.75" hidden="false" customHeight="true" outlineLevel="0" collapsed="false">
      <c r="A28" s="76" t="s">
        <v>586</v>
      </c>
      <c r="B28" s="89" t="s">
        <v>587</v>
      </c>
      <c r="C28" s="89"/>
      <c r="D28" s="89"/>
      <c r="E28" s="89"/>
      <c r="F28" s="89"/>
    </row>
    <row r="29" customFormat="false" ht="27.75" hidden="false" customHeight="true" outlineLevel="0" collapsed="false">
      <c r="A29" s="76" t="s">
        <v>588</v>
      </c>
      <c r="B29" s="89" t="s">
        <v>589</v>
      </c>
      <c r="C29" s="89"/>
      <c r="D29" s="89"/>
      <c r="E29" s="89"/>
      <c r="F29" s="89"/>
    </row>
    <row r="30" customFormat="false" ht="39.75" hidden="false" customHeight="true" outlineLevel="0" collapsed="false">
      <c r="A30" s="91" t="s">
        <v>590</v>
      </c>
      <c r="B30" s="92" t="s">
        <v>591</v>
      </c>
      <c r="C30" s="92"/>
      <c r="D30" s="92"/>
      <c r="E30" s="92"/>
      <c r="F30" s="92"/>
    </row>
    <row r="31" customFormat="false" ht="39.75" hidden="false" customHeight="true" outlineLevel="0" collapsed="false">
      <c r="A31" s="91" t="s">
        <v>592</v>
      </c>
      <c r="B31" s="92" t="s">
        <v>593</v>
      </c>
      <c r="C31" s="92"/>
      <c r="D31" s="92"/>
      <c r="E31" s="92"/>
      <c r="F31" s="92"/>
    </row>
    <row r="32" customFormat="false" ht="15" hidden="false" customHeight="true" outlineLevel="0" collapsed="false">
      <c r="A32" s="93" t="s">
        <v>594</v>
      </c>
      <c r="B32" s="94" t="s">
        <v>595</v>
      </c>
      <c r="C32" s="95" t="s">
        <v>596</v>
      </c>
      <c r="D32" s="95"/>
      <c r="E32" s="95"/>
      <c r="F32" s="95"/>
    </row>
    <row r="34" customFormat="false" ht="15" hidden="false" customHeight="true" outlineLevel="0" collapsed="false">
      <c r="A34" s="90" t="s">
        <v>608</v>
      </c>
      <c r="B34" s="90"/>
      <c r="C34" s="90"/>
      <c r="D34" s="90"/>
      <c r="E34" s="90"/>
      <c r="F34" s="90"/>
    </row>
    <row r="35" customFormat="false" ht="27.75" hidden="false" customHeight="true" outlineLevel="0" collapsed="false">
      <c r="A35" s="76" t="s">
        <v>582</v>
      </c>
      <c r="B35" s="89" t="s">
        <v>583</v>
      </c>
      <c r="C35" s="89"/>
      <c r="D35" s="89"/>
      <c r="E35" s="89"/>
      <c r="F35" s="89"/>
    </row>
    <row r="36" customFormat="false" ht="27.75" hidden="false" customHeight="true" outlineLevel="0" collapsed="false">
      <c r="A36" s="76" t="s">
        <v>584</v>
      </c>
      <c r="B36" s="89" t="s">
        <v>607</v>
      </c>
      <c r="C36" s="89"/>
      <c r="D36" s="89"/>
      <c r="E36" s="89"/>
      <c r="F36" s="89"/>
    </row>
    <row r="37" customFormat="false" ht="27.75" hidden="false" customHeight="true" outlineLevel="0" collapsed="false">
      <c r="A37" s="76" t="s">
        <v>586</v>
      </c>
      <c r="B37" s="89" t="s">
        <v>587</v>
      </c>
      <c r="C37" s="89"/>
      <c r="D37" s="89"/>
      <c r="E37" s="89"/>
      <c r="F37" s="89"/>
    </row>
    <row r="38" customFormat="false" ht="27.75" hidden="false" customHeight="true" outlineLevel="0" collapsed="false">
      <c r="A38" s="76" t="s">
        <v>588</v>
      </c>
      <c r="B38" s="89" t="s">
        <v>589</v>
      </c>
      <c r="C38" s="89"/>
      <c r="D38" s="89"/>
      <c r="E38" s="89"/>
      <c r="F38" s="89"/>
    </row>
    <row r="39" customFormat="false" ht="39.75" hidden="false" customHeight="true" outlineLevel="0" collapsed="false">
      <c r="A39" s="91" t="s">
        <v>590</v>
      </c>
      <c r="B39" s="92" t="s">
        <v>598</v>
      </c>
      <c r="C39" s="92"/>
      <c r="D39" s="92"/>
      <c r="E39" s="92"/>
      <c r="F39" s="92"/>
    </row>
    <row r="40" customFormat="false" ht="39.75" hidden="false" customHeight="true" outlineLevel="0" collapsed="false">
      <c r="A40" s="91" t="s">
        <v>592</v>
      </c>
      <c r="B40" s="92" t="s">
        <v>593</v>
      </c>
      <c r="C40" s="92"/>
      <c r="D40" s="92"/>
      <c r="E40" s="92"/>
      <c r="F40" s="92"/>
    </row>
    <row r="41" customFormat="false" ht="15" hidden="false" customHeight="true" outlineLevel="0" collapsed="false">
      <c r="A41" s="93" t="s">
        <v>594</v>
      </c>
      <c r="B41" s="94" t="s">
        <v>595</v>
      </c>
      <c r="C41" s="95" t="s">
        <v>596</v>
      </c>
      <c r="D41" s="95"/>
      <c r="E41" s="95"/>
      <c r="F41" s="95"/>
    </row>
    <row r="43" customFormat="false" ht="15" hidden="false" customHeight="true" outlineLevel="0" collapsed="false">
      <c r="A43" s="90" t="s">
        <v>609</v>
      </c>
      <c r="B43" s="90"/>
      <c r="C43" s="90"/>
      <c r="D43" s="90"/>
      <c r="E43" s="90"/>
      <c r="F43" s="90"/>
    </row>
    <row r="44" customFormat="false" ht="27.75" hidden="false" customHeight="true" outlineLevel="0" collapsed="false">
      <c r="A44" s="76" t="s">
        <v>582</v>
      </c>
      <c r="B44" s="89" t="s">
        <v>583</v>
      </c>
      <c r="C44" s="89"/>
      <c r="D44" s="89"/>
      <c r="E44" s="89"/>
      <c r="F44" s="89"/>
    </row>
    <row r="45" customFormat="false" ht="27.75" hidden="false" customHeight="true" outlineLevel="0" collapsed="false">
      <c r="A45" s="76" t="s">
        <v>584</v>
      </c>
      <c r="B45" s="89" t="s">
        <v>607</v>
      </c>
      <c r="C45" s="89"/>
      <c r="D45" s="89"/>
      <c r="E45" s="89"/>
      <c r="F45" s="89"/>
    </row>
    <row r="46" customFormat="false" ht="27.75" hidden="false" customHeight="true" outlineLevel="0" collapsed="false">
      <c r="A46" s="76" t="s">
        <v>586</v>
      </c>
      <c r="B46" s="89" t="s">
        <v>587</v>
      </c>
      <c r="C46" s="89"/>
      <c r="D46" s="89"/>
      <c r="E46" s="89"/>
      <c r="F46" s="89"/>
    </row>
    <row r="47" customFormat="false" ht="27.75" hidden="false" customHeight="true" outlineLevel="0" collapsed="false">
      <c r="A47" s="76" t="s">
        <v>588</v>
      </c>
      <c r="B47" s="89" t="s">
        <v>589</v>
      </c>
      <c r="C47" s="89"/>
      <c r="D47" s="89"/>
      <c r="E47" s="89"/>
      <c r="F47" s="89"/>
    </row>
    <row r="48" customFormat="false" ht="39.75" hidden="false" customHeight="true" outlineLevel="0" collapsed="false">
      <c r="A48" s="91" t="s">
        <v>590</v>
      </c>
      <c r="B48" s="92" t="s">
        <v>600</v>
      </c>
      <c r="C48" s="92"/>
      <c r="D48" s="92"/>
      <c r="E48" s="92"/>
      <c r="F48" s="92"/>
    </row>
    <row r="49" customFormat="false" ht="39.75" hidden="false" customHeight="true" outlineLevel="0" collapsed="false">
      <c r="A49" s="91" t="s">
        <v>592</v>
      </c>
      <c r="B49" s="92" t="s">
        <v>593</v>
      </c>
      <c r="C49" s="92"/>
      <c r="D49" s="92"/>
      <c r="E49" s="92"/>
      <c r="F49" s="92"/>
    </row>
    <row r="50" customFormat="false" ht="15" hidden="false" customHeight="true" outlineLevel="0" collapsed="false">
      <c r="A50" s="93" t="s">
        <v>594</v>
      </c>
      <c r="B50" s="94" t="s">
        <v>595</v>
      </c>
      <c r="C50" s="95" t="s">
        <v>596</v>
      </c>
      <c r="D50" s="95"/>
      <c r="E50" s="95"/>
      <c r="F50" s="95"/>
    </row>
    <row r="52" customFormat="false" ht="15" hidden="false" customHeight="true" outlineLevel="0" collapsed="false">
      <c r="A52" s="90" t="s">
        <v>610</v>
      </c>
      <c r="B52" s="90"/>
      <c r="C52" s="90"/>
      <c r="D52" s="90"/>
      <c r="E52" s="90"/>
      <c r="F52" s="90"/>
    </row>
    <row r="53" customFormat="false" ht="27.75" hidden="false" customHeight="true" outlineLevel="0" collapsed="false">
      <c r="A53" s="76" t="s">
        <v>582</v>
      </c>
      <c r="B53" s="89" t="s">
        <v>583</v>
      </c>
      <c r="C53" s="89"/>
      <c r="D53" s="89"/>
      <c r="E53" s="89"/>
      <c r="F53" s="89"/>
    </row>
    <row r="54" customFormat="false" ht="27.75" hidden="false" customHeight="true" outlineLevel="0" collapsed="false">
      <c r="A54" s="76" t="s">
        <v>584</v>
      </c>
      <c r="B54" s="89" t="s">
        <v>607</v>
      </c>
      <c r="C54" s="89"/>
      <c r="D54" s="89"/>
      <c r="E54" s="89"/>
      <c r="F54" s="89"/>
    </row>
    <row r="55" customFormat="false" ht="27.75" hidden="false" customHeight="true" outlineLevel="0" collapsed="false">
      <c r="A55" s="76" t="s">
        <v>586</v>
      </c>
      <c r="B55" s="89" t="s">
        <v>587</v>
      </c>
      <c r="C55" s="89"/>
      <c r="D55" s="89"/>
      <c r="E55" s="89"/>
      <c r="F55" s="89"/>
    </row>
    <row r="56" customFormat="false" ht="27.75" hidden="false" customHeight="true" outlineLevel="0" collapsed="false">
      <c r="A56" s="76" t="s">
        <v>588</v>
      </c>
      <c r="B56" s="89" t="s">
        <v>589</v>
      </c>
      <c r="C56" s="89"/>
      <c r="D56" s="89"/>
      <c r="E56" s="89"/>
      <c r="F56" s="89"/>
    </row>
    <row r="57" customFormat="false" ht="39.75" hidden="false" customHeight="true" outlineLevel="0" collapsed="false">
      <c r="A57" s="91" t="s">
        <v>590</v>
      </c>
      <c r="B57" s="92" t="s">
        <v>611</v>
      </c>
      <c r="C57" s="92"/>
      <c r="D57" s="92"/>
      <c r="E57" s="92"/>
      <c r="F57" s="92"/>
    </row>
    <row r="58" customFormat="false" ht="39.75" hidden="false" customHeight="true" outlineLevel="0" collapsed="false">
      <c r="A58" s="91" t="s">
        <v>592</v>
      </c>
      <c r="B58" s="92" t="s">
        <v>593</v>
      </c>
      <c r="C58" s="92"/>
      <c r="D58" s="92"/>
      <c r="E58" s="92"/>
      <c r="F58" s="92"/>
    </row>
    <row r="59" customFormat="false" ht="15" hidden="false" customHeight="true" outlineLevel="0" collapsed="false">
      <c r="A59" s="93" t="s">
        <v>594</v>
      </c>
      <c r="B59" s="94" t="s">
        <v>595</v>
      </c>
      <c r="C59" s="95" t="s">
        <v>596</v>
      </c>
      <c r="D59" s="95"/>
      <c r="E59" s="95"/>
      <c r="F59" s="95"/>
    </row>
  </sheetData>
  <mergeCells count="45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25:F25"/>
    <mergeCell ref="B26:F26"/>
    <mergeCell ref="B27:F27"/>
    <mergeCell ref="B28:F28"/>
    <mergeCell ref="B29:F29"/>
    <mergeCell ref="B30:F30"/>
    <mergeCell ref="B31:F31"/>
    <mergeCell ref="C32:F32"/>
    <mergeCell ref="A34:F34"/>
    <mergeCell ref="B35:F35"/>
    <mergeCell ref="B36:F36"/>
    <mergeCell ref="B37:F37"/>
    <mergeCell ref="B38:F38"/>
    <mergeCell ref="B39:F39"/>
    <mergeCell ref="B40:F40"/>
    <mergeCell ref="C41:F41"/>
    <mergeCell ref="A43:F43"/>
    <mergeCell ref="B44:F44"/>
    <mergeCell ref="B45:F45"/>
    <mergeCell ref="B46:F46"/>
    <mergeCell ref="B47:F47"/>
    <mergeCell ref="B48:F48"/>
    <mergeCell ref="B49:F49"/>
    <mergeCell ref="C50:F50"/>
    <mergeCell ref="A52:F52"/>
    <mergeCell ref="B53:F53"/>
    <mergeCell ref="B54:F54"/>
    <mergeCell ref="B55:F55"/>
    <mergeCell ref="B56:F56"/>
    <mergeCell ref="B57:F57"/>
    <mergeCell ref="B58:F58"/>
    <mergeCell ref="C59:F59"/>
  </mergeCells>
  <hyperlinks>
    <hyperlink ref="E3" r:id="rId1" location="'🧭%20Progression'!A1" display="◀ Progression"/>
    <hyperlink ref="F3" r:id="rId2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40"/>
    <col collapsed="false" customWidth="true" hidden="false" outlineLevel="0" max="5" min="5" style="1" width="3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87" t="s">
        <v>612</v>
      </c>
      <c r="B1" s="87"/>
      <c r="C1" s="87"/>
      <c r="D1" s="87"/>
      <c r="E1" s="87"/>
      <c r="F1" s="87"/>
    </row>
    <row r="2" customFormat="false" ht="15" hidden="false" customHeight="true" outlineLevel="0" collapsed="false">
      <c r="A2" s="72" t="s">
        <v>613</v>
      </c>
      <c r="B2" s="72"/>
      <c r="C2" s="72"/>
      <c r="D2" s="72"/>
      <c r="E2" s="72"/>
      <c r="F2" s="72"/>
    </row>
    <row r="3" customFormat="false" ht="15" hidden="false" customHeight="true" outlineLevel="0" collapsed="false">
      <c r="E3" s="88" t="s">
        <v>559</v>
      </c>
      <c r="F3" s="30" t="s">
        <v>52</v>
      </c>
    </row>
    <row r="4" customFormat="false" ht="27.75" hidden="false" customHeight="true" outlineLevel="0" collapsed="false">
      <c r="A4" s="76" t="s">
        <v>496</v>
      </c>
      <c r="B4" s="89" t="s">
        <v>518</v>
      </c>
      <c r="C4" s="89"/>
      <c r="D4" s="89"/>
      <c r="E4" s="89"/>
      <c r="F4" s="89"/>
    </row>
    <row r="5" customFormat="false" ht="27.75" hidden="false" customHeight="true" outlineLevel="0" collapsed="false">
      <c r="A5" s="76" t="s">
        <v>560</v>
      </c>
      <c r="B5" s="89" t="s">
        <v>614</v>
      </c>
      <c r="C5" s="89"/>
      <c r="D5" s="89"/>
      <c r="E5" s="89"/>
      <c r="F5" s="89"/>
    </row>
    <row r="6" customFormat="false" ht="27.75" hidden="false" customHeight="true" outlineLevel="0" collapsed="false">
      <c r="A6" s="76" t="s">
        <v>562</v>
      </c>
      <c r="B6" s="89" t="s">
        <v>218</v>
      </c>
      <c r="C6" s="89"/>
      <c r="D6" s="89"/>
      <c r="E6" s="89"/>
      <c r="F6" s="89"/>
    </row>
    <row r="7" customFormat="false" ht="27.75" hidden="false" customHeight="true" outlineLevel="0" collapsed="false">
      <c r="A7" s="76" t="s">
        <v>563</v>
      </c>
      <c r="B7" s="89" t="s">
        <v>614</v>
      </c>
      <c r="C7" s="89"/>
      <c r="D7" s="89"/>
      <c r="E7" s="89"/>
      <c r="F7" s="89"/>
    </row>
    <row r="8" customFormat="false" ht="27.75" hidden="false" customHeight="true" outlineLevel="0" collapsed="false">
      <c r="A8" s="76" t="s">
        <v>564</v>
      </c>
      <c r="B8" s="89" t="s">
        <v>615</v>
      </c>
      <c r="C8" s="89"/>
      <c r="D8" s="89"/>
      <c r="E8" s="89"/>
      <c r="F8" s="89"/>
    </row>
    <row r="9" customFormat="false" ht="27.75" hidden="false" customHeight="true" outlineLevel="0" collapsed="false">
      <c r="A9" s="76" t="s">
        <v>566</v>
      </c>
      <c r="B9" s="89" t="s">
        <v>616</v>
      </c>
      <c r="C9" s="89"/>
      <c r="D9" s="89"/>
      <c r="E9" s="89"/>
      <c r="F9" s="89"/>
    </row>
    <row r="10" customFormat="false" ht="27.75" hidden="false" customHeight="true" outlineLevel="0" collapsed="false">
      <c r="A10" s="76" t="s">
        <v>568</v>
      </c>
      <c r="B10" s="89" t="s">
        <v>617</v>
      </c>
      <c r="C10" s="89"/>
      <c r="D10" s="89"/>
      <c r="E10" s="89"/>
      <c r="F10" s="89"/>
    </row>
    <row r="11" customFormat="false" ht="27.75" hidden="false" customHeight="true" outlineLevel="0" collapsed="false">
      <c r="A11" s="76" t="s">
        <v>570</v>
      </c>
      <c r="B11" s="89" t="s">
        <v>614</v>
      </c>
      <c r="C11" s="89"/>
      <c r="D11" s="89"/>
      <c r="E11" s="89"/>
      <c r="F11" s="89"/>
    </row>
    <row r="12" customFormat="false" ht="27.75" hidden="false" customHeight="true" outlineLevel="0" collapsed="false">
      <c r="A12" s="76" t="s">
        <v>571</v>
      </c>
      <c r="B12" s="89" t="s">
        <v>614</v>
      </c>
      <c r="C12" s="89"/>
      <c r="D12" s="89"/>
      <c r="E12" s="89"/>
      <c r="F12" s="89"/>
    </row>
    <row r="13" customFormat="false" ht="27.75" hidden="false" customHeight="true" outlineLevel="0" collapsed="false">
      <c r="A13" s="76" t="s">
        <v>572</v>
      </c>
      <c r="B13" s="89" t="s">
        <v>522</v>
      </c>
      <c r="C13" s="89"/>
      <c r="D13" s="89"/>
      <c r="E13" s="89"/>
      <c r="F13" s="89"/>
    </row>
    <row r="14" customFormat="false" ht="27.75" hidden="false" customHeight="true" outlineLevel="0" collapsed="false">
      <c r="A14" s="76" t="s">
        <v>573</v>
      </c>
      <c r="B14" s="89" t="s">
        <v>521</v>
      </c>
      <c r="C14" s="89"/>
      <c r="D14" s="89"/>
      <c r="E14" s="89"/>
      <c r="F14" s="89"/>
    </row>
    <row r="16" customFormat="false" ht="15" hidden="false" customHeight="true" outlineLevel="0" collapsed="false">
      <c r="A16" s="48" t="s">
        <v>574</v>
      </c>
    </row>
    <row r="17" customFormat="false" ht="15" hidden="false" customHeight="true" outlineLevel="0" collapsed="false">
      <c r="A17" s="31" t="s">
        <v>211</v>
      </c>
      <c r="B17" s="31" t="s">
        <v>575</v>
      </c>
      <c r="C17" s="31" t="s">
        <v>576</v>
      </c>
      <c r="D17" s="31" t="s">
        <v>577</v>
      </c>
      <c r="E17" s="31" t="s">
        <v>578</v>
      </c>
    </row>
    <row r="18" customFormat="false" ht="30" hidden="false" customHeight="true" outlineLevel="0" collapsed="false">
      <c r="A18" s="74" t="s">
        <v>267</v>
      </c>
      <c r="B18" s="36" t="s">
        <v>268</v>
      </c>
      <c r="C18" s="36" t="s">
        <v>269</v>
      </c>
      <c r="D18" s="36" t="s">
        <v>218</v>
      </c>
      <c r="E18" s="36" t="s">
        <v>579</v>
      </c>
    </row>
    <row r="19" customFormat="false" ht="30" hidden="false" customHeight="true" outlineLevel="0" collapsed="false">
      <c r="A19" s="74" t="s">
        <v>270</v>
      </c>
      <c r="B19" s="36" t="s">
        <v>271</v>
      </c>
      <c r="C19" s="36" t="s">
        <v>244</v>
      </c>
      <c r="D19" s="36" t="s">
        <v>218</v>
      </c>
      <c r="E19" s="36" t="s">
        <v>579</v>
      </c>
    </row>
    <row r="20" customFormat="false" ht="30" hidden="false" customHeight="true" outlineLevel="0" collapsed="false">
      <c r="A20" s="74" t="s">
        <v>309</v>
      </c>
      <c r="B20" s="36" t="s">
        <v>310</v>
      </c>
      <c r="C20" s="36" t="s">
        <v>312</v>
      </c>
      <c r="D20" s="36" t="s">
        <v>618</v>
      </c>
      <c r="E20" s="36" t="s">
        <v>619</v>
      </c>
    </row>
    <row r="21" customFormat="false" ht="30" hidden="false" customHeight="true" outlineLevel="0" collapsed="false">
      <c r="A21" s="74" t="s">
        <v>313</v>
      </c>
      <c r="B21" s="36" t="s">
        <v>314</v>
      </c>
      <c r="C21" s="36" t="s">
        <v>290</v>
      </c>
      <c r="D21" s="36" t="s">
        <v>618</v>
      </c>
      <c r="E21" s="36" t="s">
        <v>619</v>
      </c>
    </row>
    <row r="22" customFormat="false" ht="30" hidden="false" customHeight="true" outlineLevel="0" collapsed="false">
      <c r="A22" s="74" t="s">
        <v>315</v>
      </c>
      <c r="B22" s="36" t="s">
        <v>316</v>
      </c>
      <c r="C22" s="36" t="s">
        <v>317</v>
      </c>
      <c r="D22" s="36" t="s">
        <v>618</v>
      </c>
      <c r="E22" s="36" t="s">
        <v>619</v>
      </c>
    </row>
    <row r="24" customFormat="false" ht="15" hidden="false" customHeight="true" outlineLevel="0" collapsed="false">
      <c r="A24" s="48" t="s">
        <v>580</v>
      </c>
    </row>
    <row r="25" customFormat="false" ht="15" hidden="false" customHeight="true" outlineLevel="0" collapsed="false">
      <c r="A25" s="90" t="s">
        <v>620</v>
      </c>
      <c r="B25" s="90"/>
      <c r="C25" s="90"/>
      <c r="D25" s="90"/>
      <c r="E25" s="90"/>
      <c r="F25" s="90"/>
    </row>
    <row r="26" customFormat="false" ht="27.75" hidden="false" customHeight="true" outlineLevel="0" collapsed="false">
      <c r="A26" s="76" t="s">
        <v>582</v>
      </c>
      <c r="B26" s="89" t="s">
        <v>583</v>
      </c>
      <c r="C26" s="89"/>
      <c r="D26" s="89"/>
      <c r="E26" s="89"/>
      <c r="F26" s="89"/>
    </row>
    <row r="27" customFormat="false" ht="27.75" hidden="false" customHeight="true" outlineLevel="0" collapsed="false">
      <c r="A27" s="76" t="s">
        <v>584</v>
      </c>
      <c r="B27" s="89" t="s">
        <v>621</v>
      </c>
      <c r="C27" s="89"/>
      <c r="D27" s="89"/>
      <c r="E27" s="89"/>
      <c r="F27" s="89"/>
    </row>
    <row r="28" customFormat="false" ht="27.75" hidden="false" customHeight="true" outlineLevel="0" collapsed="false">
      <c r="A28" s="76" t="s">
        <v>586</v>
      </c>
      <c r="B28" s="89" t="s">
        <v>587</v>
      </c>
      <c r="C28" s="89"/>
      <c r="D28" s="89"/>
      <c r="E28" s="89"/>
      <c r="F28" s="89"/>
    </row>
    <row r="29" customFormat="false" ht="27.75" hidden="false" customHeight="true" outlineLevel="0" collapsed="false">
      <c r="A29" s="76" t="s">
        <v>588</v>
      </c>
      <c r="B29" s="89" t="s">
        <v>589</v>
      </c>
      <c r="C29" s="89"/>
      <c r="D29" s="89"/>
      <c r="E29" s="89"/>
      <c r="F29" s="89"/>
    </row>
    <row r="30" customFormat="false" ht="39.75" hidden="false" customHeight="true" outlineLevel="0" collapsed="false">
      <c r="A30" s="91" t="s">
        <v>590</v>
      </c>
      <c r="B30" s="92" t="s">
        <v>622</v>
      </c>
      <c r="C30" s="92"/>
      <c r="D30" s="92"/>
      <c r="E30" s="92"/>
      <c r="F30" s="92"/>
    </row>
    <row r="31" customFormat="false" ht="39.75" hidden="false" customHeight="true" outlineLevel="0" collapsed="false">
      <c r="A31" s="91" t="s">
        <v>592</v>
      </c>
      <c r="B31" s="92" t="s">
        <v>593</v>
      </c>
      <c r="C31" s="92"/>
      <c r="D31" s="92"/>
      <c r="E31" s="92"/>
      <c r="F31" s="92"/>
    </row>
    <row r="32" customFormat="false" ht="15" hidden="false" customHeight="true" outlineLevel="0" collapsed="false">
      <c r="A32" s="93" t="s">
        <v>594</v>
      </c>
      <c r="B32" s="94" t="s">
        <v>595</v>
      </c>
      <c r="C32" s="95" t="s">
        <v>596</v>
      </c>
      <c r="D32" s="95"/>
      <c r="E32" s="95"/>
      <c r="F32" s="95"/>
    </row>
    <row r="34" customFormat="false" ht="15" hidden="false" customHeight="true" outlineLevel="0" collapsed="false">
      <c r="A34" s="90" t="s">
        <v>623</v>
      </c>
      <c r="B34" s="90"/>
      <c r="C34" s="90"/>
      <c r="D34" s="90"/>
      <c r="E34" s="90"/>
      <c r="F34" s="90"/>
    </row>
    <row r="35" customFormat="false" ht="27.75" hidden="false" customHeight="true" outlineLevel="0" collapsed="false">
      <c r="A35" s="76" t="s">
        <v>582</v>
      </c>
      <c r="B35" s="89" t="s">
        <v>583</v>
      </c>
      <c r="C35" s="89"/>
      <c r="D35" s="89"/>
      <c r="E35" s="89"/>
      <c r="F35" s="89"/>
    </row>
    <row r="36" customFormat="false" ht="27.75" hidden="false" customHeight="true" outlineLevel="0" collapsed="false">
      <c r="A36" s="76" t="s">
        <v>584</v>
      </c>
      <c r="B36" s="89" t="s">
        <v>621</v>
      </c>
      <c r="C36" s="89"/>
      <c r="D36" s="89"/>
      <c r="E36" s="89"/>
      <c r="F36" s="89"/>
    </row>
    <row r="37" customFormat="false" ht="27.75" hidden="false" customHeight="true" outlineLevel="0" collapsed="false">
      <c r="A37" s="76" t="s">
        <v>586</v>
      </c>
      <c r="B37" s="89" t="s">
        <v>587</v>
      </c>
      <c r="C37" s="89"/>
      <c r="D37" s="89"/>
      <c r="E37" s="89"/>
      <c r="F37" s="89"/>
    </row>
    <row r="38" customFormat="false" ht="27.75" hidden="false" customHeight="true" outlineLevel="0" collapsed="false">
      <c r="A38" s="76" t="s">
        <v>588</v>
      </c>
      <c r="B38" s="89" t="s">
        <v>589</v>
      </c>
      <c r="C38" s="89"/>
      <c r="D38" s="89"/>
      <c r="E38" s="89"/>
      <c r="F38" s="89"/>
    </row>
    <row r="39" customFormat="false" ht="39.75" hidden="false" customHeight="true" outlineLevel="0" collapsed="false">
      <c r="A39" s="91" t="s">
        <v>590</v>
      </c>
      <c r="B39" s="92" t="s">
        <v>624</v>
      </c>
      <c r="C39" s="92"/>
      <c r="D39" s="92"/>
      <c r="E39" s="92"/>
      <c r="F39" s="92"/>
    </row>
    <row r="40" customFormat="false" ht="39.75" hidden="false" customHeight="true" outlineLevel="0" collapsed="false">
      <c r="A40" s="91" t="s">
        <v>592</v>
      </c>
      <c r="B40" s="92" t="s">
        <v>593</v>
      </c>
      <c r="C40" s="92"/>
      <c r="D40" s="92"/>
      <c r="E40" s="92"/>
      <c r="F40" s="92"/>
    </row>
    <row r="41" customFormat="false" ht="15" hidden="false" customHeight="true" outlineLevel="0" collapsed="false">
      <c r="A41" s="93" t="s">
        <v>594</v>
      </c>
      <c r="B41" s="94" t="s">
        <v>595</v>
      </c>
      <c r="C41" s="95" t="s">
        <v>596</v>
      </c>
      <c r="D41" s="95"/>
      <c r="E41" s="95"/>
      <c r="F41" s="95"/>
    </row>
    <row r="43" customFormat="false" ht="15" hidden="false" customHeight="true" outlineLevel="0" collapsed="false">
      <c r="A43" s="90" t="s">
        <v>625</v>
      </c>
      <c r="B43" s="90"/>
      <c r="C43" s="90"/>
      <c r="D43" s="90"/>
      <c r="E43" s="90"/>
      <c r="F43" s="90"/>
    </row>
    <row r="44" customFormat="false" ht="27.75" hidden="false" customHeight="true" outlineLevel="0" collapsed="false">
      <c r="A44" s="76" t="s">
        <v>582</v>
      </c>
      <c r="B44" s="89" t="s">
        <v>583</v>
      </c>
      <c r="C44" s="89"/>
      <c r="D44" s="89"/>
      <c r="E44" s="89"/>
      <c r="F44" s="89"/>
    </row>
    <row r="45" customFormat="false" ht="27.75" hidden="false" customHeight="true" outlineLevel="0" collapsed="false">
      <c r="A45" s="76" t="s">
        <v>584</v>
      </c>
      <c r="B45" s="89" t="s">
        <v>621</v>
      </c>
      <c r="C45" s="89"/>
      <c r="D45" s="89"/>
      <c r="E45" s="89"/>
      <c r="F45" s="89"/>
    </row>
    <row r="46" customFormat="false" ht="27.75" hidden="false" customHeight="true" outlineLevel="0" collapsed="false">
      <c r="A46" s="76" t="s">
        <v>586</v>
      </c>
      <c r="B46" s="89" t="s">
        <v>587</v>
      </c>
      <c r="C46" s="89"/>
      <c r="D46" s="89"/>
      <c r="E46" s="89"/>
      <c r="F46" s="89"/>
    </row>
    <row r="47" customFormat="false" ht="27.75" hidden="false" customHeight="true" outlineLevel="0" collapsed="false">
      <c r="A47" s="76" t="s">
        <v>588</v>
      </c>
      <c r="B47" s="89" t="s">
        <v>589</v>
      </c>
      <c r="C47" s="89"/>
      <c r="D47" s="89"/>
      <c r="E47" s="89"/>
      <c r="F47" s="89"/>
    </row>
    <row r="48" customFormat="false" ht="39.75" hidden="false" customHeight="true" outlineLevel="0" collapsed="false">
      <c r="A48" s="91" t="s">
        <v>590</v>
      </c>
      <c r="B48" s="92" t="s">
        <v>626</v>
      </c>
      <c r="C48" s="92"/>
      <c r="D48" s="92"/>
      <c r="E48" s="92"/>
      <c r="F48" s="92"/>
    </row>
    <row r="49" customFormat="false" ht="39.75" hidden="false" customHeight="true" outlineLevel="0" collapsed="false">
      <c r="A49" s="91" t="s">
        <v>592</v>
      </c>
      <c r="B49" s="92" t="s">
        <v>593</v>
      </c>
      <c r="C49" s="92"/>
      <c r="D49" s="92"/>
      <c r="E49" s="92"/>
      <c r="F49" s="92"/>
    </row>
    <row r="50" customFormat="false" ht="15" hidden="false" customHeight="true" outlineLevel="0" collapsed="false">
      <c r="A50" s="93" t="s">
        <v>594</v>
      </c>
      <c r="B50" s="94" t="s">
        <v>595</v>
      </c>
      <c r="C50" s="95" t="s">
        <v>596</v>
      </c>
      <c r="D50" s="95"/>
      <c r="E50" s="95"/>
      <c r="F50" s="95"/>
    </row>
    <row r="52" customFormat="false" ht="15" hidden="false" customHeight="true" outlineLevel="0" collapsed="false">
      <c r="A52" s="90" t="s">
        <v>627</v>
      </c>
      <c r="B52" s="90"/>
      <c r="C52" s="90"/>
      <c r="D52" s="90"/>
      <c r="E52" s="90"/>
      <c r="F52" s="90"/>
    </row>
    <row r="53" customFormat="false" ht="27.75" hidden="false" customHeight="true" outlineLevel="0" collapsed="false">
      <c r="A53" s="76" t="s">
        <v>582</v>
      </c>
      <c r="B53" s="89" t="s">
        <v>583</v>
      </c>
      <c r="C53" s="89"/>
      <c r="D53" s="89"/>
      <c r="E53" s="89"/>
      <c r="F53" s="89"/>
    </row>
    <row r="54" customFormat="false" ht="27.75" hidden="false" customHeight="true" outlineLevel="0" collapsed="false">
      <c r="A54" s="76" t="s">
        <v>584</v>
      </c>
      <c r="B54" s="89" t="s">
        <v>621</v>
      </c>
      <c r="C54" s="89"/>
      <c r="D54" s="89"/>
      <c r="E54" s="89"/>
      <c r="F54" s="89"/>
    </row>
    <row r="55" customFormat="false" ht="27.75" hidden="false" customHeight="true" outlineLevel="0" collapsed="false">
      <c r="A55" s="76" t="s">
        <v>586</v>
      </c>
      <c r="B55" s="89" t="s">
        <v>587</v>
      </c>
      <c r="C55" s="89"/>
      <c r="D55" s="89"/>
      <c r="E55" s="89"/>
      <c r="F55" s="89"/>
    </row>
    <row r="56" customFormat="false" ht="27.75" hidden="false" customHeight="true" outlineLevel="0" collapsed="false">
      <c r="A56" s="76" t="s">
        <v>588</v>
      </c>
      <c r="B56" s="89" t="s">
        <v>589</v>
      </c>
      <c r="C56" s="89"/>
      <c r="D56" s="89"/>
      <c r="E56" s="89"/>
      <c r="F56" s="89"/>
    </row>
    <row r="57" customFormat="false" ht="39.75" hidden="false" customHeight="true" outlineLevel="0" collapsed="false">
      <c r="A57" s="91" t="s">
        <v>590</v>
      </c>
      <c r="B57" s="92" t="s">
        <v>628</v>
      </c>
      <c r="C57" s="92"/>
      <c r="D57" s="92"/>
      <c r="E57" s="92"/>
      <c r="F57" s="92"/>
    </row>
    <row r="58" customFormat="false" ht="39.75" hidden="false" customHeight="true" outlineLevel="0" collapsed="false">
      <c r="A58" s="91" t="s">
        <v>592</v>
      </c>
      <c r="B58" s="92" t="s">
        <v>593</v>
      </c>
      <c r="C58" s="92"/>
      <c r="D58" s="92"/>
      <c r="E58" s="92"/>
      <c r="F58" s="92"/>
    </row>
    <row r="59" customFormat="false" ht="15" hidden="false" customHeight="true" outlineLevel="0" collapsed="false">
      <c r="A59" s="93" t="s">
        <v>594</v>
      </c>
      <c r="B59" s="94" t="s">
        <v>595</v>
      </c>
      <c r="C59" s="95" t="s">
        <v>596</v>
      </c>
      <c r="D59" s="95"/>
      <c r="E59" s="95"/>
      <c r="F59" s="95"/>
    </row>
  </sheetData>
  <mergeCells count="45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25:F25"/>
    <mergeCell ref="B26:F26"/>
    <mergeCell ref="B27:F27"/>
    <mergeCell ref="B28:F28"/>
    <mergeCell ref="B29:F29"/>
    <mergeCell ref="B30:F30"/>
    <mergeCell ref="B31:F31"/>
    <mergeCell ref="C32:F32"/>
    <mergeCell ref="A34:F34"/>
    <mergeCell ref="B35:F35"/>
    <mergeCell ref="B36:F36"/>
    <mergeCell ref="B37:F37"/>
    <mergeCell ref="B38:F38"/>
    <mergeCell ref="B39:F39"/>
    <mergeCell ref="B40:F40"/>
    <mergeCell ref="C41:F41"/>
    <mergeCell ref="A43:F43"/>
    <mergeCell ref="B44:F44"/>
    <mergeCell ref="B45:F45"/>
    <mergeCell ref="B46:F46"/>
    <mergeCell ref="B47:F47"/>
    <mergeCell ref="B48:F48"/>
    <mergeCell ref="B49:F49"/>
    <mergeCell ref="C50:F50"/>
    <mergeCell ref="A52:F52"/>
    <mergeCell ref="B53:F53"/>
    <mergeCell ref="B54:F54"/>
    <mergeCell ref="B55:F55"/>
    <mergeCell ref="B56:F56"/>
    <mergeCell ref="B57:F57"/>
    <mergeCell ref="B58:F58"/>
    <mergeCell ref="C59:F59"/>
  </mergeCells>
  <hyperlinks>
    <hyperlink ref="E3" r:id="rId1" location="'🧭%20Progression'!A1" display="◀ Progression"/>
    <hyperlink ref="F3" r:id="rId2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F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40"/>
    <col collapsed="false" customWidth="true" hidden="false" outlineLevel="0" max="5" min="5" style="1" width="3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96" t="s">
        <v>629</v>
      </c>
      <c r="B1" s="96"/>
      <c r="C1" s="96"/>
      <c r="D1" s="96"/>
      <c r="E1" s="96"/>
      <c r="F1" s="96"/>
    </row>
    <row r="2" customFormat="false" ht="15" hidden="false" customHeight="true" outlineLevel="0" collapsed="false">
      <c r="A2" s="72" t="s">
        <v>630</v>
      </c>
      <c r="B2" s="72"/>
      <c r="C2" s="72"/>
      <c r="D2" s="72"/>
      <c r="E2" s="72"/>
      <c r="F2" s="72"/>
    </row>
    <row r="3" customFormat="false" ht="15" hidden="false" customHeight="true" outlineLevel="0" collapsed="false">
      <c r="E3" s="88" t="s">
        <v>559</v>
      </c>
      <c r="F3" s="30" t="s">
        <v>52</v>
      </c>
    </row>
    <row r="4" customFormat="false" ht="27.75" hidden="false" customHeight="true" outlineLevel="0" collapsed="false">
      <c r="A4" s="79" t="s">
        <v>496</v>
      </c>
      <c r="B4" s="89" t="s">
        <v>526</v>
      </c>
      <c r="C4" s="89"/>
      <c r="D4" s="89"/>
      <c r="E4" s="89"/>
      <c r="F4" s="89"/>
    </row>
    <row r="5" customFormat="false" ht="39" hidden="false" customHeight="true" outlineLevel="0" collapsed="false">
      <c r="A5" s="79" t="s">
        <v>560</v>
      </c>
      <c r="B5" s="89" t="s">
        <v>631</v>
      </c>
      <c r="C5" s="89"/>
      <c r="D5" s="89"/>
      <c r="E5" s="89"/>
      <c r="F5" s="89"/>
    </row>
    <row r="6" customFormat="false" ht="27.75" hidden="false" customHeight="true" outlineLevel="0" collapsed="false">
      <c r="A6" s="79" t="s">
        <v>562</v>
      </c>
      <c r="B6" s="89" t="s">
        <v>632</v>
      </c>
      <c r="C6" s="89"/>
      <c r="D6" s="89"/>
      <c r="E6" s="89"/>
      <c r="F6" s="89"/>
    </row>
    <row r="7" customFormat="false" ht="39" hidden="false" customHeight="true" outlineLevel="0" collapsed="false">
      <c r="A7" s="79" t="s">
        <v>563</v>
      </c>
      <c r="B7" s="89" t="s">
        <v>633</v>
      </c>
      <c r="C7" s="89"/>
      <c r="D7" s="89"/>
      <c r="E7" s="89"/>
      <c r="F7" s="89"/>
    </row>
    <row r="8" customFormat="false" ht="27.75" hidden="false" customHeight="true" outlineLevel="0" collapsed="false">
      <c r="A8" s="79" t="s">
        <v>564</v>
      </c>
      <c r="B8" s="89" t="s">
        <v>634</v>
      </c>
      <c r="C8" s="89"/>
      <c r="D8" s="89"/>
      <c r="E8" s="89"/>
      <c r="F8" s="89"/>
    </row>
    <row r="9" customFormat="false" ht="27.75" hidden="false" customHeight="true" outlineLevel="0" collapsed="false">
      <c r="A9" s="79" t="s">
        <v>566</v>
      </c>
      <c r="B9" s="89" t="s">
        <v>635</v>
      </c>
      <c r="C9" s="89"/>
      <c r="D9" s="89"/>
      <c r="E9" s="89"/>
      <c r="F9" s="89"/>
    </row>
    <row r="10" customFormat="false" ht="27.75" hidden="false" customHeight="true" outlineLevel="0" collapsed="false">
      <c r="A10" s="79" t="s">
        <v>568</v>
      </c>
      <c r="B10" s="89" t="s">
        <v>636</v>
      </c>
      <c r="C10" s="89"/>
      <c r="D10" s="89"/>
      <c r="E10" s="89"/>
      <c r="F10" s="89"/>
    </row>
    <row r="11" customFormat="false" ht="27.75" hidden="false" customHeight="true" outlineLevel="0" collapsed="false">
      <c r="A11" s="79" t="s">
        <v>570</v>
      </c>
      <c r="B11" s="89" t="s">
        <v>637</v>
      </c>
      <c r="C11" s="89"/>
      <c r="D11" s="89"/>
      <c r="E11" s="89"/>
      <c r="F11" s="89"/>
    </row>
    <row r="12" customFormat="false" ht="27.75" hidden="false" customHeight="true" outlineLevel="0" collapsed="false">
      <c r="A12" s="79" t="s">
        <v>571</v>
      </c>
      <c r="B12" s="89" t="s">
        <v>638</v>
      </c>
      <c r="C12" s="89"/>
      <c r="D12" s="89"/>
      <c r="E12" s="89"/>
      <c r="F12" s="89"/>
    </row>
    <row r="13" customFormat="false" ht="27.75" hidden="false" customHeight="true" outlineLevel="0" collapsed="false">
      <c r="A13" s="79" t="s">
        <v>572</v>
      </c>
      <c r="B13" s="89" t="s">
        <v>530</v>
      </c>
      <c r="C13" s="89"/>
      <c r="D13" s="89"/>
      <c r="E13" s="89"/>
      <c r="F13" s="89"/>
    </row>
    <row r="14" customFormat="false" ht="27.75" hidden="false" customHeight="true" outlineLevel="0" collapsed="false">
      <c r="A14" s="79" t="s">
        <v>573</v>
      </c>
      <c r="B14" s="89" t="s">
        <v>529</v>
      </c>
      <c r="C14" s="89"/>
      <c r="D14" s="89"/>
      <c r="E14" s="89"/>
      <c r="F14" s="89"/>
    </row>
    <row r="16" customFormat="false" ht="15" hidden="false" customHeight="true" outlineLevel="0" collapsed="false">
      <c r="A16" s="48" t="s">
        <v>574</v>
      </c>
    </row>
    <row r="17" customFormat="false" ht="15" hidden="false" customHeight="true" outlineLevel="0" collapsed="false">
      <c r="A17" s="31" t="s">
        <v>211</v>
      </c>
      <c r="B17" s="31" t="s">
        <v>575</v>
      </c>
      <c r="C17" s="31" t="s">
        <v>576</v>
      </c>
      <c r="D17" s="31" t="s">
        <v>577</v>
      </c>
      <c r="E17" s="31" t="s">
        <v>578</v>
      </c>
    </row>
    <row r="18" customFormat="false" ht="30" hidden="false" customHeight="true" outlineLevel="0" collapsed="false">
      <c r="A18" s="74" t="s">
        <v>320</v>
      </c>
      <c r="B18" s="36" t="s">
        <v>321</v>
      </c>
      <c r="C18" s="36" t="s">
        <v>290</v>
      </c>
      <c r="D18" s="36" t="s">
        <v>639</v>
      </c>
      <c r="E18" s="36" t="s">
        <v>640</v>
      </c>
    </row>
    <row r="19" customFormat="false" ht="30" hidden="false" customHeight="true" outlineLevel="0" collapsed="false">
      <c r="A19" s="74" t="s">
        <v>322</v>
      </c>
      <c r="B19" s="36" t="s">
        <v>323</v>
      </c>
      <c r="C19" s="36" t="s">
        <v>290</v>
      </c>
      <c r="D19" s="36" t="s">
        <v>641</v>
      </c>
      <c r="E19" s="36" t="s">
        <v>642</v>
      </c>
    </row>
    <row r="20" customFormat="false" ht="30" hidden="false" customHeight="true" outlineLevel="0" collapsed="false">
      <c r="A20" s="74" t="s">
        <v>387</v>
      </c>
      <c r="B20" s="36" t="s">
        <v>388</v>
      </c>
      <c r="C20" s="36" t="s">
        <v>290</v>
      </c>
      <c r="D20" s="36" t="s">
        <v>643</v>
      </c>
      <c r="E20" s="36" t="s">
        <v>644</v>
      </c>
    </row>
    <row r="21" customFormat="false" ht="30" hidden="false" customHeight="true" outlineLevel="0" collapsed="false">
      <c r="A21" s="74" t="s">
        <v>389</v>
      </c>
      <c r="B21" s="36" t="s">
        <v>390</v>
      </c>
      <c r="C21" s="36" t="s">
        <v>317</v>
      </c>
      <c r="D21" s="36" t="s">
        <v>643</v>
      </c>
      <c r="E21" s="36" t="s">
        <v>645</v>
      </c>
    </row>
    <row r="22" customFormat="false" ht="30" hidden="false" customHeight="true" outlineLevel="0" collapsed="false">
      <c r="A22" s="74" t="s">
        <v>391</v>
      </c>
      <c r="B22" s="36" t="s">
        <v>392</v>
      </c>
      <c r="C22" s="36" t="s">
        <v>317</v>
      </c>
      <c r="D22" s="36" t="s">
        <v>646</v>
      </c>
      <c r="E22" s="36" t="s">
        <v>647</v>
      </c>
    </row>
    <row r="24" customFormat="false" ht="15" hidden="false" customHeight="true" outlineLevel="0" collapsed="false">
      <c r="A24" s="48" t="s">
        <v>580</v>
      </c>
    </row>
    <row r="25" customFormat="false" ht="15" hidden="false" customHeight="true" outlineLevel="0" collapsed="false">
      <c r="A25" s="97" t="s">
        <v>648</v>
      </c>
      <c r="B25" s="97"/>
      <c r="C25" s="97"/>
      <c r="D25" s="97"/>
      <c r="E25" s="97"/>
      <c r="F25" s="97"/>
    </row>
    <row r="26" customFormat="false" ht="27.75" hidden="false" customHeight="true" outlineLevel="0" collapsed="false">
      <c r="A26" s="79" t="s">
        <v>582</v>
      </c>
      <c r="B26" s="89" t="s">
        <v>649</v>
      </c>
      <c r="C26" s="89"/>
      <c r="D26" s="89"/>
      <c r="E26" s="89"/>
      <c r="F26" s="89"/>
    </row>
    <row r="27" customFormat="false" ht="64.5" hidden="false" customHeight="true" outlineLevel="0" collapsed="false">
      <c r="A27" s="79" t="s">
        <v>584</v>
      </c>
      <c r="B27" s="89" t="s">
        <v>650</v>
      </c>
      <c r="C27" s="89"/>
      <c r="D27" s="89"/>
      <c r="E27" s="89"/>
      <c r="F27" s="89"/>
    </row>
    <row r="28" customFormat="false" ht="27.75" hidden="false" customHeight="true" outlineLevel="0" collapsed="false">
      <c r="A28" s="79" t="s">
        <v>586</v>
      </c>
      <c r="B28" s="89" t="s">
        <v>651</v>
      </c>
      <c r="C28" s="89"/>
      <c r="D28" s="89"/>
      <c r="E28" s="89"/>
      <c r="F28" s="89"/>
    </row>
    <row r="29" customFormat="false" ht="27.75" hidden="false" customHeight="true" outlineLevel="0" collapsed="false">
      <c r="A29" s="79" t="s">
        <v>588</v>
      </c>
      <c r="B29" s="89" t="s">
        <v>652</v>
      </c>
      <c r="C29" s="89"/>
      <c r="D29" s="89"/>
      <c r="E29" s="89"/>
      <c r="F29" s="89"/>
    </row>
    <row r="30" customFormat="false" ht="39.75" hidden="false" customHeight="true" outlineLevel="0" collapsed="false">
      <c r="A30" s="91" t="s">
        <v>590</v>
      </c>
      <c r="B30" s="92" t="s">
        <v>653</v>
      </c>
      <c r="C30" s="92"/>
      <c r="D30" s="92"/>
      <c r="E30" s="92"/>
      <c r="F30" s="92"/>
    </row>
    <row r="31" customFormat="false" ht="64.5" hidden="false" customHeight="true" outlineLevel="0" collapsed="false">
      <c r="A31" s="91" t="s">
        <v>592</v>
      </c>
      <c r="B31" s="92" t="s">
        <v>654</v>
      </c>
      <c r="C31" s="92"/>
      <c r="D31" s="92"/>
      <c r="E31" s="92"/>
      <c r="F31" s="92"/>
    </row>
    <row r="32" customFormat="false" ht="15" hidden="false" customHeight="true" outlineLevel="0" collapsed="false">
      <c r="A32" s="93" t="s">
        <v>594</v>
      </c>
      <c r="B32" s="94" t="s">
        <v>595</v>
      </c>
      <c r="C32" s="95" t="s">
        <v>596</v>
      </c>
      <c r="D32" s="95"/>
      <c r="E32" s="95"/>
      <c r="F32" s="95"/>
    </row>
    <row r="34" customFormat="false" ht="15" hidden="false" customHeight="true" outlineLevel="0" collapsed="false">
      <c r="A34" s="97" t="s">
        <v>655</v>
      </c>
      <c r="B34" s="97"/>
      <c r="C34" s="97"/>
      <c r="D34" s="97"/>
      <c r="E34" s="97"/>
      <c r="F34" s="97"/>
    </row>
    <row r="35" customFormat="false" ht="27.75" hidden="false" customHeight="true" outlineLevel="0" collapsed="false">
      <c r="A35" s="79" t="s">
        <v>582</v>
      </c>
      <c r="B35" s="89" t="s">
        <v>656</v>
      </c>
      <c r="C35" s="89"/>
      <c r="D35" s="89"/>
      <c r="E35" s="89"/>
      <c r="F35" s="89"/>
    </row>
    <row r="36" customFormat="false" ht="51.75" hidden="false" customHeight="true" outlineLevel="0" collapsed="false">
      <c r="A36" s="79" t="s">
        <v>584</v>
      </c>
      <c r="B36" s="89" t="s">
        <v>657</v>
      </c>
      <c r="C36" s="89"/>
      <c r="D36" s="89"/>
      <c r="E36" s="89"/>
      <c r="F36" s="89"/>
    </row>
    <row r="37" customFormat="false" ht="27.75" hidden="false" customHeight="true" outlineLevel="0" collapsed="false">
      <c r="A37" s="79" t="s">
        <v>586</v>
      </c>
      <c r="B37" s="89" t="s">
        <v>658</v>
      </c>
      <c r="C37" s="89"/>
      <c r="D37" s="89"/>
      <c r="E37" s="89"/>
      <c r="F37" s="89"/>
    </row>
    <row r="38" customFormat="false" ht="27.75" hidden="false" customHeight="true" outlineLevel="0" collapsed="false">
      <c r="A38" s="79" t="s">
        <v>588</v>
      </c>
      <c r="B38" s="89" t="s">
        <v>659</v>
      </c>
      <c r="C38" s="89"/>
      <c r="D38" s="89"/>
      <c r="E38" s="89"/>
      <c r="F38" s="89"/>
    </row>
    <row r="39" customFormat="false" ht="39.75" hidden="false" customHeight="true" outlineLevel="0" collapsed="false">
      <c r="A39" s="91" t="s">
        <v>590</v>
      </c>
      <c r="B39" s="92" t="s">
        <v>660</v>
      </c>
      <c r="C39" s="92"/>
      <c r="D39" s="92"/>
      <c r="E39" s="92"/>
      <c r="F39" s="92"/>
    </row>
    <row r="40" customFormat="false" ht="51.75" hidden="false" customHeight="true" outlineLevel="0" collapsed="false">
      <c r="A40" s="91" t="s">
        <v>592</v>
      </c>
      <c r="B40" s="92" t="s">
        <v>661</v>
      </c>
      <c r="C40" s="92"/>
      <c r="D40" s="92"/>
      <c r="E40" s="92"/>
      <c r="F40" s="92"/>
    </row>
    <row r="41" customFormat="false" ht="15" hidden="false" customHeight="true" outlineLevel="0" collapsed="false">
      <c r="A41" s="93" t="s">
        <v>594</v>
      </c>
      <c r="B41" s="94" t="s">
        <v>595</v>
      </c>
      <c r="C41" s="95" t="s">
        <v>596</v>
      </c>
      <c r="D41" s="95"/>
      <c r="E41" s="95"/>
      <c r="F41" s="95"/>
    </row>
    <row r="43" customFormat="false" ht="15" hidden="false" customHeight="true" outlineLevel="0" collapsed="false">
      <c r="A43" s="97" t="s">
        <v>662</v>
      </c>
      <c r="B43" s="97"/>
      <c r="C43" s="97"/>
      <c r="D43" s="97"/>
      <c r="E43" s="97"/>
      <c r="F43" s="97"/>
    </row>
    <row r="44" customFormat="false" ht="27.75" hidden="false" customHeight="true" outlineLevel="0" collapsed="false">
      <c r="A44" s="79" t="s">
        <v>582</v>
      </c>
      <c r="B44" s="89" t="s">
        <v>663</v>
      </c>
      <c r="C44" s="89"/>
      <c r="D44" s="89"/>
      <c r="E44" s="89"/>
      <c r="F44" s="89"/>
    </row>
    <row r="45" customFormat="false" ht="27.75" hidden="false" customHeight="true" outlineLevel="0" collapsed="false">
      <c r="A45" s="79" t="s">
        <v>584</v>
      </c>
      <c r="B45" s="89" t="s">
        <v>664</v>
      </c>
      <c r="C45" s="89"/>
      <c r="D45" s="89"/>
      <c r="E45" s="89"/>
      <c r="F45" s="89"/>
    </row>
    <row r="46" customFormat="false" ht="27.75" hidden="false" customHeight="true" outlineLevel="0" collapsed="false">
      <c r="A46" s="79" t="s">
        <v>586</v>
      </c>
      <c r="B46" s="89" t="s">
        <v>665</v>
      </c>
      <c r="C46" s="89"/>
      <c r="D46" s="89"/>
      <c r="E46" s="89"/>
      <c r="F46" s="89"/>
    </row>
    <row r="47" customFormat="false" ht="27.75" hidden="false" customHeight="true" outlineLevel="0" collapsed="false">
      <c r="A47" s="79" t="s">
        <v>588</v>
      </c>
      <c r="B47" s="89" t="s">
        <v>666</v>
      </c>
      <c r="C47" s="89"/>
      <c r="D47" s="89"/>
      <c r="E47" s="89"/>
      <c r="F47" s="89"/>
    </row>
    <row r="48" customFormat="false" ht="39.75" hidden="false" customHeight="true" outlineLevel="0" collapsed="false">
      <c r="A48" s="91" t="s">
        <v>590</v>
      </c>
      <c r="B48" s="92" t="s">
        <v>667</v>
      </c>
      <c r="C48" s="92"/>
      <c r="D48" s="92"/>
      <c r="E48" s="92"/>
      <c r="F48" s="92"/>
    </row>
    <row r="49" customFormat="false" ht="39.75" hidden="false" customHeight="true" outlineLevel="0" collapsed="false">
      <c r="A49" s="91" t="s">
        <v>592</v>
      </c>
      <c r="B49" s="92" t="s">
        <v>668</v>
      </c>
      <c r="C49" s="92"/>
      <c r="D49" s="92"/>
      <c r="E49" s="92"/>
      <c r="F49" s="92"/>
    </row>
    <row r="50" customFormat="false" ht="15" hidden="false" customHeight="true" outlineLevel="0" collapsed="false">
      <c r="A50" s="93" t="s">
        <v>594</v>
      </c>
      <c r="B50" s="94" t="s">
        <v>595</v>
      </c>
      <c r="C50" s="95" t="s">
        <v>596</v>
      </c>
      <c r="D50" s="95"/>
      <c r="E50" s="95"/>
      <c r="F50" s="95"/>
    </row>
    <row r="52" customFormat="false" ht="15" hidden="false" customHeight="true" outlineLevel="0" collapsed="false">
      <c r="A52" s="97" t="s">
        <v>669</v>
      </c>
      <c r="B52" s="97"/>
      <c r="C52" s="97"/>
      <c r="D52" s="97"/>
      <c r="E52" s="97"/>
      <c r="F52" s="97"/>
    </row>
    <row r="53" customFormat="false" ht="27.75" hidden="false" customHeight="true" outlineLevel="0" collapsed="false">
      <c r="A53" s="79" t="s">
        <v>582</v>
      </c>
      <c r="B53" s="89" t="s">
        <v>670</v>
      </c>
      <c r="C53" s="89"/>
      <c r="D53" s="89"/>
      <c r="E53" s="89"/>
      <c r="F53" s="89"/>
    </row>
    <row r="54" customFormat="false" ht="27.75" hidden="false" customHeight="true" outlineLevel="0" collapsed="false">
      <c r="A54" s="79" t="s">
        <v>584</v>
      </c>
      <c r="B54" s="89" t="s">
        <v>671</v>
      </c>
      <c r="C54" s="89"/>
      <c r="D54" s="89"/>
      <c r="E54" s="89"/>
      <c r="F54" s="89"/>
    </row>
    <row r="55" customFormat="false" ht="27.75" hidden="false" customHeight="true" outlineLevel="0" collapsed="false">
      <c r="A55" s="79" t="s">
        <v>586</v>
      </c>
      <c r="B55" s="89" t="s">
        <v>672</v>
      </c>
      <c r="C55" s="89"/>
      <c r="D55" s="89"/>
      <c r="E55" s="89"/>
      <c r="F55" s="89"/>
    </row>
    <row r="56" customFormat="false" ht="27.75" hidden="false" customHeight="true" outlineLevel="0" collapsed="false">
      <c r="A56" s="79" t="s">
        <v>588</v>
      </c>
      <c r="B56" s="89" t="s">
        <v>673</v>
      </c>
      <c r="C56" s="89"/>
      <c r="D56" s="89"/>
      <c r="E56" s="89"/>
      <c r="F56" s="89"/>
    </row>
    <row r="57" customFormat="false" ht="39.75" hidden="false" customHeight="true" outlineLevel="0" collapsed="false">
      <c r="A57" s="91" t="s">
        <v>590</v>
      </c>
      <c r="B57" s="92" t="s">
        <v>674</v>
      </c>
      <c r="C57" s="92"/>
      <c r="D57" s="92"/>
      <c r="E57" s="92"/>
      <c r="F57" s="92"/>
    </row>
    <row r="58" customFormat="false" ht="90.75" hidden="false" customHeight="true" outlineLevel="0" collapsed="false">
      <c r="A58" s="91" t="s">
        <v>592</v>
      </c>
      <c r="B58" s="92" t="s">
        <v>675</v>
      </c>
      <c r="C58" s="92"/>
      <c r="D58" s="92"/>
      <c r="E58" s="92"/>
      <c r="F58" s="92"/>
    </row>
    <row r="59" customFormat="false" ht="15" hidden="false" customHeight="true" outlineLevel="0" collapsed="false">
      <c r="A59" s="93" t="s">
        <v>594</v>
      </c>
      <c r="B59" s="94" t="s">
        <v>595</v>
      </c>
      <c r="C59" s="95" t="s">
        <v>596</v>
      </c>
      <c r="D59" s="95"/>
      <c r="E59" s="95"/>
      <c r="F59" s="95"/>
    </row>
    <row r="61" customFormat="false" ht="15" hidden="false" customHeight="true" outlineLevel="0" collapsed="false">
      <c r="A61" s="97" t="s">
        <v>676</v>
      </c>
      <c r="B61" s="97"/>
      <c r="C61" s="97"/>
      <c r="D61" s="97"/>
      <c r="E61" s="97"/>
      <c r="F61" s="97"/>
    </row>
    <row r="62" customFormat="false" ht="27.75" hidden="false" customHeight="true" outlineLevel="0" collapsed="false">
      <c r="A62" s="79" t="s">
        <v>582</v>
      </c>
      <c r="B62" s="89" t="s">
        <v>677</v>
      </c>
      <c r="C62" s="89"/>
      <c r="D62" s="89"/>
      <c r="E62" s="89"/>
      <c r="F62" s="89"/>
    </row>
    <row r="63" customFormat="false" ht="27.75" hidden="false" customHeight="true" outlineLevel="0" collapsed="false">
      <c r="A63" s="79" t="s">
        <v>584</v>
      </c>
      <c r="B63" s="89" t="s">
        <v>678</v>
      </c>
      <c r="C63" s="89"/>
      <c r="D63" s="89"/>
      <c r="E63" s="89"/>
      <c r="F63" s="89"/>
    </row>
    <row r="64" customFormat="false" ht="27.75" hidden="false" customHeight="true" outlineLevel="0" collapsed="false">
      <c r="A64" s="79" t="s">
        <v>586</v>
      </c>
      <c r="B64" s="89" t="s">
        <v>679</v>
      </c>
      <c r="C64" s="89"/>
      <c r="D64" s="89"/>
      <c r="E64" s="89"/>
      <c r="F64" s="89"/>
    </row>
    <row r="65" customFormat="false" ht="27.75" hidden="false" customHeight="true" outlineLevel="0" collapsed="false">
      <c r="A65" s="79" t="s">
        <v>588</v>
      </c>
      <c r="B65" s="89" t="s">
        <v>680</v>
      </c>
      <c r="C65" s="89"/>
      <c r="D65" s="89"/>
      <c r="E65" s="89"/>
      <c r="F65" s="89"/>
    </row>
    <row r="66" customFormat="false" ht="39.75" hidden="false" customHeight="true" outlineLevel="0" collapsed="false">
      <c r="A66" s="91" t="s">
        <v>590</v>
      </c>
      <c r="B66" s="92" t="s">
        <v>681</v>
      </c>
      <c r="C66" s="92"/>
      <c r="D66" s="92"/>
      <c r="E66" s="92"/>
      <c r="F66" s="92"/>
    </row>
    <row r="67" customFormat="false" ht="39.75" hidden="false" customHeight="true" outlineLevel="0" collapsed="false">
      <c r="A67" s="91" t="s">
        <v>592</v>
      </c>
      <c r="B67" s="92" t="s">
        <v>682</v>
      </c>
      <c r="C67" s="92"/>
      <c r="D67" s="92"/>
      <c r="E67" s="92"/>
      <c r="F67" s="92"/>
    </row>
    <row r="68" customFormat="false" ht="15" hidden="false" customHeight="true" outlineLevel="0" collapsed="false">
      <c r="A68" s="93" t="s">
        <v>594</v>
      </c>
      <c r="B68" s="94" t="s">
        <v>595</v>
      </c>
      <c r="C68" s="95" t="s">
        <v>596</v>
      </c>
      <c r="D68" s="95"/>
      <c r="E68" s="95"/>
      <c r="F68" s="95"/>
    </row>
  </sheetData>
  <mergeCells count="53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25:F25"/>
    <mergeCell ref="B26:F26"/>
    <mergeCell ref="B27:F27"/>
    <mergeCell ref="B28:F28"/>
    <mergeCell ref="B29:F29"/>
    <mergeCell ref="B30:F30"/>
    <mergeCell ref="B31:F31"/>
    <mergeCell ref="C32:F32"/>
    <mergeCell ref="A34:F34"/>
    <mergeCell ref="B35:F35"/>
    <mergeCell ref="B36:F36"/>
    <mergeCell ref="B37:F37"/>
    <mergeCell ref="B38:F38"/>
    <mergeCell ref="B39:F39"/>
    <mergeCell ref="B40:F40"/>
    <mergeCell ref="C41:F41"/>
    <mergeCell ref="A43:F43"/>
    <mergeCell ref="B44:F44"/>
    <mergeCell ref="B45:F45"/>
    <mergeCell ref="B46:F46"/>
    <mergeCell ref="B47:F47"/>
    <mergeCell ref="B48:F48"/>
    <mergeCell ref="B49:F49"/>
    <mergeCell ref="C50:F50"/>
    <mergeCell ref="A52:F52"/>
    <mergeCell ref="B53:F53"/>
    <mergeCell ref="B54:F54"/>
    <mergeCell ref="B55:F55"/>
    <mergeCell ref="B56:F56"/>
    <mergeCell ref="B57:F57"/>
    <mergeCell ref="B58:F58"/>
    <mergeCell ref="C59:F59"/>
    <mergeCell ref="A61:F61"/>
    <mergeCell ref="B62:F62"/>
    <mergeCell ref="B63:F63"/>
    <mergeCell ref="B64:F64"/>
    <mergeCell ref="B65:F65"/>
    <mergeCell ref="B66:F66"/>
    <mergeCell ref="B67:F67"/>
    <mergeCell ref="C68:F68"/>
  </mergeCells>
  <hyperlinks>
    <hyperlink ref="E3" r:id="rId1" location="'🧭%20Progression'!A1" display="◀ Progression"/>
    <hyperlink ref="F3" r:id="rId2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40"/>
    <col collapsed="false" customWidth="true" hidden="false" outlineLevel="0" max="5" min="5" style="1" width="3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96" t="s">
        <v>683</v>
      </c>
      <c r="B1" s="96"/>
      <c r="C1" s="96"/>
      <c r="D1" s="96"/>
      <c r="E1" s="96"/>
      <c r="F1" s="96"/>
    </row>
    <row r="2" customFormat="false" ht="15" hidden="false" customHeight="true" outlineLevel="0" collapsed="false">
      <c r="A2" s="72" t="s">
        <v>684</v>
      </c>
      <c r="B2" s="72"/>
      <c r="C2" s="72"/>
      <c r="D2" s="72"/>
      <c r="E2" s="72"/>
      <c r="F2" s="72"/>
    </row>
    <row r="3" customFormat="false" ht="15" hidden="false" customHeight="true" outlineLevel="0" collapsed="false">
      <c r="E3" s="88" t="s">
        <v>559</v>
      </c>
      <c r="F3" s="30" t="s">
        <v>52</v>
      </c>
    </row>
    <row r="4" customFormat="false" ht="27.75" hidden="false" customHeight="true" outlineLevel="0" collapsed="false">
      <c r="A4" s="79" t="s">
        <v>496</v>
      </c>
      <c r="B4" s="89" t="s">
        <v>534</v>
      </c>
      <c r="C4" s="89"/>
      <c r="D4" s="89"/>
      <c r="E4" s="89"/>
      <c r="F4" s="89"/>
    </row>
    <row r="5" customFormat="false" ht="27.75" hidden="false" customHeight="true" outlineLevel="0" collapsed="false">
      <c r="A5" s="79" t="s">
        <v>560</v>
      </c>
      <c r="B5" s="89" t="s">
        <v>685</v>
      </c>
      <c r="C5" s="89"/>
      <c r="D5" s="89"/>
      <c r="E5" s="89"/>
      <c r="F5" s="89"/>
    </row>
    <row r="6" customFormat="false" ht="27.75" hidden="false" customHeight="true" outlineLevel="0" collapsed="false">
      <c r="A6" s="79" t="s">
        <v>562</v>
      </c>
      <c r="B6" s="89" t="s">
        <v>686</v>
      </c>
      <c r="C6" s="89"/>
      <c r="D6" s="89"/>
      <c r="E6" s="89"/>
      <c r="F6" s="89"/>
    </row>
    <row r="7" customFormat="false" ht="39" hidden="false" customHeight="true" outlineLevel="0" collapsed="false">
      <c r="A7" s="79" t="s">
        <v>563</v>
      </c>
      <c r="B7" s="89" t="s">
        <v>687</v>
      </c>
      <c r="C7" s="89"/>
      <c r="D7" s="89"/>
      <c r="E7" s="89"/>
      <c r="F7" s="89"/>
    </row>
    <row r="8" customFormat="false" ht="27.75" hidden="false" customHeight="true" outlineLevel="0" collapsed="false">
      <c r="A8" s="79" t="s">
        <v>564</v>
      </c>
      <c r="B8" s="89" t="s">
        <v>688</v>
      </c>
      <c r="C8" s="89"/>
      <c r="D8" s="89"/>
      <c r="E8" s="89"/>
      <c r="F8" s="89"/>
    </row>
    <row r="9" customFormat="false" ht="27.75" hidden="false" customHeight="true" outlineLevel="0" collapsed="false">
      <c r="A9" s="79" t="s">
        <v>566</v>
      </c>
      <c r="B9" s="89" t="s">
        <v>689</v>
      </c>
      <c r="C9" s="89"/>
      <c r="D9" s="89"/>
      <c r="E9" s="89"/>
      <c r="F9" s="89"/>
    </row>
    <row r="10" customFormat="false" ht="27.75" hidden="false" customHeight="true" outlineLevel="0" collapsed="false">
      <c r="A10" s="79" t="s">
        <v>568</v>
      </c>
      <c r="B10" s="89" t="s">
        <v>690</v>
      </c>
      <c r="C10" s="89"/>
      <c r="D10" s="89"/>
      <c r="E10" s="89"/>
      <c r="F10" s="89"/>
    </row>
    <row r="11" customFormat="false" ht="27.75" hidden="false" customHeight="true" outlineLevel="0" collapsed="false">
      <c r="A11" s="79" t="s">
        <v>570</v>
      </c>
      <c r="B11" s="89" t="s">
        <v>691</v>
      </c>
      <c r="C11" s="89"/>
      <c r="D11" s="89"/>
      <c r="E11" s="89"/>
      <c r="F11" s="89"/>
    </row>
    <row r="12" customFormat="false" ht="27.75" hidden="false" customHeight="true" outlineLevel="0" collapsed="false">
      <c r="A12" s="79" t="s">
        <v>571</v>
      </c>
      <c r="B12" s="89" t="s">
        <v>692</v>
      </c>
      <c r="C12" s="89"/>
      <c r="D12" s="89"/>
      <c r="E12" s="89"/>
      <c r="F12" s="89"/>
    </row>
    <row r="13" customFormat="false" ht="27.75" hidden="false" customHeight="true" outlineLevel="0" collapsed="false">
      <c r="A13" s="79" t="s">
        <v>572</v>
      </c>
      <c r="B13" s="89" t="s">
        <v>538</v>
      </c>
      <c r="C13" s="89"/>
      <c r="D13" s="89"/>
      <c r="E13" s="89"/>
      <c r="F13" s="89"/>
    </row>
    <row r="14" customFormat="false" ht="27.75" hidden="false" customHeight="true" outlineLevel="0" collapsed="false">
      <c r="A14" s="79" t="s">
        <v>573</v>
      </c>
      <c r="B14" s="89" t="s">
        <v>537</v>
      </c>
      <c r="C14" s="89"/>
      <c r="D14" s="89"/>
      <c r="E14" s="89"/>
      <c r="F14" s="89"/>
    </row>
    <row r="16" customFormat="false" ht="15" hidden="false" customHeight="true" outlineLevel="0" collapsed="false">
      <c r="A16" s="48" t="s">
        <v>574</v>
      </c>
    </row>
    <row r="17" customFormat="false" ht="15" hidden="false" customHeight="true" outlineLevel="0" collapsed="false">
      <c r="A17" s="31" t="s">
        <v>211</v>
      </c>
      <c r="B17" s="31" t="s">
        <v>575</v>
      </c>
      <c r="C17" s="31" t="s">
        <v>576</v>
      </c>
      <c r="D17" s="31" t="s">
        <v>577</v>
      </c>
      <c r="E17" s="31" t="s">
        <v>578</v>
      </c>
    </row>
    <row r="18" customFormat="false" ht="30" hidden="false" customHeight="true" outlineLevel="0" collapsed="false">
      <c r="A18" s="74" t="s">
        <v>324</v>
      </c>
      <c r="B18" s="36" t="s">
        <v>325</v>
      </c>
      <c r="C18" s="36" t="s">
        <v>227</v>
      </c>
      <c r="D18" s="36" t="s">
        <v>639</v>
      </c>
      <c r="E18" s="36" t="s">
        <v>642</v>
      </c>
    </row>
    <row r="19" customFormat="false" ht="30" hidden="false" customHeight="true" outlineLevel="0" collapsed="false">
      <c r="A19" s="74" t="s">
        <v>326</v>
      </c>
      <c r="B19" s="36" t="s">
        <v>327</v>
      </c>
      <c r="C19" s="36" t="s">
        <v>227</v>
      </c>
      <c r="D19" s="36" t="s">
        <v>693</v>
      </c>
      <c r="E19" s="36" t="s">
        <v>694</v>
      </c>
    </row>
    <row r="21" customFormat="false" ht="15" hidden="false" customHeight="true" outlineLevel="0" collapsed="false">
      <c r="A21" s="48" t="s">
        <v>580</v>
      </c>
    </row>
    <row r="22" customFormat="false" ht="15" hidden="false" customHeight="true" outlineLevel="0" collapsed="false">
      <c r="A22" s="97" t="s">
        <v>695</v>
      </c>
      <c r="B22" s="97"/>
      <c r="C22" s="97"/>
      <c r="D22" s="97"/>
      <c r="E22" s="97"/>
      <c r="F22" s="97"/>
    </row>
    <row r="23" customFormat="false" ht="27.75" hidden="false" customHeight="true" outlineLevel="0" collapsed="false">
      <c r="A23" s="79" t="s">
        <v>582</v>
      </c>
      <c r="B23" s="89" t="s">
        <v>696</v>
      </c>
      <c r="C23" s="89"/>
      <c r="D23" s="89"/>
      <c r="E23" s="89"/>
      <c r="F23" s="89"/>
    </row>
    <row r="24" customFormat="false" ht="64.5" hidden="false" customHeight="true" outlineLevel="0" collapsed="false">
      <c r="A24" s="79" t="s">
        <v>584</v>
      </c>
      <c r="B24" s="89" t="s">
        <v>697</v>
      </c>
      <c r="C24" s="89"/>
      <c r="D24" s="89"/>
      <c r="E24" s="89"/>
      <c r="F24" s="89"/>
    </row>
    <row r="25" customFormat="false" ht="27.75" hidden="false" customHeight="true" outlineLevel="0" collapsed="false">
      <c r="A25" s="79" t="s">
        <v>586</v>
      </c>
      <c r="B25" s="89" t="s">
        <v>698</v>
      </c>
      <c r="C25" s="89"/>
      <c r="D25" s="89"/>
      <c r="E25" s="89"/>
      <c r="F25" s="89"/>
    </row>
    <row r="26" customFormat="false" ht="27.75" hidden="false" customHeight="true" outlineLevel="0" collapsed="false">
      <c r="A26" s="79" t="s">
        <v>588</v>
      </c>
      <c r="B26" s="89" t="s">
        <v>699</v>
      </c>
      <c r="C26" s="89"/>
      <c r="D26" s="89"/>
      <c r="E26" s="89"/>
      <c r="F26" s="89"/>
    </row>
    <row r="27" customFormat="false" ht="39.75" hidden="false" customHeight="true" outlineLevel="0" collapsed="false">
      <c r="A27" s="91" t="s">
        <v>590</v>
      </c>
      <c r="B27" s="92" t="s">
        <v>700</v>
      </c>
      <c r="C27" s="92"/>
      <c r="D27" s="92"/>
      <c r="E27" s="92"/>
      <c r="F27" s="92"/>
    </row>
    <row r="28" customFormat="false" ht="51.75" hidden="false" customHeight="true" outlineLevel="0" collapsed="false">
      <c r="A28" s="91" t="s">
        <v>592</v>
      </c>
      <c r="B28" s="92" t="s">
        <v>701</v>
      </c>
      <c r="C28" s="92"/>
      <c r="D28" s="92"/>
      <c r="E28" s="92"/>
      <c r="F28" s="92"/>
    </row>
    <row r="29" customFormat="false" ht="15" hidden="false" customHeight="true" outlineLevel="0" collapsed="false">
      <c r="A29" s="93" t="s">
        <v>594</v>
      </c>
      <c r="B29" s="94" t="s">
        <v>595</v>
      </c>
      <c r="C29" s="95" t="s">
        <v>596</v>
      </c>
      <c r="D29" s="95"/>
      <c r="E29" s="95"/>
      <c r="F29" s="95"/>
    </row>
    <row r="31" customFormat="false" ht="15" hidden="false" customHeight="true" outlineLevel="0" collapsed="false">
      <c r="A31" s="97" t="s">
        <v>702</v>
      </c>
      <c r="B31" s="97"/>
      <c r="C31" s="97"/>
      <c r="D31" s="97"/>
      <c r="E31" s="97"/>
      <c r="F31" s="97"/>
    </row>
    <row r="32" customFormat="false" ht="27.75" hidden="false" customHeight="true" outlineLevel="0" collapsed="false">
      <c r="A32" s="79" t="s">
        <v>582</v>
      </c>
      <c r="B32" s="89" t="s">
        <v>703</v>
      </c>
      <c r="C32" s="89"/>
      <c r="D32" s="89"/>
      <c r="E32" s="89"/>
      <c r="F32" s="89"/>
    </row>
    <row r="33" customFormat="false" ht="64.5" hidden="false" customHeight="true" outlineLevel="0" collapsed="false">
      <c r="A33" s="79" t="s">
        <v>584</v>
      </c>
      <c r="B33" s="89" t="s">
        <v>704</v>
      </c>
      <c r="C33" s="89"/>
      <c r="D33" s="89"/>
      <c r="E33" s="89"/>
      <c r="F33" s="89"/>
    </row>
    <row r="34" customFormat="false" ht="27.75" hidden="false" customHeight="true" outlineLevel="0" collapsed="false">
      <c r="A34" s="79" t="s">
        <v>586</v>
      </c>
      <c r="B34" s="89" t="s">
        <v>705</v>
      </c>
      <c r="C34" s="89"/>
      <c r="D34" s="89"/>
      <c r="E34" s="89"/>
      <c r="F34" s="89"/>
    </row>
    <row r="35" customFormat="false" ht="27.75" hidden="false" customHeight="true" outlineLevel="0" collapsed="false">
      <c r="A35" s="79" t="s">
        <v>588</v>
      </c>
      <c r="B35" s="89" t="s">
        <v>706</v>
      </c>
      <c r="C35" s="89"/>
      <c r="D35" s="89"/>
      <c r="E35" s="89"/>
      <c r="F35" s="89"/>
    </row>
    <row r="36" customFormat="false" ht="39.75" hidden="false" customHeight="true" outlineLevel="0" collapsed="false">
      <c r="A36" s="91" t="s">
        <v>590</v>
      </c>
      <c r="B36" s="92" t="s">
        <v>707</v>
      </c>
      <c r="C36" s="92"/>
      <c r="D36" s="92"/>
      <c r="E36" s="92"/>
      <c r="F36" s="92"/>
    </row>
    <row r="37" customFormat="false" ht="78" hidden="false" customHeight="true" outlineLevel="0" collapsed="false">
      <c r="A37" s="91" t="s">
        <v>592</v>
      </c>
      <c r="B37" s="92" t="s">
        <v>708</v>
      </c>
      <c r="C37" s="92"/>
      <c r="D37" s="92"/>
      <c r="E37" s="92"/>
      <c r="F37" s="92"/>
    </row>
    <row r="38" customFormat="false" ht="15" hidden="false" customHeight="true" outlineLevel="0" collapsed="false">
      <c r="A38" s="93" t="s">
        <v>594</v>
      </c>
      <c r="B38" s="94" t="s">
        <v>595</v>
      </c>
      <c r="C38" s="95" t="s">
        <v>596</v>
      </c>
      <c r="D38" s="95"/>
      <c r="E38" s="95"/>
      <c r="F38" s="95"/>
    </row>
    <row r="40" customFormat="false" ht="15" hidden="false" customHeight="true" outlineLevel="0" collapsed="false">
      <c r="A40" s="97" t="s">
        <v>709</v>
      </c>
      <c r="B40" s="97"/>
      <c r="C40" s="97"/>
      <c r="D40" s="97"/>
      <c r="E40" s="97"/>
      <c r="F40" s="97"/>
    </row>
    <row r="41" customFormat="false" ht="27.75" hidden="false" customHeight="true" outlineLevel="0" collapsed="false">
      <c r="A41" s="79" t="s">
        <v>582</v>
      </c>
      <c r="B41" s="89" t="s">
        <v>710</v>
      </c>
      <c r="C41" s="89"/>
      <c r="D41" s="89"/>
      <c r="E41" s="89"/>
      <c r="F41" s="89"/>
    </row>
    <row r="42" customFormat="false" ht="27.75" hidden="false" customHeight="true" outlineLevel="0" collapsed="false">
      <c r="A42" s="79" t="s">
        <v>584</v>
      </c>
      <c r="B42" s="89" t="s">
        <v>711</v>
      </c>
      <c r="C42" s="89"/>
      <c r="D42" s="89"/>
      <c r="E42" s="89"/>
      <c r="F42" s="89"/>
    </row>
    <row r="43" customFormat="false" ht="27.75" hidden="false" customHeight="true" outlineLevel="0" collapsed="false">
      <c r="A43" s="79" t="s">
        <v>586</v>
      </c>
      <c r="B43" s="89" t="s">
        <v>712</v>
      </c>
      <c r="C43" s="89"/>
      <c r="D43" s="89"/>
      <c r="E43" s="89"/>
      <c r="F43" s="89"/>
    </row>
    <row r="44" customFormat="false" ht="27.75" hidden="false" customHeight="true" outlineLevel="0" collapsed="false">
      <c r="A44" s="79" t="s">
        <v>588</v>
      </c>
      <c r="B44" s="89" t="s">
        <v>713</v>
      </c>
      <c r="C44" s="89"/>
      <c r="D44" s="89"/>
      <c r="E44" s="89"/>
      <c r="F44" s="89"/>
    </row>
    <row r="45" customFormat="false" ht="39.75" hidden="false" customHeight="true" outlineLevel="0" collapsed="false">
      <c r="A45" s="91" t="s">
        <v>590</v>
      </c>
      <c r="B45" s="92" t="s">
        <v>714</v>
      </c>
      <c r="C45" s="92"/>
      <c r="D45" s="92"/>
      <c r="E45" s="92"/>
      <c r="F45" s="92"/>
    </row>
    <row r="46" customFormat="false" ht="51.75" hidden="false" customHeight="true" outlineLevel="0" collapsed="false">
      <c r="A46" s="91" t="s">
        <v>592</v>
      </c>
      <c r="B46" s="92" t="s">
        <v>715</v>
      </c>
      <c r="C46" s="92"/>
      <c r="D46" s="92"/>
      <c r="E46" s="92"/>
      <c r="F46" s="92"/>
    </row>
    <row r="47" customFormat="false" ht="15" hidden="false" customHeight="true" outlineLevel="0" collapsed="false">
      <c r="A47" s="93" t="s">
        <v>594</v>
      </c>
      <c r="B47" s="94" t="s">
        <v>595</v>
      </c>
      <c r="C47" s="95" t="s">
        <v>596</v>
      </c>
      <c r="D47" s="95"/>
      <c r="E47" s="95"/>
      <c r="F47" s="95"/>
    </row>
  </sheetData>
  <mergeCells count="37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22:F22"/>
    <mergeCell ref="B23:F23"/>
    <mergeCell ref="B24:F24"/>
    <mergeCell ref="B25:F25"/>
    <mergeCell ref="B26:F26"/>
    <mergeCell ref="B27:F27"/>
    <mergeCell ref="B28:F28"/>
    <mergeCell ref="C29:F29"/>
    <mergeCell ref="A31:F31"/>
    <mergeCell ref="B32:F32"/>
    <mergeCell ref="B33:F33"/>
    <mergeCell ref="B34:F34"/>
    <mergeCell ref="B35:F35"/>
    <mergeCell ref="B36:F36"/>
    <mergeCell ref="B37:F37"/>
    <mergeCell ref="C38:F38"/>
    <mergeCell ref="A40:F40"/>
    <mergeCell ref="B41:F41"/>
    <mergeCell ref="B42:F42"/>
    <mergeCell ref="B43:F43"/>
    <mergeCell ref="B44:F44"/>
    <mergeCell ref="B45:F45"/>
    <mergeCell ref="B46:F46"/>
    <mergeCell ref="C47:F47"/>
  </mergeCells>
  <hyperlinks>
    <hyperlink ref="E3" r:id="rId1" location="'🧭%20Progression'!A1" display="◀ Progression"/>
    <hyperlink ref="F3" r:id="rId2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F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40"/>
    <col collapsed="false" customWidth="true" hidden="false" outlineLevel="0" max="5" min="5" style="1" width="3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96" t="s">
        <v>716</v>
      </c>
      <c r="B1" s="96"/>
      <c r="C1" s="96"/>
      <c r="D1" s="96"/>
      <c r="E1" s="96"/>
      <c r="F1" s="96"/>
    </row>
    <row r="2" customFormat="false" ht="15" hidden="false" customHeight="true" outlineLevel="0" collapsed="false">
      <c r="A2" s="72" t="s">
        <v>717</v>
      </c>
      <c r="B2" s="72"/>
      <c r="C2" s="72"/>
      <c r="D2" s="72"/>
      <c r="E2" s="72"/>
      <c r="F2" s="72"/>
    </row>
    <row r="3" customFormat="false" ht="15" hidden="false" customHeight="true" outlineLevel="0" collapsed="false">
      <c r="E3" s="88" t="s">
        <v>559</v>
      </c>
      <c r="F3" s="30" t="s">
        <v>52</v>
      </c>
    </row>
    <row r="4" customFormat="false" ht="27.75" hidden="false" customHeight="true" outlineLevel="0" collapsed="false">
      <c r="A4" s="79" t="s">
        <v>496</v>
      </c>
      <c r="B4" s="89" t="s">
        <v>540</v>
      </c>
      <c r="C4" s="89"/>
      <c r="D4" s="89"/>
      <c r="E4" s="89"/>
      <c r="F4" s="89"/>
    </row>
    <row r="5" customFormat="false" ht="27.75" hidden="false" customHeight="true" outlineLevel="0" collapsed="false">
      <c r="A5" s="79" t="s">
        <v>560</v>
      </c>
      <c r="B5" s="89" t="s">
        <v>718</v>
      </c>
      <c r="C5" s="89"/>
      <c r="D5" s="89"/>
      <c r="E5" s="89"/>
      <c r="F5" s="89"/>
    </row>
    <row r="6" customFormat="false" ht="27.75" hidden="false" customHeight="true" outlineLevel="0" collapsed="false">
      <c r="A6" s="79" t="s">
        <v>562</v>
      </c>
      <c r="B6" s="89" t="s">
        <v>719</v>
      </c>
      <c r="C6" s="89"/>
      <c r="D6" s="89"/>
      <c r="E6" s="89"/>
      <c r="F6" s="89"/>
    </row>
    <row r="7" customFormat="false" ht="27.75" hidden="false" customHeight="true" outlineLevel="0" collapsed="false">
      <c r="A7" s="79" t="s">
        <v>563</v>
      </c>
      <c r="B7" s="89" t="s">
        <v>720</v>
      </c>
      <c r="C7" s="89"/>
      <c r="D7" s="89"/>
      <c r="E7" s="89"/>
      <c r="F7" s="89"/>
    </row>
    <row r="8" customFormat="false" ht="27.75" hidden="false" customHeight="true" outlineLevel="0" collapsed="false">
      <c r="A8" s="79" t="s">
        <v>564</v>
      </c>
      <c r="B8" s="89" t="s">
        <v>721</v>
      </c>
      <c r="C8" s="89"/>
      <c r="D8" s="89"/>
      <c r="E8" s="89"/>
      <c r="F8" s="89"/>
    </row>
    <row r="9" customFormat="false" ht="27.75" hidden="false" customHeight="true" outlineLevel="0" collapsed="false">
      <c r="A9" s="79" t="s">
        <v>566</v>
      </c>
      <c r="B9" s="89" t="s">
        <v>722</v>
      </c>
      <c r="C9" s="89"/>
      <c r="D9" s="89"/>
      <c r="E9" s="89"/>
      <c r="F9" s="89"/>
    </row>
    <row r="10" customFormat="false" ht="27.75" hidden="false" customHeight="true" outlineLevel="0" collapsed="false">
      <c r="A10" s="79" t="s">
        <v>568</v>
      </c>
      <c r="B10" s="89" t="s">
        <v>723</v>
      </c>
      <c r="C10" s="89"/>
      <c r="D10" s="89"/>
      <c r="E10" s="89"/>
      <c r="F10" s="89"/>
    </row>
    <row r="11" customFormat="false" ht="27.75" hidden="false" customHeight="true" outlineLevel="0" collapsed="false">
      <c r="A11" s="79" t="s">
        <v>570</v>
      </c>
      <c r="B11" s="89" t="s">
        <v>724</v>
      </c>
      <c r="C11" s="89"/>
      <c r="D11" s="89"/>
      <c r="E11" s="89"/>
      <c r="F11" s="89"/>
    </row>
    <row r="12" customFormat="false" ht="27.75" hidden="false" customHeight="true" outlineLevel="0" collapsed="false">
      <c r="A12" s="79" t="s">
        <v>571</v>
      </c>
      <c r="B12" s="89" t="s">
        <v>725</v>
      </c>
      <c r="C12" s="89"/>
      <c r="D12" s="89"/>
      <c r="E12" s="89"/>
      <c r="F12" s="89"/>
    </row>
    <row r="13" customFormat="false" ht="27.75" hidden="false" customHeight="true" outlineLevel="0" collapsed="false">
      <c r="A13" s="79" t="s">
        <v>572</v>
      </c>
      <c r="B13" s="89" t="s">
        <v>544</v>
      </c>
      <c r="C13" s="89"/>
      <c r="D13" s="89"/>
      <c r="E13" s="89"/>
      <c r="F13" s="89"/>
    </row>
    <row r="14" customFormat="false" ht="27.75" hidden="false" customHeight="true" outlineLevel="0" collapsed="false">
      <c r="A14" s="79" t="s">
        <v>573</v>
      </c>
      <c r="B14" s="89" t="s">
        <v>543</v>
      </c>
      <c r="C14" s="89"/>
      <c r="D14" s="89"/>
      <c r="E14" s="89"/>
      <c r="F14" s="89"/>
    </row>
    <row r="16" customFormat="false" ht="15" hidden="false" customHeight="true" outlineLevel="0" collapsed="false">
      <c r="A16" s="48" t="s">
        <v>574</v>
      </c>
    </row>
    <row r="17" customFormat="false" ht="15" hidden="false" customHeight="true" outlineLevel="0" collapsed="false">
      <c r="A17" s="31" t="s">
        <v>211</v>
      </c>
      <c r="B17" s="31" t="s">
        <v>575</v>
      </c>
      <c r="C17" s="31" t="s">
        <v>576</v>
      </c>
      <c r="D17" s="31" t="s">
        <v>577</v>
      </c>
      <c r="E17" s="31" t="s">
        <v>578</v>
      </c>
    </row>
    <row r="18" customFormat="false" ht="30" hidden="false" customHeight="true" outlineLevel="0" collapsed="false">
      <c r="A18" s="74" t="s">
        <v>364</v>
      </c>
      <c r="B18" s="36" t="s">
        <v>365</v>
      </c>
      <c r="C18" s="36" t="s">
        <v>290</v>
      </c>
      <c r="D18" s="36" t="s">
        <v>639</v>
      </c>
      <c r="E18" s="36" t="s">
        <v>726</v>
      </c>
    </row>
    <row r="19" customFormat="false" ht="30" hidden="false" customHeight="true" outlineLevel="0" collapsed="false">
      <c r="A19" s="74" t="s">
        <v>366</v>
      </c>
      <c r="B19" s="36" t="s">
        <v>367</v>
      </c>
      <c r="C19" s="36" t="s">
        <v>368</v>
      </c>
      <c r="D19" s="36" t="s">
        <v>727</v>
      </c>
      <c r="E19" s="36" t="s">
        <v>728</v>
      </c>
    </row>
    <row r="20" customFormat="false" ht="30" hidden="false" customHeight="true" outlineLevel="0" collapsed="false">
      <c r="A20" s="74" t="s">
        <v>369</v>
      </c>
      <c r="B20" s="36" t="s">
        <v>370</v>
      </c>
      <c r="C20" s="36" t="s">
        <v>221</v>
      </c>
      <c r="D20" s="36" t="s">
        <v>729</v>
      </c>
      <c r="E20" s="36" t="s">
        <v>730</v>
      </c>
    </row>
    <row r="22" customFormat="false" ht="15" hidden="false" customHeight="true" outlineLevel="0" collapsed="false">
      <c r="A22" s="48" t="s">
        <v>580</v>
      </c>
    </row>
    <row r="23" customFormat="false" ht="15" hidden="false" customHeight="true" outlineLevel="0" collapsed="false">
      <c r="A23" s="97" t="s">
        <v>731</v>
      </c>
      <c r="B23" s="97"/>
      <c r="C23" s="97"/>
      <c r="D23" s="97"/>
      <c r="E23" s="97"/>
      <c r="F23" s="97"/>
    </row>
    <row r="24" customFormat="false" ht="27.75" hidden="false" customHeight="true" outlineLevel="0" collapsed="false">
      <c r="A24" s="79" t="s">
        <v>582</v>
      </c>
      <c r="B24" s="89" t="s">
        <v>732</v>
      </c>
      <c r="C24" s="89"/>
      <c r="D24" s="89"/>
      <c r="E24" s="89"/>
      <c r="F24" s="89"/>
    </row>
    <row r="25" customFormat="false" ht="27.75" hidden="false" customHeight="true" outlineLevel="0" collapsed="false">
      <c r="A25" s="79" t="s">
        <v>584</v>
      </c>
      <c r="B25" s="89" t="s">
        <v>733</v>
      </c>
      <c r="C25" s="89"/>
      <c r="D25" s="89"/>
      <c r="E25" s="89"/>
      <c r="F25" s="89"/>
    </row>
    <row r="26" customFormat="false" ht="27.75" hidden="false" customHeight="true" outlineLevel="0" collapsed="false">
      <c r="A26" s="79" t="s">
        <v>586</v>
      </c>
      <c r="B26" s="89" t="s">
        <v>734</v>
      </c>
      <c r="C26" s="89"/>
      <c r="D26" s="89"/>
      <c r="E26" s="89"/>
      <c r="F26" s="89"/>
    </row>
    <row r="27" customFormat="false" ht="27.75" hidden="false" customHeight="true" outlineLevel="0" collapsed="false">
      <c r="A27" s="79" t="s">
        <v>588</v>
      </c>
      <c r="B27" s="89" t="s">
        <v>735</v>
      </c>
      <c r="C27" s="89"/>
      <c r="D27" s="89"/>
      <c r="E27" s="89"/>
      <c r="F27" s="89"/>
    </row>
    <row r="28" customFormat="false" ht="39.75" hidden="false" customHeight="true" outlineLevel="0" collapsed="false">
      <c r="A28" s="91" t="s">
        <v>590</v>
      </c>
      <c r="B28" s="92" t="s">
        <v>736</v>
      </c>
      <c r="C28" s="92"/>
      <c r="D28" s="92"/>
      <c r="E28" s="92"/>
      <c r="F28" s="92"/>
    </row>
    <row r="29" customFormat="false" ht="39.75" hidden="false" customHeight="true" outlineLevel="0" collapsed="false">
      <c r="A29" s="91" t="s">
        <v>592</v>
      </c>
      <c r="B29" s="92" t="s">
        <v>737</v>
      </c>
      <c r="C29" s="92"/>
      <c r="D29" s="92"/>
      <c r="E29" s="92"/>
      <c r="F29" s="92"/>
    </row>
    <row r="30" customFormat="false" ht="15" hidden="false" customHeight="true" outlineLevel="0" collapsed="false">
      <c r="A30" s="93" t="s">
        <v>594</v>
      </c>
      <c r="B30" s="94" t="s">
        <v>595</v>
      </c>
      <c r="C30" s="95" t="s">
        <v>596</v>
      </c>
      <c r="D30" s="95"/>
      <c r="E30" s="95"/>
      <c r="F30" s="95"/>
    </row>
    <row r="32" customFormat="false" ht="15" hidden="false" customHeight="true" outlineLevel="0" collapsed="false">
      <c r="A32" s="97" t="s">
        <v>738</v>
      </c>
      <c r="B32" s="97"/>
      <c r="C32" s="97"/>
      <c r="D32" s="97"/>
      <c r="E32" s="97"/>
      <c r="F32" s="97"/>
    </row>
    <row r="33" customFormat="false" ht="27.75" hidden="false" customHeight="true" outlineLevel="0" collapsed="false">
      <c r="A33" s="79" t="s">
        <v>582</v>
      </c>
      <c r="B33" s="89" t="s">
        <v>739</v>
      </c>
      <c r="C33" s="89"/>
      <c r="D33" s="89"/>
      <c r="E33" s="89"/>
      <c r="F33" s="89"/>
    </row>
    <row r="34" customFormat="false" ht="27.75" hidden="false" customHeight="true" outlineLevel="0" collapsed="false">
      <c r="A34" s="79" t="s">
        <v>584</v>
      </c>
      <c r="B34" s="89" t="s">
        <v>740</v>
      </c>
      <c r="C34" s="89"/>
      <c r="D34" s="89"/>
      <c r="E34" s="89"/>
      <c r="F34" s="89"/>
    </row>
    <row r="35" customFormat="false" ht="27.75" hidden="false" customHeight="true" outlineLevel="0" collapsed="false">
      <c r="A35" s="79" t="s">
        <v>586</v>
      </c>
      <c r="B35" s="89" t="s">
        <v>741</v>
      </c>
      <c r="C35" s="89"/>
      <c r="D35" s="89"/>
      <c r="E35" s="89"/>
      <c r="F35" s="89"/>
    </row>
    <row r="36" customFormat="false" ht="27.75" hidden="false" customHeight="true" outlineLevel="0" collapsed="false">
      <c r="A36" s="79" t="s">
        <v>588</v>
      </c>
      <c r="B36" s="89" t="s">
        <v>742</v>
      </c>
      <c r="C36" s="89"/>
      <c r="D36" s="89"/>
      <c r="E36" s="89"/>
      <c r="F36" s="89"/>
    </row>
    <row r="37" customFormat="false" ht="39.75" hidden="false" customHeight="true" outlineLevel="0" collapsed="false">
      <c r="A37" s="91" t="s">
        <v>590</v>
      </c>
      <c r="B37" s="92" t="s">
        <v>743</v>
      </c>
      <c r="C37" s="92"/>
      <c r="D37" s="92"/>
      <c r="E37" s="92"/>
      <c r="F37" s="92"/>
    </row>
    <row r="38" customFormat="false" ht="39.75" hidden="false" customHeight="true" outlineLevel="0" collapsed="false">
      <c r="A38" s="91" t="s">
        <v>592</v>
      </c>
      <c r="B38" s="92" t="s">
        <v>744</v>
      </c>
      <c r="C38" s="92"/>
      <c r="D38" s="92"/>
      <c r="E38" s="92"/>
      <c r="F38" s="92"/>
    </row>
    <row r="39" customFormat="false" ht="15" hidden="false" customHeight="true" outlineLevel="0" collapsed="false">
      <c r="A39" s="93" t="s">
        <v>594</v>
      </c>
      <c r="B39" s="94" t="s">
        <v>595</v>
      </c>
      <c r="C39" s="95" t="s">
        <v>596</v>
      </c>
      <c r="D39" s="95"/>
      <c r="E39" s="95"/>
      <c r="F39" s="95"/>
    </row>
    <row r="41" customFormat="false" ht="15" hidden="false" customHeight="true" outlineLevel="0" collapsed="false">
      <c r="A41" s="97" t="s">
        <v>745</v>
      </c>
      <c r="B41" s="97"/>
      <c r="C41" s="97"/>
      <c r="D41" s="97"/>
      <c r="E41" s="97"/>
      <c r="F41" s="97"/>
    </row>
    <row r="42" customFormat="false" ht="27.75" hidden="false" customHeight="true" outlineLevel="0" collapsed="false">
      <c r="A42" s="79" t="s">
        <v>582</v>
      </c>
      <c r="B42" s="89" t="s">
        <v>746</v>
      </c>
      <c r="C42" s="89"/>
      <c r="D42" s="89"/>
      <c r="E42" s="89"/>
      <c r="F42" s="89"/>
    </row>
    <row r="43" customFormat="false" ht="27.75" hidden="false" customHeight="true" outlineLevel="0" collapsed="false">
      <c r="A43" s="79" t="s">
        <v>584</v>
      </c>
      <c r="B43" s="89" t="s">
        <v>747</v>
      </c>
      <c r="C43" s="89"/>
      <c r="D43" s="89"/>
      <c r="E43" s="89"/>
      <c r="F43" s="89"/>
    </row>
    <row r="44" customFormat="false" ht="27.75" hidden="false" customHeight="true" outlineLevel="0" collapsed="false">
      <c r="A44" s="79" t="s">
        <v>586</v>
      </c>
      <c r="B44" s="89" t="s">
        <v>748</v>
      </c>
      <c r="C44" s="89"/>
      <c r="D44" s="89"/>
      <c r="E44" s="89"/>
      <c r="F44" s="89"/>
    </row>
    <row r="45" customFormat="false" ht="27.75" hidden="false" customHeight="true" outlineLevel="0" collapsed="false">
      <c r="A45" s="79" t="s">
        <v>588</v>
      </c>
      <c r="B45" s="89" t="s">
        <v>749</v>
      </c>
      <c r="C45" s="89"/>
      <c r="D45" s="89"/>
      <c r="E45" s="89"/>
      <c r="F45" s="89"/>
    </row>
    <row r="46" customFormat="false" ht="39.75" hidden="false" customHeight="true" outlineLevel="0" collapsed="false">
      <c r="A46" s="91" t="s">
        <v>590</v>
      </c>
      <c r="B46" s="92" t="s">
        <v>750</v>
      </c>
      <c r="C46" s="92"/>
      <c r="D46" s="92"/>
      <c r="E46" s="92"/>
      <c r="F46" s="92"/>
    </row>
    <row r="47" customFormat="false" ht="39.75" hidden="false" customHeight="true" outlineLevel="0" collapsed="false">
      <c r="A47" s="91" t="s">
        <v>592</v>
      </c>
      <c r="B47" s="92" t="s">
        <v>751</v>
      </c>
      <c r="C47" s="92"/>
      <c r="D47" s="92"/>
      <c r="E47" s="92"/>
      <c r="F47" s="92"/>
    </row>
    <row r="48" customFormat="false" ht="15" hidden="false" customHeight="true" outlineLevel="0" collapsed="false">
      <c r="A48" s="93" t="s">
        <v>594</v>
      </c>
      <c r="B48" s="94" t="s">
        <v>595</v>
      </c>
      <c r="C48" s="95" t="s">
        <v>596</v>
      </c>
      <c r="D48" s="95"/>
      <c r="E48" s="95"/>
      <c r="F48" s="95"/>
    </row>
    <row r="50" customFormat="false" ht="15" hidden="false" customHeight="true" outlineLevel="0" collapsed="false">
      <c r="A50" s="97" t="s">
        <v>752</v>
      </c>
      <c r="B50" s="97"/>
      <c r="C50" s="97"/>
      <c r="D50" s="97"/>
      <c r="E50" s="97"/>
      <c r="F50" s="97"/>
    </row>
    <row r="51" customFormat="false" ht="27.75" hidden="false" customHeight="true" outlineLevel="0" collapsed="false">
      <c r="A51" s="79" t="s">
        <v>582</v>
      </c>
      <c r="B51" s="89" t="s">
        <v>753</v>
      </c>
      <c r="C51" s="89"/>
      <c r="D51" s="89"/>
      <c r="E51" s="89"/>
      <c r="F51" s="89"/>
    </row>
    <row r="52" customFormat="false" ht="27.75" hidden="false" customHeight="true" outlineLevel="0" collapsed="false">
      <c r="A52" s="79" t="s">
        <v>584</v>
      </c>
      <c r="B52" s="89" t="s">
        <v>754</v>
      </c>
      <c r="C52" s="89"/>
      <c r="D52" s="89"/>
      <c r="E52" s="89"/>
      <c r="F52" s="89"/>
    </row>
    <row r="53" customFormat="false" ht="27.75" hidden="false" customHeight="true" outlineLevel="0" collapsed="false">
      <c r="A53" s="79" t="s">
        <v>586</v>
      </c>
      <c r="B53" s="89" t="s">
        <v>755</v>
      </c>
      <c r="C53" s="89"/>
      <c r="D53" s="89"/>
      <c r="E53" s="89"/>
      <c r="F53" s="89"/>
    </row>
    <row r="54" customFormat="false" ht="27.75" hidden="false" customHeight="true" outlineLevel="0" collapsed="false">
      <c r="A54" s="79" t="s">
        <v>588</v>
      </c>
      <c r="B54" s="89" t="s">
        <v>756</v>
      </c>
      <c r="C54" s="89"/>
      <c r="D54" s="89"/>
      <c r="E54" s="89"/>
      <c r="F54" s="89"/>
    </row>
    <row r="55" customFormat="false" ht="39.75" hidden="false" customHeight="true" outlineLevel="0" collapsed="false">
      <c r="A55" s="91" t="s">
        <v>590</v>
      </c>
      <c r="B55" s="92" t="s">
        <v>757</v>
      </c>
      <c r="C55" s="92"/>
      <c r="D55" s="92"/>
      <c r="E55" s="92"/>
      <c r="F55" s="92"/>
    </row>
    <row r="56" customFormat="false" ht="39.75" hidden="false" customHeight="true" outlineLevel="0" collapsed="false">
      <c r="A56" s="91" t="s">
        <v>592</v>
      </c>
      <c r="B56" s="92" t="s">
        <v>758</v>
      </c>
      <c r="C56" s="92"/>
      <c r="D56" s="92"/>
      <c r="E56" s="92"/>
      <c r="F56" s="92"/>
    </row>
    <row r="57" customFormat="false" ht="15" hidden="false" customHeight="true" outlineLevel="0" collapsed="false">
      <c r="A57" s="93" t="s">
        <v>594</v>
      </c>
      <c r="B57" s="94" t="s">
        <v>595</v>
      </c>
      <c r="C57" s="95" t="s">
        <v>596</v>
      </c>
      <c r="D57" s="95"/>
      <c r="E57" s="95"/>
      <c r="F57" s="95"/>
    </row>
  </sheetData>
  <mergeCells count="45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23:F23"/>
    <mergeCell ref="B24:F24"/>
    <mergeCell ref="B25:F25"/>
    <mergeCell ref="B26:F26"/>
    <mergeCell ref="B27:F27"/>
    <mergeCell ref="B28:F28"/>
    <mergeCell ref="B29:F29"/>
    <mergeCell ref="C30:F30"/>
    <mergeCell ref="A32:F32"/>
    <mergeCell ref="B33:F33"/>
    <mergeCell ref="B34:F34"/>
    <mergeCell ref="B35:F35"/>
    <mergeCell ref="B36:F36"/>
    <mergeCell ref="B37:F37"/>
    <mergeCell ref="B38:F38"/>
    <mergeCell ref="C39:F39"/>
    <mergeCell ref="A41:F41"/>
    <mergeCell ref="B42:F42"/>
    <mergeCell ref="B43:F43"/>
    <mergeCell ref="B44:F44"/>
    <mergeCell ref="B45:F45"/>
    <mergeCell ref="B46:F46"/>
    <mergeCell ref="B47:F47"/>
    <mergeCell ref="C48:F48"/>
    <mergeCell ref="A50:F50"/>
    <mergeCell ref="B51:F51"/>
    <mergeCell ref="B52:F52"/>
    <mergeCell ref="B53:F53"/>
    <mergeCell ref="B54:F54"/>
    <mergeCell ref="B55:F55"/>
    <mergeCell ref="B56:F56"/>
    <mergeCell ref="C57:F57"/>
  </mergeCells>
  <hyperlinks>
    <hyperlink ref="E3" r:id="rId1" location="'🧭%20Progression'!A1" display="◀ Progression"/>
    <hyperlink ref="F3" r:id="rId2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8135"/>
    <pageSetUpPr fitToPage="true"/>
  </sheetPr>
  <dimension ref="A1:F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40"/>
    <col collapsed="false" customWidth="true" hidden="false" outlineLevel="0" max="5" min="5" style="1" width="3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98" t="s">
        <v>759</v>
      </c>
      <c r="B1" s="98"/>
      <c r="C1" s="98"/>
      <c r="D1" s="98"/>
      <c r="E1" s="98"/>
      <c r="F1" s="98"/>
    </row>
    <row r="2" customFormat="false" ht="15" hidden="false" customHeight="true" outlineLevel="0" collapsed="false">
      <c r="A2" s="72" t="s">
        <v>760</v>
      </c>
      <c r="B2" s="72"/>
      <c r="C2" s="72"/>
      <c r="D2" s="72"/>
      <c r="E2" s="72"/>
      <c r="F2" s="72"/>
    </row>
    <row r="3" customFormat="false" ht="15" hidden="false" customHeight="true" outlineLevel="0" collapsed="false">
      <c r="E3" s="88" t="s">
        <v>559</v>
      </c>
      <c r="F3" s="30" t="s">
        <v>52</v>
      </c>
    </row>
    <row r="4" customFormat="false" ht="27.75" hidden="false" customHeight="true" outlineLevel="0" collapsed="false">
      <c r="A4" s="82" t="s">
        <v>496</v>
      </c>
      <c r="B4" s="89" t="s">
        <v>547</v>
      </c>
      <c r="C4" s="89"/>
      <c r="D4" s="89"/>
      <c r="E4" s="89"/>
      <c r="F4" s="89"/>
    </row>
    <row r="5" customFormat="false" ht="27.75" hidden="false" customHeight="true" outlineLevel="0" collapsed="false">
      <c r="A5" s="82" t="s">
        <v>560</v>
      </c>
      <c r="B5" s="89" t="s">
        <v>761</v>
      </c>
      <c r="C5" s="89"/>
      <c r="D5" s="89"/>
      <c r="E5" s="89"/>
      <c r="F5" s="89"/>
    </row>
    <row r="6" customFormat="false" ht="27.75" hidden="false" customHeight="true" outlineLevel="0" collapsed="false">
      <c r="A6" s="82" t="s">
        <v>562</v>
      </c>
      <c r="B6" s="89" t="s">
        <v>218</v>
      </c>
      <c r="C6" s="89"/>
      <c r="D6" s="89"/>
      <c r="E6" s="89"/>
      <c r="F6" s="89"/>
    </row>
    <row r="7" customFormat="false" ht="27.75" hidden="false" customHeight="true" outlineLevel="0" collapsed="false">
      <c r="A7" s="82" t="s">
        <v>563</v>
      </c>
      <c r="B7" s="89" t="s">
        <v>761</v>
      </c>
      <c r="C7" s="89"/>
      <c r="D7" s="89"/>
      <c r="E7" s="89"/>
      <c r="F7" s="89"/>
    </row>
    <row r="8" customFormat="false" ht="27.75" hidden="false" customHeight="true" outlineLevel="0" collapsed="false">
      <c r="A8" s="82" t="s">
        <v>564</v>
      </c>
      <c r="B8" s="89" t="s">
        <v>762</v>
      </c>
      <c r="C8" s="89"/>
      <c r="D8" s="89"/>
      <c r="E8" s="89"/>
      <c r="F8" s="89"/>
    </row>
    <row r="9" customFormat="false" ht="27.75" hidden="false" customHeight="true" outlineLevel="0" collapsed="false">
      <c r="A9" s="82" t="s">
        <v>566</v>
      </c>
      <c r="B9" s="89" t="s">
        <v>722</v>
      </c>
      <c r="C9" s="89"/>
      <c r="D9" s="89"/>
      <c r="E9" s="89"/>
      <c r="F9" s="89"/>
    </row>
    <row r="10" customFormat="false" ht="27.75" hidden="false" customHeight="true" outlineLevel="0" collapsed="false">
      <c r="A10" s="82" t="s">
        <v>568</v>
      </c>
      <c r="B10" s="89" t="s">
        <v>763</v>
      </c>
      <c r="C10" s="89"/>
      <c r="D10" s="89"/>
      <c r="E10" s="89"/>
      <c r="F10" s="89"/>
    </row>
    <row r="11" customFormat="false" ht="27.75" hidden="false" customHeight="true" outlineLevel="0" collapsed="false">
      <c r="A11" s="82" t="s">
        <v>570</v>
      </c>
      <c r="B11" s="89" t="s">
        <v>761</v>
      </c>
      <c r="C11" s="89"/>
      <c r="D11" s="89"/>
      <c r="E11" s="89"/>
      <c r="F11" s="89"/>
    </row>
    <row r="12" customFormat="false" ht="27.75" hidden="false" customHeight="true" outlineLevel="0" collapsed="false">
      <c r="A12" s="82" t="s">
        <v>571</v>
      </c>
      <c r="B12" s="89" t="s">
        <v>761</v>
      </c>
      <c r="C12" s="89"/>
      <c r="D12" s="89"/>
      <c r="E12" s="89"/>
      <c r="F12" s="89"/>
    </row>
    <row r="13" customFormat="false" ht="27.75" hidden="false" customHeight="true" outlineLevel="0" collapsed="false">
      <c r="A13" s="82" t="s">
        <v>572</v>
      </c>
      <c r="B13" s="89" t="s">
        <v>551</v>
      </c>
      <c r="C13" s="89"/>
      <c r="D13" s="89"/>
      <c r="E13" s="89"/>
      <c r="F13" s="89"/>
    </row>
    <row r="14" customFormat="false" ht="27.75" hidden="false" customHeight="true" outlineLevel="0" collapsed="false">
      <c r="A14" s="82" t="s">
        <v>573</v>
      </c>
      <c r="B14" s="89" t="s">
        <v>550</v>
      </c>
      <c r="C14" s="89"/>
      <c r="D14" s="89"/>
      <c r="E14" s="89"/>
      <c r="F14" s="89"/>
    </row>
    <row r="16" customFormat="false" ht="15" hidden="false" customHeight="true" outlineLevel="0" collapsed="false">
      <c r="A16" s="48" t="s">
        <v>574</v>
      </c>
    </row>
    <row r="17" customFormat="false" ht="15" hidden="false" customHeight="true" outlineLevel="0" collapsed="false">
      <c r="A17" s="31" t="s">
        <v>211</v>
      </c>
      <c r="B17" s="31" t="s">
        <v>575</v>
      </c>
      <c r="C17" s="31" t="s">
        <v>576</v>
      </c>
      <c r="D17" s="31" t="s">
        <v>577</v>
      </c>
      <c r="E17" s="31" t="s">
        <v>578</v>
      </c>
    </row>
    <row r="18" customFormat="false" ht="30" hidden="false" customHeight="true" outlineLevel="0" collapsed="false">
      <c r="A18" s="74" t="s">
        <v>408</v>
      </c>
      <c r="B18" s="36" t="s">
        <v>409</v>
      </c>
      <c r="C18" s="36" t="s">
        <v>312</v>
      </c>
      <c r="D18" s="36" t="s">
        <v>218</v>
      </c>
      <c r="E18" s="36" t="s">
        <v>579</v>
      </c>
    </row>
    <row r="19" customFormat="false" ht="30" hidden="false" customHeight="true" outlineLevel="0" collapsed="false">
      <c r="A19" s="74" t="s">
        <v>411</v>
      </c>
      <c r="B19" s="36" t="s">
        <v>412</v>
      </c>
      <c r="C19" s="36" t="s">
        <v>368</v>
      </c>
      <c r="D19" s="36" t="s">
        <v>218</v>
      </c>
      <c r="E19" s="36" t="s">
        <v>579</v>
      </c>
    </row>
    <row r="20" customFormat="false" ht="30" hidden="false" customHeight="true" outlineLevel="0" collapsed="false">
      <c r="A20" s="74" t="s">
        <v>413</v>
      </c>
      <c r="B20" s="36" t="s">
        <v>414</v>
      </c>
      <c r="C20" s="36" t="s">
        <v>247</v>
      </c>
      <c r="D20" s="36" t="s">
        <v>218</v>
      </c>
      <c r="E20" s="36" t="s">
        <v>579</v>
      </c>
    </row>
    <row r="21" customFormat="false" ht="30" hidden="false" customHeight="true" outlineLevel="0" collapsed="false">
      <c r="A21" s="74" t="s">
        <v>415</v>
      </c>
      <c r="B21" s="36" t="s">
        <v>416</v>
      </c>
      <c r="C21" s="36" t="s">
        <v>247</v>
      </c>
      <c r="D21" s="36" t="s">
        <v>218</v>
      </c>
      <c r="E21" s="36" t="s">
        <v>579</v>
      </c>
    </row>
    <row r="22" customFormat="false" ht="30" hidden="false" customHeight="true" outlineLevel="0" collapsed="false">
      <c r="A22" s="74" t="s">
        <v>417</v>
      </c>
      <c r="B22" s="36" t="s">
        <v>418</v>
      </c>
      <c r="C22" s="36" t="s">
        <v>368</v>
      </c>
      <c r="D22" s="36" t="s">
        <v>218</v>
      </c>
      <c r="E22" s="36" t="s">
        <v>579</v>
      </c>
    </row>
    <row r="23" customFormat="false" ht="30" hidden="false" customHeight="true" outlineLevel="0" collapsed="false">
      <c r="A23" s="74" t="s">
        <v>419</v>
      </c>
      <c r="B23" s="36" t="s">
        <v>420</v>
      </c>
      <c r="C23" s="36" t="s">
        <v>368</v>
      </c>
      <c r="D23" s="36" t="s">
        <v>218</v>
      </c>
      <c r="E23" s="36" t="s">
        <v>579</v>
      </c>
    </row>
    <row r="24" customFormat="false" ht="30" hidden="false" customHeight="true" outlineLevel="0" collapsed="false">
      <c r="A24" s="74" t="s">
        <v>454</v>
      </c>
      <c r="B24" s="36" t="s">
        <v>455</v>
      </c>
      <c r="C24" s="36" t="s">
        <v>290</v>
      </c>
      <c r="D24" s="36" t="s">
        <v>218</v>
      </c>
      <c r="E24" s="36" t="s">
        <v>579</v>
      </c>
    </row>
    <row r="25" customFormat="false" ht="30" hidden="false" customHeight="true" outlineLevel="0" collapsed="false">
      <c r="A25" s="74" t="s">
        <v>456</v>
      </c>
      <c r="B25" s="36" t="s">
        <v>457</v>
      </c>
      <c r="C25" s="36" t="s">
        <v>252</v>
      </c>
      <c r="D25" s="36" t="s">
        <v>218</v>
      </c>
      <c r="E25" s="36" t="s">
        <v>579</v>
      </c>
    </row>
    <row r="26" customFormat="false" ht="30" hidden="false" customHeight="true" outlineLevel="0" collapsed="false">
      <c r="A26" s="74" t="s">
        <v>458</v>
      </c>
      <c r="B26" s="36" t="s">
        <v>459</v>
      </c>
      <c r="C26" s="36" t="s">
        <v>460</v>
      </c>
      <c r="D26" s="36" t="s">
        <v>218</v>
      </c>
      <c r="E26" s="36" t="s">
        <v>579</v>
      </c>
    </row>
    <row r="27" customFormat="false" ht="30" hidden="false" customHeight="true" outlineLevel="0" collapsed="false">
      <c r="A27" s="74" t="s">
        <v>473</v>
      </c>
      <c r="B27" s="36" t="s">
        <v>474</v>
      </c>
      <c r="C27" s="36" t="s">
        <v>290</v>
      </c>
      <c r="D27" s="36" t="s">
        <v>218</v>
      </c>
      <c r="E27" s="36" t="s">
        <v>579</v>
      </c>
    </row>
    <row r="28" customFormat="false" ht="30" hidden="false" customHeight="true" outlineLevel="0" collapsed="false">
      <c r="A28" s="74" t="s">
        <v>475</v>
      </c>
      <c r="B28" s="36" t="s">
        <v>476</v>
      </c>
      <c r="C28" s="36" t="s">
        <v>290</v>
      </c>
      <c r="D28" s="36" t="s">
        <v>218</v>
      </c>
      <c r="E28" s="36" t="s">
        <v>579</v>
      </c>
    </row>
    <row r="29" customFormat="false" ht="30" hidden="false" customHeight="true" outlineLevel="0" collapsed="false">
      <c r="A29" s="74" t="s">
        <v>477</v>
      </c>
      <c r="B29" s="36" t="s">
        <v>478</v>
      </c>
      <c r="C29" s="36" t="s">
        <v>290</v>
      </c>
      <c r="D29" s="36" t="s">
        <v>218</v>
      </c>
      <c r="E29" s="36" t="s">
        <v>579</v>
      </c>
    </row>
    <row r="31" customFormat="false" ht="15" hidden="false" customHeight="true" outlineLevel="0" collapsed="false">
      <c r="A31" s="48" t="s">
        <v>580</v>
      </c>
    </row>
    <row r="32" customFormat="false" ht="15" hidden="false" customHeight="true" outlineLevel="0" collapsed="false">
      <c r="A32" s="99" t="s">
        <v>764</v>
      </c>
      <c r="B32" s="99"/>
      <c r="C32" s="99"/>
      <c r="D32" s="99"/>
      <c r="E32" s="99"/>
      <c r="F32" s="99"/>
    </row>
    <row r="33" customFormat="false" ht="27.75" hidden="false" customHeight="true" outlineLevel="0" collapsed="false">
      <c r="A33" s="82" t="s">
        <v>582</v>
      </c>
      <c r="B33" s="89" t="s">
        <v>583</v>
      </c>
      <c r="C33" s="89"/>
      <c r="D33" s="89"/>
      <c r="E33" s="89"/>
      <c r="F33" s="89"/>
    </row>
    <row r="34" customFormat="false" ht="27.75" hidden="false" customHeight="true" outlineLevel="0" collapsed="false">
      <c r="A34" s="82" t="s">
        <v>584</v>
      </c>
      <c r="B34" s="89" t="s">
        <v>765</v>
      </c>
      <c r="C34" s="89"/>
      <c r="D34" s="89"/>
      <c r="E34" s="89"/>
      <c r="F34" s="89"/>
    </row>
    <row r="35" customFormat="false" ht="27.75" hidden="false" customHeight="true" outlineLevel="0" collapsed="false">
      <c r="A35" s="82" t="s">
        <v>586</v>
      </c>
      <c r="B35" s="89" t="s">
        <v>587</v>
      </c>
      <c r="C35" s="89"/>
      <c r="D35" s="89"/>
      <c r="E35" s="89"/>
      <c r="F35" s="89"/>
    </row>
    <row r="36" customFormat="false" ht="27.75" hidden="false" customHeight="true" outlineLevel="0" collapsed="false">
      <c r="A36" s="82" t="s">
        <v>588</v>
      </c>
      <c r="B36" s="89" t="s">
        <v>589</v>
      </c>
      <c r="C36" s="89"/>
      <c r="D36" s="89"/>
      <c r="E36" s="89"/>
      <c r="F36" s="89"/>
    </row>
    <row r="37" customFormat="false" ht="39.75" hidden="false" customHeight="true" outlineLevel="0" collapsed="false">
      <c r="A37" s="91" t="s">
        <v>590</v>
      </c>
      <c r="B37" s="92" t="s">
        <v>766</v>
      </c>
      <c r="C37" s="92"/>
      <c r="D37" s="92"/>
      <c r="E37" s="92"/>
      <c r="F37" s="92"/>
    </row>
    <row r="38" customFormat="false" ht="39.75" hidden="false" customHeight="true" outlineLevel="0" collapsed="false">
      <c r="A38" s="91" t="s">
        <v>592</v>
      </c>
      <c r="B38" s="92" t="s">
        <v>593</v>
      </c>
      <c r="C38" s="92"/>
      <c r="D38" s="92"/>
      <c r="E38" s="92"/>
      <c r="F38" s="92"/>
    </row>
    <row r="39" customFormat="false" ht="15" hidden="false" customHeight="true" outlineLevel="0" collapsed="false">
      <c r="A39" s="93" t="s">
        <v>594</v>
      </c>
      <c r="B39" s="94" t="s">
        <v>595</v>
      </c>
      <c r="C39" s="95" t="s">
        <v>596</v>
      </c>
      <c r="D39" s="95"/>
      <c r="E39" s="95"/>
      <c r="F39" s="95"/>
    </row>
    <row r="41" customFormat="false" ht="15" hidden="false" customHeight="true" outlineLevel="0" collapsed="false">
      <c r="A41" s="99" t="s">
        <v>767</v>
      </c>
      <c r="B41" s="99"/>
      <c r="C41" s="99"/>
      <c r="D41" s="99"/>
      <c r="E41" s="99"/>
      <c r="F41" s="99"/>
    </row>
    <row r="42" customFormat="false" ht="27.75" hidden="false" customHeight="true" outlineLevel="0" collapsed="false">
      <c r="A42" s="82" t="s">
        <v>582</v>
      </c>
      <c r="B42" s="89" t="s">
        <v>583</v>
      </c>
      <c r="C42" s="89"/>
      <c r="D42" s="89"/>
      <c r="E42" s="89"/>
      <c r="F42" s="89"/>
    </row>
    <row r="43" customFormat="false" ht="27.75" hidden="false" customHeight="true" outlineLevel="0" collapsed="false">
      <c r="A43" s="82" t="s">
        <v>584</v>
      </c>
      <c r="B43" s="89" t="s">
        <v>765</v>
      </c>
      <c r="C43" s="89"/>
      <c r="D43" s="89"/>
      <c r="E43" s="89"/>
      <c r="F43" s="89"/>
    </row>
    <row r="44" customFormat="false" ht="27.75" hidden="false" customHeight="true" outlineLevel="0" collapsed="false">
      <c r="A44" s="82" t="s">
        <v>586</v>
      </c>
      <c r="B44" s="89" t="s">
        <v>587</v>
      </c>
      <c r="C44" s="89"/>
      <c r="D44" s="89"/>
      <c r="E44" s="89"/>
      <c r="F44" s="89"/>
    </row>
    <row r="45" customFormat="false" ht="27.75" hidden="false" customHeight="true" outlineLevel="0" collapsed="false">
      <c r="A45" s="82" t="s">
        <v>588</v>
      </c>
      <c r="B45" s="89" t="s">
        <v>589</v>
      </c>
      <c r="C45" s="89"/>
      <c r="D45" s="89"/>
      <c r="E45" s="89"/>
      <c r="F45" s="89"/>
    </row>
    <row r="46" customFormat="false" ht="39.75" hidden="false" customHeight="true" outlineLevel="0" collapsed="false">
      <c r="A46" s="91" t="s">
        <v>590</v>
      </c>
      <c r="B46" s="92" t="s">
        <v>768</v>
      </c>
      <c r="C46" s="92"/>
      <c r="D46" s="92"/>
      <c r="E46" s="92"/>
      <c r="F46" s="92"/>
    </row>
    <row r="47" customFormat="false" ht="39.75" hidden="false" customHeight="true" outlineLevel="0" collapsed="false">
      <c r="A47" s="91" t="s">
        <v>592</v>
      </c>
      <c r="B47" s="92" t="s">
        <v>593</v>
      </c>
      <c r="C47" s="92"/>
      <c r="D47" s="92"/>
      <c r="E47" s="92"/>
      <c r="F47" s="92"/>
    </row>
    <row r="48" customFormat="false" ht="15" hidden="false" customHeight="true" outlineLevel="0" collapsed="false">
      <c r="A48" s="93" t="s">
        <v>594</v>
      </c>
      <c r="B48" s="94" t="s">
        <v>595</v>
      </c>
      <c r="C48" s="95" t="s">
        <v>596</v>
      </c>
      <c r="D48" s="95"/>
      <c r="E48" s="95"/>
      <c r="F48" s="95"/>
    </row>
    <row r="50" customFormat="false" ht="15" hidden="false" customHeight="true" outlineLevel="0" collapsed="false">
      <c r="A50" s="99" t="s">
        <v>769</v>
      </c>
      <c r="B50" s="99"/>
      <c r="C50" s="99"/>
      <c r="D50" s="99"/>
      <c r="E50" s="99"/>
      <c r="F50" s="99"/>
    </row>
    <row r="51" customFormat="false" ht="27.75" hidden="false" customHeight="true" outlineLevel="0" collapsed="false">
      <c r="A51" s="82" t="s">
        <v>582</v>
      </c>
      <c r="B51" s="89" t="s">
        <v>583</v>
      </c>
      <c r="C51" s="89"/>
      <c r="D51" s="89"/>
      <c r="E51" s="89"/>
      <c r="F51" s="89"/>
    </row>
    <row r="52" customFormat="false" ht="27.75" hidden="false" customHeight="true" outlineLevel="0" collapsed="false">
      <c r="A52" s="82" t="s">
        <v>584</v>
      </c>
      <c r="B52" s="89" t="s">
        <v>765</v>
      </c>
      <c r="C52" s="89"/>
      <c r="D52" s="89"/>
      <c r="E52" s="89"/>
      <c r="F52" s="89"/>
    </row>
    <row r="53" customFormat="false" ht="27.75" hidden="false" customHeight="true" outlineLevel="0" collapsed="false">
      <c r="A53" s="82" t="s">
        <v>586</v>
      </c>
      <c r="B53" s="89" t="s">
        <v>587</v>
      </c>
      <c r="C53" s="89"/>
      <c r="D53" s="89"/>
      <c r="E53" s="89"/>
      <c r="F53" s="89"/>
    </row>
    <row r="54" customFormat="false" ht="27.75" hidden="false" customHeight="true" outlineLevel="0" collapsed="false">
      <c r="A54" s="82" t="s">
        <v>588</v>
      </c>
      <c r="B54" s="89" t="s">
        <v>589</v>
      </c>
      <c r="C54" s="89"/>
      <c r="D54" s="89"/>
      <c r="E54" s="89"/>
      <c r="F54" s="89"/>
    </row>
    <row r="55" customFormat="false" ht="39.75" hidden="false" customHeight="true" outlineLevel="0" collapsed="false">
      <c r="A55" s="91" t="s">
        <v>590</v>
      </c>
      <c r="B55" s="92" t="s">
        <v>770</v>
      </c>
      <c r="C55" s="92"/>
      <c r="D55" s="92"/>
      <c r="E55" s="92"/>
      <c r="F55" s="92"/>
    </row>
    <row r="56" customFormat="false" ht="39.75" hidden="false" customHeight="true" outlineLevel="0" collapsed="false">
      <c r="A56" s="91" t="s">
        <v>592</v>
      </c>
      <c r="B56" s="92" t="s">
        <v>593</v>
      </c>
      <c r="C56" s="92"/>
      <c r="D56" s="92"/>
      <c r="E56" s="92"/>
      <c r="F56" s="92"/>
    </row>
    <row r="57" customFormat="false" ht="15" hidden="false" customHeight="true" outlineLevel="0" collapsed="false">
      <c r="A57" s="93" t="s">
        <v>594</v>
      </c>
      <c r="B57" s="94" t="s">
        <v>595</v>
      </c>
      <c r="C57" s="95" t="s">
        <v>596</v>
      </c>
      <c r="D57" s="95"/>
      <c r="E57" s="95"/>
      <c r="F57" s="95"/>
    </row>
    <row r="59" customFormat="false" ht="15" hidden="false" customHeight="true" outlineLevel="0" collapsed="false">
      <c r="A59" s="99" t="s">
        <v>771</v>
      </c>
      <c r="B59" s="99"/>
      <c r="C59" s="99"/>
      <c r="D59" s="99"/>
      <c r="E59" s="99"/>
      <c r="F59" s="99"/>
    </row>
    <row r="60" customFormat="false" ht="27.75" hidden="false" customHeight="true" outlineLevel="0" collapsed="false">
      <c r="A60" s="82" t="s">
        <v>582</v>
      </c>
      <c r="B60" s="89" t="s">
        <v>583</v>
      </c>
      <c r="C60" s="89"/>
      <c r="D60" s="89"/>
      <c r="E60" s="89"/>
      <c r="F60" s="89"/>
    </row>
    <row r="61" customFormat="false" ht="27.75" hidden="false" customHeight="true" outlineLevel="0" collapsed="false">
      <c r="A61" s="82" t="s">
        <v>584</v>
      </c>
      <c r="B61" s="89" t="s">
        <v>765</v>
      </c>
      <c r="C61" s="89"/>
      <c r="D61" s="89"/>
      <c r="E61" s="89"/>
      <c r="F61" s="89"/>
    </row>
    <row r="62" customFormat="false" ht="27.75" hidden="false" customHeight="true" outlineLevel="0" collapsed="false">
      <c r="A62" s="82" t="s">
        <v>586</v>
      </c>
      <c r="B62" s="89" t="s">
        <v>587</v>
      </c>
      <c r="C62" s="89"/>
      <c r="D62" s="89"/>
      <c r="E62" s="89"/>
      <c r="F62" s="89"/>
    </row>
    <row r="63" customFormat="false" ht="27.75" hidden="false" customHeight="true" outlineLevel="0" collapsed="false">
      <c r="A63" s="82" t="s">
        <v>588</v>
      </c>
      <c r="B63" s="89" t="s">
        <v>589</v>
      </c>
      <c r="C63" s="89"/>
      <c r="D63" s="89"/>
      <c r="E63" s="89"/>
      <c r="F63" s="89"/>
    </row>
    <row r="64" customFormat="false" ht="39.75" hidden="false" customHeight="true" outlineLevel="0" collapsed="false">
      <c r="A64" s="91" t="s">
        <v>590</v>
      </c>
      <c r="B64" s="92" t="s">
        <v>772</v>
      </c>
      <c r="C64" s="92"/>
      <c r="D64" s="92"/>
      <c r="E64" s="92"/>
      <c r="F64" s="92"/>
    </row>
    <row r="65" customFormat="false" ht="39.75" hidden="false" customHeight="true" outlineLevel="0" collapsed="false">
      <c r="A65" s="91" t="s">
        <v>592</v>
      </c>
      <c r="B65" s="92" t="s">
        <v>593</v>
      </c>
      <c r="C65" s="92"/>
      <c r="D65" s="92"/>
      <c r="E65" s="92"/>
      <c r="F65" s="92"/>
    </row>
    <row r="66" customFormat="false" ht="15" hidden="false" customHeight="true" outlineLevel="0" collapsed="false">
      <c r="A66" s="93" t="s">
        <v>594</v>
      </c>
      <c r="B66" s="94" t="s">
        <v>595</v>
      </c>
      <c r="C66" s="95" t="s">
        <v>596</v>
      </c>
      <c r="D66" s="95"/>
      <c r="E66" s="95"/>
      <c r="F66" s="95"/>
    </row>
    <row r="68" customFormat="false" ht="15" hidden="false" customHeight="true" outlineLevel="0" collapsed="false">
      <c r="A68" s="99" t="s">
        <v>773</v>
      </c>
      <c r="B68" s="99"/>
      <c r="C68" s="99"/>
      <c r="D68" s="99"/>
      <c r="E68" s="99"/>
      <c r="F68" s="99"/>
    </row>
    <row r="69" customFormat="false" ht="27.75" hidden="false" customHeight="true" outlineLevel="0" collapsed="false">
      <c r="A69" s="82" t="s">
        <v>582</v>
      </c>
      <c r="B69" s="89" t="s">
        <v>583</v>
      </c>
      <c r="C69" s="89"/>
      <c r="D69" s="89"/>
      <c r="E69" s="89"/>
      <c r="F69" s="89"/>
    </row>
    <row r="70" customFormat="false" ht="27.75" hidden="false" customHeight="true" outlineLevel="0" collapsed="false">
      <c r="A70" s="82" t="s">
        <v>584</v>
      </c>
      <c r="B70" s="89" t="s">
        <v>765</v>
      </c>
      <c r="C70" s="89"/>
      <c r="D70" s="89"/>
      <c r="E70" s="89"/>
      <c r="F70" s="89"/>
    </row>
    <row r="71" customFormat="false" ht="27.75" hidden="false" customHeight="true" outlineLevel="0" collapsed="false">
      <c r="A71" s="82" t="s">
        <v>586</v>
      </c>
      <c r="B71" s="89" t="s">
        <v>587</v>
      </c>
      <c r="C71" s="89"/>
      <c r="D71" s="89"/>
      <c r="E71" s="89"/>
      <c r="F71" s="89"/>
    </row>
    <row r="72" customFormat="false" ht="27.75" hidden="false" customHeight="true" outlineLevel="0" collapsed="false">
      <c r="A72" s="82" t="s">
        <v>588</v>
      </c>
      <c r="B72" s="89" t="s">
        <v>589</v>
      </c>
      <c r="C72" s="89"/>
      <c r="D72" s="89"/>
      <c r="E72" s="89"/>
      <c r="F72" s="89"/>
    </row>
    <row r="73" customFormat="false" ht="39.75" hidden="false" customHeight="true" outlineLevel="0" collapsed="false">
      <c r="A73" s="91" t="s">
        <v>590</v>
      </c>
      <c r="B73" s="92" t="s">
        <v>774</v>
      </c>
      <c r="C73" s="92"/>
      <c r="D73" s="92"/>
      <c r="E73" s="92"/>
      <c r="F73" s="92"/>
    </row>
    <row r="74" customFormat="false" ht="39.75" hidden="false" customHeight="true" outlineLevel="0" collapsed="false">
      <c r="A74" s="91" t="s">
        <v>592</v>
      </c>
      <c r="B74" s="92" t="s">
        <v>593</v>
      </c>
      <c r="C74" s="92"/>
      <c r="D74" s="92"/>
      <c r="E74" s="92"/>
      <c r="F74" s="92"/>
    </row>
    <row r="75" customFormat="false" ht="15" hidden="false" customHeight="true" outlineLevel="0" collapsed="false">
      <c r="A75" s="93" t="s">
        <v>594</v>
      </c>
      <c r="B75" s="94" t="s">
        <v>595</v>
      </c>
      <c r="C75" s="95" t="s">
        <v>596</v>
      </c>
      <c r="D75" s="95"/>
      <c r="E75" s="95"/>
      <c r="F75" s="95"/>
    </row>
    <row r="77" customFormat="false" ht="15" hidden="false" customHeight="true" outlineLevel="0" collapsed="false">
      <c r="A77" s="99" t="s">
        <v>775</v>
      </c>
      <c r="B77" s="99"/>
      <c r="C77" s="99"/>
      <c r="D77" s="99"/>
      <c r="E77" s="99"/>
      <c r="F77" s="99"/>
    </row>
    <row r="78" customFormat="false" ht="27.75" hidden="false" customHeight="true" outlineLevel="0" collapsed="false">
      <c r="A78" s="82" t="s">
        <v>582</v>
      </c>
      <c r="B78" s="89" t="s">
        <v>583</v>
      </c>
      <c r="C78" s="89"/>
      <c r="D78" s="89"/>
      <c r="E78" s="89"/>
      <c r="F78" s="89"/>
    </row>
    <row r="79" customFormat="false" ht="27.75" hidden="false" customHeight="true" outlineLevel="0" collapsed="false">
      <c r="A79" s="82" t="s">
        <v>584</v>
      </c>
      <c r="B79" s="89" t="s">
        <v>765</v>
      </c>
      <c r="C79" s="89"/>
      <c r="D79" s="89"/>
      <c r="E79" s="89"/>
      <c r="F79" s="89"/>
    </row>
    <row r="80" customFormat="false" ht="27.75" hidden="false" customHeight="true" outlineLevel="0" collapsed="false">
      <c r="A80" s="82" t="s">
        <v>586</v>
      </c>
      <c r="B80" s="89" t="s">
        <v>587</v>
      </c>
      <c r="C80" s="89"/>
      <c r="D80" s="89"/>
      <c r="E80" s="89"/>
      <c r="F80" s="89"/>
    </row>
    <row r="81" customFormat="false" ht="27.75" hidden="false" customHeight="true" outlineLevel="0" collapsed="false">
      <c r="A81" s="82" t="s">
        <v>588</v>
      </c>
      <c r="B81" s="89" t="s">
        <v>589</v>
      </c>
      <c r="C81" s="89"/>
      <c r="D81" s="89"/>
      <c r="E81" s="89"/>
      <c r="F81" s="89"/>
    </row>
    <row r="82" customFormat="false" ht="39.75" hidden="false" customHeight="true" outlineLevel="0" collapsed="false">
      <c r="A82" s="91" t="s">
        <v>590</v>
      </c>
      <c r="B82" s="92" t="s">
        <v>776</v>
      </c>
      <c r="C82" s="92"/>
      <c r="D82" s="92"/>
      <c r="E82" s="92"/>
      <c r="F82" s="92"/>
    </row>
    <row r="83" customFormat="false" ht="39.75" hidden="false" customHeight="true" outlineLevel="0" collapsed="false">
      <c r="A83" s="91" t="s">
        <v>592</v>
      </c>
      <c r="B83" s="92" t="s">
        <v>593</v>
      </c>
      <c r="C83" s="92"/>
      <c r="D83" s="92"/>
      <c r="E83" s="92"/>
      <c r="F83" s="92"/>
    </row>
    <row r="84" customFormat="false" ht="15" hidden="false" customHeight="true" outlineLevel="0" collapsed="false">
      <c r="A84" s="93" t="s">
        <v>594</v>
      </c>
      <c r="B84" s="94" t="s">
        <v>595</v>
      </c>
      <c r="C84" s="95" t="s">
        <v>596</v>
      </c>
      <c r="D84" s="95"/>
      <c r="E84" s="95"/>
      <c r="F84" s="95"/>
    </row>
  </sheetData>
  <mergeCells count="61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32:F32"/>
    <mergeCell ref="B33:F33"/>
    <mergeCell ref="B34:F34"/>
    <mergeCell ref="B35:F35"/>
    <mergeCell ref="B36:F36"/>
    <mergeCell ref="B37:F37"/>
    <mergeCell ref="B38:F38"/>
    <mergeCell ref="C39:F39"/>
    <mergeCell ref="A41:F41"/>
    <mergeCell ref="B42:F42"/>
    <mergeCell ref="B43:F43"/>
    <mergeCell ref="B44:F44"/>
    <mergeCell ref="B45:F45"/>
    <mergeCell ref="B46:F46"/>
    <mergeCell ref="B47:F47"/>
    <mergeCell ref="C48:F48"/>
    <mergeCell ref="A50:F50"/>
    <mergeCell ref="B51:F51"/>
    <mergeCell ref="B52:F52"/>
    <mergeCell ref="B53:F53"/>
    <mergeCell ref="B54:F54"/>
    <mergeCell ref="B55:F55"/>
    <mergeCell ref="B56:F56"/>
    <mergeCell ref="C57:F57"/>
    <mergeCell ref="A59:F59"/>
    <mergeCell ref="B60:F60"/>
    <mergeCell ref="B61:F61"/>
    <mergeCell ref="B62:F62"/>
    <mergeCell ref="B63:F63"/>
    <mergeCell ref="B64:F64"/>
    <mergeCell ref="B65:F65"/>
    <mergeCell ref="C66:F66"/>
    <mergeCell ref="A68:F68"/>
    <mergeCell ref="B69:F69"/>
    <mergeCell ref="B70:F70"/>
    <mergeCell ref="B71:F71"/>
    <mergeCell ref="B72:F72"/>
    <mergeCell ref="B73:F73"/>
    <mergeCell ref="B74:F74"/>
    <mergeCell ref="C75:F75"/>
    <mergeCell ref="A77:F77"/>
    <mergeCell ref="B78:F78"/>
    <mergeCell ref="B79:F79"/>
    <mergeCell ref="B80:F80"/>
    <mergeCell ref="B81:F81"/>
    <mergeCell ref="B82:F82"/>
    <mergeCell ref="B83:F83"/>
    <mergeCell ref="C84:F84"/>
  </mergeCells>
  <hyperlinks>
    <hyperlink ref="E3" r:id="rId1" location="'🧭%20Progression'!A1" display="◀ Progression"/>
    <hyperlink ref="F3" r:id="rId2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C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3" min="3" style="1" width="60"/>
  </cols>
  <sheetData>
    <row r="1" customFormat="false" ht="15.75" hidden="false" customHeight="true" outlineLevel="0" collapsed="false">
      <c r="A1" s="4" t="s">
        <v>777</v>
      </c>
    </row>
    <row r="2" customFormat="false" ht="39.75" hidden="false" customHeight="true" outlineLevel="0" collapsed="false">
      <c r="A2" s="71" t="s">
        <v>778</v>
      </c>
      <c r="B2" s="71"/>
      <c r="C2" s="71"/>
    </row>
    <row r="4" customFormat="false" ht="15" hidden="false" customHeight="true" outlineLevel="0" collapsed="false">
      <c r="A4" s="100" t="s">
        <v>494</v>
      </c>
      <c r="B4" s="100" t="s">
        <v>779</v>
      </c>
    </row>
    <row r="5" customFormat="false" ht="15" hidden="false" customHeight="true" outlineLevel="0" collapsed="false">
      <c r="A5" s="101" t="n">
        <v>1</v>
      </c>
      <c r="B5" s="101" t="s">
        <v>780</v>
      </c>
    </row>
    <row r="6" customFormat="false" ht="15" hidden="false" customHeight="true" outlineLevel="0" collapsed="false">
      <c r="A6" s="101" t="n">
        <v>2</v>
      </c>
      <c r="B6" s="101" t="s">
        <v>781</v>
      </c>
    </row>
    <row r="7" customFormat="false" ht="15" hidden="false" customHeight="true" outlineLevel="0" collapsed="false">
      <c r="A7" s="101" t="n">
        <v>3</v>
      </c>
      <c r="B7" s="101" t="s">
        <v>782</v>
      </c>
    </row>
    <row r="8" customFormat="false" ht="15" hidden="false" customHeight="true" outlineLevel="0" collapsed="false">
      <c r="A8" s="101" t="n">
        <v>4</v>
      </c>
      <c r="B8" s="101" t="s">
        <v>783</v>
      </c>
    </row>
    <row r="9" customFormat="false" ht="15" hidden="false" customHeight="true" outlineLevel="0" collapsed="false">
      <c r="A9" s="101" t="n">
        <v>5</v>
      </c>
      <c r="B9" s="101" t="s">
        <v>784</v>
      </c>
    </row>
    <row r="10" customFormat="false" ht="15" hidden="false" customHeight="true" outlineLevel="0" collapsed="false">
      <c r="A10" s="101" t="n">
        <v>6</v>
      </c>
      <c r="B10" s="101" t="s">
        <v>785</v>
      </c>
    </row>
    <row r="11" customFormat="false" ht="15" hidden="false" customHeight="true" outlineLevel="0" collapsed="false">
      <c r="A11" s="101" t="n">
        <v>7</v>
      </c>
      <c r="B11" s="101" t="s">
        <v>786</v>
      </c>
    </row>
    <row r="12" customFormat="false" ht="15" hidden="false" customHeight="true" outlineLevel="0" collapsed="false">
      <c r="A12" s="102" t="n">
        <v>8</v>
      </c>
      <c r="B12" s="102" t="s">
        <v>787</v>
      </c>
    </row>
    <row r="13" customFormat="false" ht="15" hidden="false" customHeight="true" outlineLevel="0" collapsed="false">
      <c r="A13" s="101" t="n">
        <v>9</v>
      </c>
      <c r="B13" s="101" t="s">
        <v>788</v>
      </c>
    </row>
    <row r="14" customFormat="false" ht="15" hidden="false" customHeight="true" outlineLevel="0" collapsed="false">
      <c r="A14" s="101" t="n">
        <v>10</v>
      </c>
      <c r="B14" s="101" t="s">
        <v>789</v>
      </c>
    </row>
    <row r="15" customFormat="false" ht="15" hidden="false" customHeight="true" outlineLevel="0" collapsed="false">
      <c r="A15" s="101" t="n">
        <v>11</v>
      </c>
      <c r="B15" s="101" t="s">
        <v>790</v>
      </c>
    </row>
    <row r="16" customFormat="false" ht="15" hidden="false" customHeight="true" outlineLevel="0" collapsed="false">
      <c r="A16" s="101" t="n">
        <v>12</v>
      </c>
      <c r="B16" s="101" t="s">
        <v>791</v>
      </c>
    </row>
    <row r="17" customFormat="false" ht="15" hidden="false" customHeight="true" outlineLevel="0" collapsed="false">
      <c r="A17" s="101" t="n">
        <v>13</v>
      </c>
      <c r="B17" s="101" t="s">
        <v>792</v>
      </c>
    </row>
    <row r="18" customFormat="false" ht="15" hidden="false" customHeight="true" outlineLevel="0" collapsed="false">
      <c r="A18" s="101" t="n">
        <v>14</v>
      </c>
      <c r="B18" s="101" t="s">
        <v>793</v>
      </c>
    </row>
    <row r="19" customFormat="false" ht="15" hidden="false" customHeight="true" outlineLevel="0" collapsed="false">
      <c r="A19" s="102" t="n">
        <v>15</v>
      </c>
      <c r="B19" s="102" t="s">
        <v>794</v>
      </c>
    </row>
    <row r="20" customFormat="false" ht="15" hidden="false" customHeight="true" outlineLevel="0" collapsed="false">
      <c r="A20" s="101" t="n">
        <v>16</v>
      </c>
      <c r="B20" s="101" t="s">
        <v>795</v>
      </c>
    </row>
    <row r="21" customFormat="false" ht="15" hidden="false" customHeight="true" outlineLevel="0" collapsed="false">
      <c r="A21" s="101" t="n">
        <v>17</v>
      </c>
      <c r="B21" s="101" t="s">
        <v>796</v>
      </c>
    </row>
    <row r="22" customFormat="false" ht="15" hidden="false" customHeight="true" outlineLevel="0" collapsed="false">
      <c r="A22" s="101" t="n">
        <v>18</v>
      </c>
      <c r="B22" s="101" t="s">
        <v>797</v>
      </c>
    </row>
    <row r="23" customFormat="false" ht="15" hidden="false" customHeight="true" outlineLevel="0" collapsed="false">
      <c r="A23" s="101" t="n">
        <v>19</v>
      </c>
      <c r="B23" s="101" t="s">
        <v>798</v>
      </c>
    </row>
    <row r="24" customFormat="false" ht="15" hidden="false" customHeight="true" outlineLevel="0" collapsed="false">
      <c r="A24" s="102" t="n">
        <v>20</v>
      </c>
      <c r="B24" s="102" t="s">
        <v>799</v>
      </c>
    </row>
    <row r="25" customFormat="false" ht="15" hidden="false" customHeight="true" outlineLevel="0" collapsed="false">
      <c r="A25" s="101" t="n">
        <v>21</v>
      </c>
      <c r="B25" s="101" t="s">
        <v>800</v>
      </c>
    </row>
    <row r="26" customFormat="false" ht="15" hidden="false" customHeight="true" outlineLevel="0" collapsed="false">
      <c r="A26" s="101" t="n">
        <v>22</v>
      </c>
      <c r="B26" s="101" t="s">
        <v>801</v>
      </c>
    </row>
    <row r="27" customFormat="false" ht="15" hidden="false" customHeight="true" outlineLevel="0" collapsed="false">
      <c r="A27" s="101" t="n">
        <v>23</v>
      </c>
      <c r="B27" s="101" t="s">
        <v>802</v>
      </c>
    </row>
    <row r="28" customFormat="false" ht="15" hidden="false" customHeight="true" outlineLevel="0" collapsed="false">
      <c r="A28" s="101" t="n">
        <v>24</v>
      </c>
      <c r="B28" s="101" t="s">
        <v>803</v>
      </c>
    </row>
    <row r="29" customFormat="false" ht="15" hidden="false" customHeight="true" outlineLevel="0" collapsed="false">
      <c r="A29" s="101" t="n">
        <v>25</v>
      </c>
      <c r="B29" s="101" t="s">
        <v>804</v>
      </c>
    </row>
    <row r="30" customFormat="false" ht="15" hidden="false" customHeight="true" outlineLevel="0" collapsed="false">
      <c r="A30" s="101" t="n">
        <v>26</v>
      </c>
      <c r="B30" s="101" t="s">
        <v>805</v>
      </c>
    </row>
    <row r="31" customFormat="false" ht="15" hidden="false" customHeight="true" outlineLevel="0" collapsed="false">
      <c r="A31" s="101" t="n">
        <v>27</v>
      </c>
      <c r="B31" s="101" t="s">
        <v>806</v>
      </c>
    </row>
    <row r="32" customFormat="false" ht="15" hidden="false" customHeight="true" outlineLevel="0" collapsed="false">
      <c r="A32" s="102" t="n">
        <v>28</v>
      </c>
      <c r="B32" s="102" t="s">
        <v>807</v>
      </c>
    </row>
    <row r="33" customFormat="false" ht="15" hidden="false" customHeight="true" outlineLevel="0" collapsed="false">
      <c r="A33" s="101" t="n">
        <v>29</v>
      </c>
      <c r="B33" s="101" t="s">
        <v>808</v>
      </c>
    </row>
    <row r="34" customFormat="false" ht="15" hidden="false" customHeight="true" outlineLevel="0" collapsed="false">
      <c r="A34" s="101" t="n">
        <v>30</v>
      </c>
      <c r="B34" s="101" t="s">
        <v>809</v>
      </c>
    </row>
    <row r="35" customFormat="false" ht="15" hidden="false" customHeight="true" outlineLevel="0" collapsed="false">
      <c r="A35" s="101" t="n">
        <v>31</v>
      </c>
      <c r="B35" s="101" t="s">
        <v>810</v>
      </c>
    </row>
    <row r="36" customFormat="false" ht="15" hidden="false" customHeight="true" outlineLevel="0" collapsed="false">
      <c r="A36" s="101" t="n">
        <v>32</v>
      </c>
      <c r="B36" s="101" t="s">
        <v>811</v>
      </c>
    </row>
    <row r="37" customFormat="false" ht="15" hidden="false" customHeight="true" outlineLevel="0" collapsed="false">
      <c r="A37" s="101" t="n">
        <v>33</v>
      </c>
      <c r="B37" s="101" t="s">
        <v>812</v>
      </c>
    </row>
    <row r="38" customFormat="false" ht="15" hidden="false" customHeight="true" outlineLevel="0" collapsed="false">
      <c r="A38" s="102" t="n">
        <v>34</v>
      </c>
      <c r="B38" s="102" t="s">
        <v>813</v>
      </c>
    </row>
    <row r="39" customFormat="false" ht="15" hidden="false" customHeight="true" outlineLevel="0" collapsed="false">
      <c r="A39" s="102" t="n">
        <v>35</v>
      </c>
      <c r="B39" s="102" t="s">
        <v>814</v>
      </c>
    </row>
    <row r="40" customFormat="false" ht="15" hidden="false" customHeight="true" outlineLevel="0" collapsed="false">
      <c r="A40" s="102" t="n">
        <v>36</v>
      </c>
      <c r="B40" s="102" t="s">
        <v>815</v>
      </c>
    </row>
    <row r="41" customFormat="false" ht="15" hidden="false" customHeight="true" outlineLevel="0" collapsed="false">
      <c r="A41" s="102" t="n">
        <v>37</v>
      </c>
      <c r="B41" s="102" t="s">
        <v>816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2026-07-23T02:11:31Z</dcterms:created>
  <dc:creator>openpyxl</dc:creator>
  <dc:description/>
  <dc:language>en-US</dc:language>
  <cp:lastModifiedBy/>
  <dcterms:modified xsi:type="dcterms:W3CDTF">2026-07-23T02:32:03Z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