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🏠 Accueil" sheetId="1" state="visible" r:id="rId1"/>
    <sheet name="📅 Calendrier" sheetId="2" state="visible" r:id="rId2"/>
    <sheet name="🗓 Frise de l'année" sheetId="3" state="visible" r:id="rId3"/>
    <sheet name="📚 Référentiel Cycle 4" sheetId="4" state="visible" r:id="rId4"/>
    <sheet name="📗 Référentiel 5e" sheetId="5" state="visible" r:id="rId5"/>
    <sheet name="🧭 Progression" sheetId="6" state="visible" r:id="rId6"/>
    <sheet name="S1" sheetId="7" state="visible" r:id="rId7"/>
    <sheet name="S2" sheetId="8" state="visible" r:id="rId8"/>
    <sheet name="S3" sheetId="9" state="visible" r:id="rId9"/>
    <sheet name="S4" sheetId="10" state="visible" r:id="rId10"/>
    <sheet name="S5" sheetId="11" state="visible" r:id="rId11"/>
    <sheet name="S6" sheetId="12" state="visible" r:id="rId12"/>
    <sheet name="S7" sheetId="13" state="visible" r:id="rId13"/>
    <sheet name="⚙ Moteur" sheetId="14" state="visible" r:id="rId14"/>
  </sheets>
  <definedNames>
    <definedName name="_xlnm.Print_Area" localSheetId="1">'📅 Calendrier'!$A$1:$F$52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F7A6E"/>
      <sz val="10"/>
    </font>
    <font>
      <name val="Arial"/>
      <charset val="1"/>
      <family val="0"/>
      <b val="1"/>
      <color rgb="FFBF8F00"/>
      <sz val="10"/>
    </font>
    <font>
      <name val="Arial"/>
      <charset val="1"/>
      <family val="0"/>
      <b val="1"/>
      <color rgb="FF808080"/>
      <sz val="10"/>
    </font>
    <font>
      <name val="Arial"/>
      <charset val="1"/>
      <family val="0"/>
      <b val="1"/>
      <color rgb="FF2E75B6"/>
      <sz val="10"/>
    </font>
    <font>
      <name val="Arial"/>
      <charset val="1"/>
      <family val="0"/>
      <b val="1"/>
      <color rgb="FF7030A0"/>
      <sz val="10"/>
    </font>
    <font>
      <name val="Arial"/>
      <charset val="1"/>
      <family val="0"/>
      <b val="1"/>
      <color rgb="FF53813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1F4E79"/>
      <sz val="10"/>
    </font>
    <font>
      <name val="Arial"/>
      <charset val="1"/>
      <family val="0"/>
      <sz val="9.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808080"/>
      <sz val="8"/>
    </font>
    <font>
      <name val="Arial"/>
      <charset val="1"/>
      <family val="0"/>
      <b val="1"/>
      <color rgb="FFC55A11"/>
      <sz val="10"/>
    </font>
    <font>
      <name val="Arial"/>
      <charset val="1"/>
      <family val="0"/>
      <sz val="10"/>
    </font>
    <font>
      <name val="Arial"/>
      <charset val="1"/>
      <family val="0"/>
      <sz val="9"/>
    </font>
    <font>
      <name val="Arial"/>
      <charset val="1"/>
      <family val="0"/>
      <color rgb="FF808080"/>
      <sz val="8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sz val="8"/>
    </font>
    <font>
      <name val="Arial"/>
      <charset val="1"/>
      <family val="0"/>
      <color rgb="FF595959"/>
      <sz val="7"/>
    </font>
    <font>
      <name val="Arial"/>
      <charset val="1"/>
      <family val="0"/>
      <b val="1"/>
      <color rgb="FFFFFFFF"/>
      <sz val="8"/>
    </font>
    <font>
      <name val="Arial"/>
      <charset val="1"/>
      <family val="0"/>
      <sz val="8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C00000"/>
      <sz val="8"/>
    </font>
    <font>
      <name val="Arial"/>
      <charset val="1"/>
      <family val="0"/>
      <b val="1"/>
      <color rgb="FF1F4E79"/>
      <sz val="10.5"/>
    </font>
    <font>
      <name val="Arial"/>
      <charset val="1"/>
      <family val="0"/>
      <i val="1"/>
      <color rgb="FF595959"/>
      <sz val="8"/>
    </font>
    <font>
      <name val="Arial"/>
      <charset val="1"/>
      <family val="0"/>
      <b val="1"/>
      <color rgb="FFC55A11"/>
      <sz val="14"/>
    </font>
    <font>
      <name val="Arial"/>
      <charset val="1"/>
      <family val="0"/>
      <b val="1"/>
      <color rgb="FF2E75B6"/>
      <sz val="14"/>
    </font>
    <font>
      <name val="Arial"/>
      <charset val="1"/>
      <family val="0"/>
      <b val="1"/>
      <color rgb="FF538135"/>
      <sz val="14"/>
    </font>
  </fonts>
  <fills count="19">
    <fill>
      <patternFill/>
    </fill>
    <fill>
      <patternFill patternType="gray125"/>
    </fill>
    <fill>
      <patternFill patternType="solid">
        <fgColor rgb="FF0D2347"/>
        <bgColor rgb="FF333333"/>
      </patternFill>
    </fill>
    <fill>
      <patternFill patternType="solid">
        <fgColor rgb="FF1F7A6E"/>
        <bgColor rgb="FF008080"/>
      </patternFill>
    </fill>
    <fill>
      <patternFill patternType="solid">
        <fgColor rgb="FFBF8F00"/>
        <bgColor rgb="FF808000"/>
      </patternFill>
    </fill>
    <fill>
      <patternFill patternType="solid">
        <fgColor rgb="FF808080"/>
        <bgColor rgb="FF969696"/>
      </patternFill>
    </fill>
    <fill>
      <patternFill patternType="solid">
        <fgColor rgb="FFFAFAFA"/>
        <bgColor rgb="FFFFFFFF"/>
      </patternFill>
    </fill>
    <fill>
      <patternFill patternType="solid">
        <fgColor rgb="FF2E75B6"/>
        <bgColor rgb="FF1F7A6E"/>
      </patternFill>
    </fill>
    <fill>
      <patternFill patternType="solid">
        <fgColor rgb="FF7030A0"/>
        <bgColor rgb="FF993366"/>
      </patternFill>
    </fill>
    <fill>
      <patternFill patternType="solid">
        <fgColor rgb="FF538135"/>
        <bgColor rgb="FF808000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DF2F2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E6DEEF"/>
        <bgColor rgb="FFDDEBF7"/>
      </patternFill>
    </fill>
    <fill>
      <patternFill patternType="solid">
        <fgColor rgb="FFF2F2F2"/>
        <bgColor rgb="FFFD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3" fillId="6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general" vertical="center" indent="1"/>
    </xf>
    <xf numFmtId="0" fontId="15" fillId="0" borderId="0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center" wrapText="1"/>
    </xf>
    <xf numFmtId="0" fontId="14" fillId="8" borderId="0" applyAlignment="1" pivotButton="0" quotePrefix="0" xfId="0">
      <alignment horizontal="general" vertical="center" indent="1"/>
    </xf>
    <xf numFmtId="0" fontId="14" fillId="4" borderId="0" applyAlignment="1" pivotButton="0" quotePrefix="0" xfId="0">
      <alignment horizontal="general" vertical="center" indent="1"/>
    </xf>
    <xf numFmtId="0" fontId="14" fillId="10" borderId="0" applyAlignment="1" pivotButton="0" quotePrefix="0" xfId="0">
      <alignment horizontal="general" vertical="center" indent="1"/>
    </xf>
    <xf numFmtId="0" fontId="14" fillId="7" borderId="0" applyAlignment="1" pivotButton="0" quotePrefix="0" xfId="0">
      <alignment horizontal="general" vertical="center" indent="1"/>
    </xf>
    <xf numFmtId="0" fontId="14" fillId="9" borderId="0" applyAlignment="1" pivotButton="0" quotePrefix="0" xfId="0">
      <alignment horizontal="general" vertical="center" indent="1"/>
    </xf>
    <xf numFmtId="0" fontId="16" fillId="11" borderId="1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23" fillId="14" borderId="1" applyAlignment="1" pivotButton="0" quotePrefix="0" xfId="0">
      <alignment horizontal="general" vertical="top" wrapText="1"/>
    </xf>
    <xf numFmtId="0" fontId="24" fillId="15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general" vertical="top" wrapText="1"/>
    </xf>
    <xf numFmtId="0" fontId="23" fillId="11" borderId="1" applyAlignment="1" pivotButton="0" quotePrefix="0" xfId="0">
      <alignment horizontal="general" vertical="top" wrapText="1"/>
    </xf>
    <xf numFmtId="0" fontId="13" fillId="16" borderId="1" applyAlignment="1" pivotButton="0" quotePrefix="0" xfId="0">
      <alignment horizontal="general" vertical="top" wrapText="1"/>
    </xf>
    <xf numFmtId="0" fontId="23" fillId="16" borderId="1" applyAlignment="1" pivotButton="0" quotePrefix="0" xfId="0">
      <alignment horizontal="general" vertical="top" wrapText="1"/>
    </xf>
    <xf numFmtId="0" fontId="12" fillId="17" borderId="1" applyAlignment="1" pivotButton="0" quotePrefix="0" xfId="0">
      <alignment horizontal="general" vertical="top" wrapText="1"/>
    </xf>
    <xf numFmtId="0" fontId="23" fillId="17" borderId="1" applyAlignment="1" pivotButton="0" quotePrefix="0" xfId="0">
      <alignment horizontal="general" vertical="top" wrapText="1"/>
    </xf>
    <xf numFmtId="0" fontId="9" fillId="14" borderId="1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20" fillId="2" borderId="0" applyAlignment="1" pivotButton="0" quotePrefix="0" xfId="0">
      <alignment horizontal="center" vertical="center"/>
    </xf>
    <xf numFmtId="0" fontId="20" fillId="10" borderId="0" applyAlignment="1" pivotButton="0" quotePrefix="0" xfId="0">
      <alignment horizontal="center" vertical="center" wrapText="1"/>
    </xf>
    <xf numFmtId="0" fontId="20" fillId="7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horizontal="center" vertical="center" wrapText="1"/>
    </xf>
    <xf numFmtId="0" fontId="20" fillId="4" borderId="0" applyAlignment="1" pivotButton="0" quotePrefix="0" xfId="0">
      <alignment horizontal="center" vertical="center" wrapText="1"/>
    </xf>
    <xf numFmtId="0" fontId="29" fillId="1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29" fillId="16" borderId="1" applyAlignment="1" pivotButton="0" quotePrefix="0" xfId="0">
      <alignment horizontal="center" vertical="center" wrapText="1"/>
    </xf>
    <xf numFmtId="0" fontId="29" fillId="17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textRotation="90"/>
    </xf>
    <xf numFmtId="0" fontId="22" fillId="0" borderId="0" applyAlignment="1" pivotButton="0" quotePrefix="0" xfId="0">
      <alignment horizontal="general" vertical="top" wrapText="1"/>
    </xf>
    <xf numFmtId="0" fontId="31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32" fillId="0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general" vertical="bottom"/>
    </xf>
    <xf numFmtId="0" fontId="34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35" fillId="11" borderId="1" applyAlignment="1" pivotButton="0" quotePrefix="0" xfId="0">
      <alignment horizontal="general" vertical="top" wrapText="1"/>
    </xf>
    <xf numFmtId="0" fontId="27" fillId="0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center" vertical="center" wrapText="1"/>
    </xf>
    <xf numFmtId="0" fontId="27" fillId="13" borderId="1" applyAlignment="1" pivotButton="0" quotePrefix="0" xfId="0">
      <alignment horizontal="general" vertical="top" wrapText="1"/>
    </xf>
    <xf numFmtId="0" fontId="24" fillId="13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general" vertical="top" wrapText="1"/>
    </xf>
    <xf numFmtId="0" fontId="24" fillId="11" borderId="1" applyAlignment="1" pivotButton="0" quotePrefix="0" xfId="0">
      <alignment horizontal="center" vertical="center" wrapText="1"/>
    </xf>
    <xf numFmtId="0" fontId="23" fillId="16" borderId="1" applyAlignment="1" pivotButton="0" quotePrefix="0" xfId="0">
      <alignment horizontal="center" vertical="center" wrapText="1"/>
    </xf>
    <xf numFmtId="0" fontId="27" fillId="16" borderId="1" applyAlignment="1" pivotButton="0" quotePrefix="0" xfId="0">
      <alignment horizontal="general" vertical="top" wrapText="1"/>
    </xf>
    <xf numFmtId="0" fontId="24" fillId="16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bottom"/>
    </xf>
    <xf numFmtId="0" fontId="27" fillId="0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center"/>
    </xf>
    <xf numFmtId="0" fontId="23" fillId="0" borderId="2" applyAlignment="1" pivotButton="0" quotePrefix="0" xfId="0">
      <alignment horizontal="general" vertical="top" wrapText="1"/>
    </xf>
    <xf numFmtId="0" fontId="14" fillId="10" borderId="0" applyAlignment="1" pivotButton="0" quotePrefix="0" xfId="0">
      <alignment horizontal="general" vertical="top" wrapText="1"/>
    </xf>
    <xf numFmtId="0" fontId="27" fillId="14" borderId="1" applyAlignment="1" pivotButton="0" quotePrefix="0" xfId="0">
      <alignment horizontal="general" vertical="top" wrapText="1"/>
    </xf>
    <xf numFmtId="0" fontId="23" fillId="14" borderId="2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bottom"/>
    </xf>
    <xf numFmtId="0" fontId="18" fillId="18" borderId="2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top" wrapText="1"/>
    </xf>
    <xf numFmtId="0" fontId="39" fillId="0" borderId="0" applyAlignment="1" pivotButton="0" quotePrefix="0" xfId="0">
      <alignment horizontal="general" vertical="bottom"/>
    </xf>
    <xf numFmtId="0" fontId="14" fillId="9" borderId="0" applyAlignment="1" pivotButton="0" quotePrefix="0" xfId="0">
      <alignment horizontal="general" vertical="top" wrapText="1"/>
    </xf>
    <xf numFmtId="0" fontId="20" fillId="7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3" fillId="18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3" fillId="6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general" vertical="center" indent="1"/>
    </xf>
    <xf numFmtId="0" fontId="15" fillId="0" borderId="0" applyAlignment="1" pivotButton="0" quotePrefix="0" xfId="0">
      <alignment horizontal="general" vertical="center" wrapText="1"/>
    </xf>
    <xf numFmtId="0" fontId="14" fillId="8" borderId="0" applyAlignment="1" pivotButton="0" quotePrefix="0" xfId="0">
      <alignment horizontal="general" vertical="center" indent="1"/>
    </xf>
    <xf numFmtId="0" fontId="14" fillId="4" borderId="0" applyAlignment="1" pivotButton="0" quotePrefix="0" xfId="0">
      <alignment horizontal="general" vertical="center" indent="1"/>
    </xf>
    <xf numFmtId="0" fontId="14" fillId="10" borderId="0" applyAlignment="1" pivotButton="0" quotePrefix="0" xfId="0">
      <alignment horizontal="general" vertical="center" indent="1"/>
    </xf>
    <xf numFmtId="0" fontId="14" fillId="7" borderId="0" applyAlignment="1" pivotButton="0" quotePrefix="0" xfId="0">
      <alignment horizontal="general" vertical="center" indent="1"/>
    </xf>
    <xf numFmtId="0" fontId="14" fillId="9" borderId="0" applyAlignment="1" pivotButton="0" quotePrefix="0" xfId="0">
      <alignment horizontal="general" vertical="center" indent="1"/>
    </xf>
    <xf numFmtId="0" fontId="16" fillId="11" borderId="1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general" vertical="top" wrapText="1"/>
    </xf>
    <xf numFmtId="0" fontId="0" fillId="0" borderId="4" pivotButton="0" quotePrefix="0" xfId="0"/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23" fillId="14" borderId="1" applyAlignment="1" pivotButton="0" quotePrefix="0" xfId="0">
      <alignment horizontal="general" vertical="top" wrapText="1"/>
    </xf>
    <xf numFmtId="0" fontId="24" fillId="15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general" vertical="top" wrapText="1"/>
    </xf>
    <xf numFmtId="0" fontId="23" fillId="11" borderId="1" applyAlignment="1" pivotButton="0" quotePrefix="0" xfId="0">
      <alignment horizontal="general" vertical="top" wrapText="1"/>
    </xf>
    <xf numFmtId="0" fontId="13" fillId="16" borderId="1" applyAlignment="1" pivotButton="0" quotePrefix="0" xfId="0">
      <alignment horizontal="general" vertical="top" wrapText="1"/>
    </xf>
    <xf numFmtId="0" fontId="23" fillId="16" borderId="1" applyAlignment="1" pivotButton="0" quotePrefix="0" xfId="0">
      <alignment horizontal="general" vertical="top" wrapText="1"/>
    </xf>
    <xf numFmtId="0" fontId="12" fillId="17" borderId="1" applyAlignment="1" pivotButton="0" quotePrefix="0" xfId="0">
      <alignment horizontal="general" vertical="top" wrapText="1"/>
    </xf>
    <xf numFmtId="0" fontId="23" fillId="17" borderId="1" applyAlignment="1" pivotButton="0" quotePrefix="0" xfId="0">
      <alignment horizontal="general" vertical="top" wrapText="1"/>
    </xf>
    <xf numFmtId="0" fontId="9" fillId="14" borderId="1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20" fillId="10" borderId="0" applyAlignment="1" pivotButton="0" quotePrefix="0" xfId="0">
      <alignment horizontal="center" vertical="center" wrapText="1"/>
    </xf>
    <xf numFmtId="0" fontId="20" fillId="7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horizontal="center" vertical="center" wrapText="1"/>
    </xf>
    <xf numFmtId="0" fontId="20" fillId="4" borderId="0" applyAlignment="1" pivotButton="0" quotePrefix="0" xfId="0">
      <alignment horizontal="center" vertical="center" wrapText="1"/>
    </xf>
    <xf numFmtId="0" fontId="29" fillId="1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29" fillId="16" borderId="1" applyAlignment="1" pivotButton="0" quotePrefix="0" xfId="0">
      <alignment horizontal="center" vertical="center" wrapText="1"/>
    </xf>
    <xf numFmtId="0" fontId="29" fillId="17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textRotation="90"/>
    </xf>
    <xf numFmtId="0" fontId="22" fillId="0" borderId="0" applyAlignment="1" pivotButton="0" quotePrefix="0" xfId="0">
      <alignment horizontal="general" vertical="top" wrapText="1"/>
    </xf>
    <xf numFmtId="0" fontId="31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32" fillId="0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general" vertical="bottom"/>
    </xf>
    <xf numFmtId="0" fontId="34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general" vertical="top" wrapText="1"/>
    </xf>
    <xf numFmtId="0" fontId="35" fillId="11" borderId="1" applyAlignment="1" pivotButton="0" quotePrefix="0" xfId="0">
      <alignment horizontal="general" vertical="top" wrapText="1"/>
    </xf>
    <xf numFmtId="0" fontId="27" fillId="0" borderId="1" applyAlignment="1" pivotButton="0" quotePrefix="0" xfId="0">
      <alignment horizontal="general" vertical="top" wrapText="1"/>
    </xf>
    <xf numFmtId="0" fontId="23" fillId="13" borderId="1" applyAlignment="1" pivotButton="0" quotePrefix="0" xfId="0">
      <alignment horizontal="center" vertical="center" wrapText="1"/>
    </xf>
    <xf numFmtId="0" fontId="27" fillId="13" borderId="1" applyAlignment="1" pivotButton="0" quotePrefix="0" xfId="0">
      <alignment horizontal="general" vertical="top" wrapText="1"/>
    </xf>
    <xf numFmtId="0" fontId="24" fillId="13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general" vertical="top" wrapText="1"/>
    </xf>
    <xf numFmtId="0" fontId="24" fillId="11" borderId="1" applyAlignment="1" pivotButton="0" quotePrefix="0" xfId="0">
      <alignment horizontal="center" vertical="center" wrapText="1"/>
    </xf>
    <xf numFmtId="0" fontId="23" fillId="16" borderId="1" applyAlignment="1" pivotButton="0" quotePrefix="0" xfId="0">
      <alignment horizontal="center" vertical="center" wrapText="1"/>
    </xf>
    <xf numFmtId="0" fontId="27" fillId="16" borderId="1" applyAlignment="1" pivotButton="0" quotePrefix="0" xfId="0">
      <alignment horizontal="general" vertical="top" wrapText="1"/>
    </xf>
    <xf numFmtId="0" fontId="24" fillId="16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bottom"/>
    </xf>
    <xf numFmtId="0" fontId="27" fillId="0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center"/>
    </xf>
    <xf numFmtId="0" fontId="23" fillId="0" borderId="2" applyAlignment="1" pivotButton="0" quotePrefix="0" xfId="0">
      <alignment horizontal="general" vertical="top" wrapText="1"/>
    </xf>
    <xf numFmtId="0" fontId="14" fillId="10" borderId="0" applyAlignment="1" pivotButton="0" quotePrefix="0" xfId="0">
      <alignment horizontal="general" vertical="top" wrapText="1"/>
    </xf>
    <xf numFmtId="0" fontId="27" fillId="14" borderId="1" applyAlignment="1" pivotButton="0" quotePrefix="0" xfId="0">
      <alignment horizontal="general" vertical="top" wrapText="1"/>
    </xf>
    <xf numFmtId="0" fontId="23" fillId="14" borderId="2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top" wrapText="1"/>
    </xf>
    <xf numFmtId="0" fontId="18" fillId="18" borderId="1" applyAlignment="1" pivotButton="0" quotePrefix="0" xfId="0">
      <alignment horizontal="general" vertical="bottom"/>
    </xf>
    <xf numFmtId="0" fontId="18" fillId="18" borderId="2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top" wrapText="1"/>
    </xf>
    <xf numFmtId="0" fontId="39" fillId="0" borderId="0" applyAlignment="1" pivotButton="0" quotePrefix="0" xfId="0">
      <alignment horizontal="general" vertical="bottom"/>
    </xf>
    <xf numFmtId="0" fontId="14" fillId="9" borderId="0" applyAlignment="1" pivotButton="0" quotePrefix="0" xfId="0">
      <alignment horizontal="general" vertical="top" wrapText="1"/>
    </xf>
    <xf numFmtId="0" fontId="20" fillId="7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3" fillId="18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C55A11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538135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E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E6D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FDF2F2"/>
      <rgbColor rgb="FFFAFAFA"/>
      <rgbColor rgb="FFCC99FF"/>
      <rgbColor rgb="FFF8CBAD"/>
      <rgbColor rgb="FF2E75B6"/>
      <rgbColor rgb="FF33CCCC"/>
      <rgbColor rgb="FF99CC00"/>
      <rgbColor rgb="FFFFCC00"/>
      <rgbColor rgb="FFBF8F00"/>
      <rgbColor rgb="FFC55A11"/>
      <rgbColor rgb="FF595959"/>
      <rgbColor rgb="FF969696"/>
      <rgbColor rgb="FF0D2347"/>
      <rgbColor rgb="FF538135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Relationship Type="http://schemas.openxmlformats.org/officeDocument/2006/relationships/hyperlink" Target="Progression_Techno_5e_2026-2027_Martinique.xlsx" TargetMode="External" Id="rId3" /><Relationship Type="http://schemas.openxmlformats.org/officeDocument/2006/relationships/hyperlink" Target="Progression_Techno_5e_2026-2027_Martinique.xlsx" TargetMode="External" Id="rId4" /><Relationship Type="http://schemas.openxmlformats.org/officeDocument/2006/relationships/hyperlink" Target="Progression_Techno_5e_2026-2027_Martinique.xlsx" TargetMode="External" Id="rId5" /><Relationship Type="http://schemas.openxmlformats.org/officeDocument/2006/relationships/hyperlink" Target="Progression_Techno_5e_2026-2027_Martinique.xlsx" TargetMode="External" Id="rId6" /><Relationship Type="http://schemas.openxmlformats.org/officeDocument/2006/relationships/hyperlink" Target="Progression_Techno_5e_2026-2027_Martinique.xlsx" TargetMode="External" Id="rId7" /><Relationship Type="http://schemas.openxmlformats.org/officeDocument/2006/relationships/hyperlink" Target="Progression_Techno_5e_2026-2027_Martinique.xlsx" TargetMode="External" Id="rId8" /><Relationship Type="http://schemas.openxmlformats.org/officeDocument/2006/relationships/hyperlink" Target="Progression_Techno_5e_2026-2027_Martinique.xlsx" TargetMode="External" Id="rId9" /><Relationship Type="http://schemas.openxmlformats.org/officeDocument/2006/relationships/hyperlink" Target="Progression_Techno_5e_2026-2027_Martinique.xlsx" TargetMode="External" Id="rId10" /><Relationship Type="http://schemas.openxmlformats.org/officeDocument/2006/relationships/hyperlink" Target="Progression_Techno_5e_2026-2027_Martinique.xlsx" TargetMode="External" Id="rId11" /><Relationship Type="http://schemas.openxmlformats.org/officeDocument/2006/relationships/hyperlink" Target="Progression_Techno_5e_2026-2027_Martinique.xlsx" TargetMode="External" Id="rId12" /><Relationship Type="http://schemas.openxmlformats.org/officeDocument/2006/relationships/hyperlink" Target="https://pll-process.github.io/en-ligne-pour-le-cycle-4/index.html" TargetMode="External" Id="rId13" /></Relationships>
</file>

<file path=xl/worksheets/_rels/sheet2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Relationship Type="http://schemas.openxmlformats.org/officeDocument/2006/relationships/hyperlink" Target="Progression_Techno_5e_2026-2027_Martinique.xlsx" TargetMode="External" Id="rId3" /><Relationship Type="http://schemas.openxmlformats.org/officeDocument/2006/relationships/hyperlink" Target="Progression_Techno_5e_2026-2027_Martinique.xlsx" TargetMode="External" Id="rId4" /><Relationship Type="http://schemas.openxmlformats.org/officeDocument/2006/relationships/hyperlink" Target="Progression_Techno_5e_2026-2027_Martinique.xlsx" TargetMode="External" Id="rId5" /><Relationship Type="http://schemas.openxmlformats.org/officeDocument/2006/relationships/hyperlink" Target="Progression_Techno_5e_2026-2027_Martinique.xlsx" TargetMode="External" Id="rId6" /><Relationship Type="http://schemas.openxmlformats.org/officeDocument/2006/relationships/hyperlink" Target="Progression_Techno_5e_2026-2027_Martinique.xlsx" TargetMode="External" Id="rId7" /><Relationship Type="http://schemas.openxmlformats.org/officeDocument/2006/relationships/hyperlink" Target="Progression_Techno_5e_2026-2027_Martinique.xlsx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Progression_Techno_5e_2026-2027_Martinique.xlsx" TargetMode="External" Id="rId1" /><Relationship Type="http://schemas.openxmlformats.org/officeDocument/2006/relationships/hyperlink" Target="Progression_Techno_5e_2026-2027_Martinique.xlsx" TargetMode="External" Id="rId2" /></Relationships>
</file>

<file path=xl/worksheets/sheet1.xml><?xml version="1.0" encoding="utf-8"?>
<worksheet xmlns="http://schemas.openxmlformats.org/spreadsheetml/2006/main">
  <sheetPr filterMode="0">
    <tabColor rgb="FF0D2347"/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4" min="1" max="1"/>
    <col width="30" customWidth="1" style="104" min="2" max="7"/>
    <col width="2" customWidth="1" style="104" min="8" max="8"/>
  </cols>
  <sheetData>
    <row r="1" ht="15" customHeight="1" s="105">
      <c r="A1" s="106" t="inlineStr">
        <is>
          <t>TECHNOLOGIE 5e
Progression annuelle 2026-2027 · Académie de Martinique</t>
        </is>
      </c>
    </row>
    <row r="2" ht="15" customHeight="1" s="105"/>
    <row r="3" ht="15" customHeight="1" s="105"/>
    <row r="4" ht="15" customHeight="1" s="105"/>
    <row r="5" ht="15" customHeight="1" s="105">
      <c r="A5" s="107" t="inlineStr">
        <is>
          <t>Programme 2024 (BO n°9 du 29/02/2024) · 1 h 30 / semaine · cahier Nathan 5e (éd. 2024) · ressources en ligne du dépôt « En ligne pour le cycle 4 »</t>
        </is>
      </c>
    </row>
    <row r="7" ht="15.75" customHeight="1" s="105">
      <c r="B7" s="108" t="inlineStr">
        <is>
          <t>📊 L'année en un coup d'œil</t>
        </is>
      </c>
    </row>
    <row r="8" ht="30" customHeight="1" s="105">
      <c r="B8" s="109" t="inlineStr">
        <is>
          <t>37</t>
        </is>
      </c>
      <c r="D8" s="110">
        <f>'🧭 Progression'!G11</f>
        <v/>
      </c>
      <c r="F8" s="111" t="inlineStr">
        <is>
          <t>8</t>
        </is>
      </c>
    </row>
    <row r="9" ht="15" customHeight="1" s="105">
      <c r="B9" s="112" t="inlineStr">
        <is>
          <t>Semaines de cours</t>
        </is>
      </c>
      <c r="D9" s="113" t="inlineStr">
        <is>
          <t>Séances planifiées</t>
        </is>
      </c>
      <c r="F9" s="114" t="inlineStr">
        <is>
          <t>Semaines tampon (aléas)</t>
        </is>
      </c>
    </row>
    <row r="11" ht="30" customHeight="1" s="105">
      <c r="B11" s="115" t="inlineStr">
        <is>
          <t>7</t>
        </is>
      </c>
      <c r="D11" s="116" t="inlineStr">
        <is>
          <t>38</t>
        </is>
      </c>
      <c r="F11" s="117" t="inlineStr">
        <is>
          <t>4 (5e complet C4+C6)</t>
        </is>
      </c>
    </row>
    <row r="12" ht="15" customHeight="1" s="105">
      <c r="B12" s="118" t="inlineStr">
        <is>
          <t>Séquences</t>
        </is>
      </c>
      <c r="D12" s="119" t="inlineStr">
        <is>
          <t>Codes 5e travaillés</t>
        </is>
      </c>
      <c r="F12" s="120" t="inlineStr">
        <is>
          <t>Séquences déjà en ligne</t>
        </is>
      </c>
    </row>
    <row r="14" ht="15.75" customHeight="1" s="105">
      <c r="B14" s="108" t="inlineStr">
        <is>
          <t>🧭 Naviguer dans le classeur (cliquer)</t>
        </is>
      </c>
    </row>
    <row r="15" ht="24" customHeight="1" s="105">
      <c r="B15" s="121" t="inlineStr">
        <is>
          <t>▸ 📅 Calendrier</t>
        </is>
      </c>
      <c r="C15" s="122" t="inlineStr">
        <is>
          <t>37 semaines, vacances, fériés, tampons, aléas</t>
        </is>
      </c>
      <c r="E15" s="121" t="inlineStr">
        <is>
          <t>▸ 🗓 Frise de l'année</t>
        </is>
      </c>
      <c r="F15" s="122" t="inlineStr">
        <is>
          <t>les 7 séquences posées sur l'année (vue gantt)</t>
        </is>
      </c>
    </row>
    <row r="16" ht="24" customHeight="1" s="105">
      <c r="B16" s="123" t="inlineStr">
        <is>
          <t>▸ 📚 Référentiel Cycle 4</t>
        </is>
      </c>
      <c r="C16" s="122" t="inlineStr">
        <is>
          <t>C1 → C9 : les 114 sous-compétences du cycle</t>
        </is>
      </c>
      <c r="E16" s="123" t="inlineStr">
        <is>
          <t>▸ 📗 Référentiel 5e</t>
        </is>
      </c>
      <c r="F16" s="122" t="inlineStr">
        <is>
          <t>les 38 sous-compétences du niveau</t>
        </is>
      </c>
    </row>
    <row r="17" ht="24" customHeight="1" s="105">
      <c r="B17" s="124" t="inlineStr">
        <is>
          <t>▸ 🧭 Progression</t>
        </is>
      </c>
      <c r="C17" s="122" t="inlineStr">
        <is>
          <t>les 7 séquences : codes, répartition 🏫🏠🔁, ressources</t>
        </is>
      </c>
      <c r="E17" s="125" t="inlineStr">
        <is>
          <t>▸ S1</t>
        </is>
      </c>
      <c r="F17" s="122" t="inlineStr">
        <is>
          <t>Environnement numérique — IA Thème 1 (canevas)</t>
        </is>
      </c>
    </row>
    <row r="18" ht="24" customHeight="1" s="105">
      <c r="B18" s="125" t="inlineStr">
        <is>
          <t>▸ S2</t>
        </is>
      </c>
      <c r="C18" s="122" t="inlineStr">
        <is>
          <t>Comparer pour choisir — IA Thème 1 (canevas)</t>
        </is>
      </c>
      <c r="E18" s="125" t="inlineStr">
        <is>
          <t>▸ S3</t>
        </is>
      </c>
      <c r="F18" s="122" t="inlineStr">
        <is>
          <t>Chaîne d'énergie — IA Th.1 + Fable (canevas + lampadaire)</t>
        </is>
      </c>
    </row>
    <row r="19" ht="24" customHeight="1" s="105">
      <c r="B19" s="126" t="inlineStr">
        <is>
          <t>▸ S4</t>
        </is>
      </c>
      <c r="C19" s="122" t="inlineStr">
        <is>
          <t>Lampadaire (1) : information, données, programmes — ✅ rempli</t>
        </is>
      </c>
      <c r="E19" s="126" t="inlineStr">
        <is>
          <t>▸ S5</t>
        </is>
      </c>
      <c r="F19" s="122" t="inlineStr">
        <is>
          <t>Lampadaire (2) : réseau local — ✅ rempli</t>
        </is>
      </c>
    </row>
    <row r="20" ht="24" customHeight="1" s="105">
      <c r="B20" s="126" t="inlineStr">
        <is>
          <t>▸ S6</t>
        </is>
      </c>
      <c r="C20" s="122" t="inlineStr">
        <is>
          <t>SOS panne — pré-rempli (ressources 🔜)</t>
        </is>
      </c>
      <c r="E20" s="127" t="inlineStr">
        <is>
          <t>▸ S7</t>
        </is>
      </c>
      <c r="F20" s="122" t="inlineStr">
        <is>
          <t>Mini-projet — IA Thème 3 (canevas)</t>
        </is>
      </c>
    </row>
    <row r="22" ht="15.75" customHeight="1" s="105">
      <c r="B22" s="108" t="inlineStr">
        <is>
          <t>📖 Mode d'emploi express</t>
        </is>
      </c>
    </row>
    <row r="23" ht="36" customHeight="1" s="105">
      <c r="B23" s="128" t="inlineStr">
        <is>
          <t>🏫 / 🏠 / 🔁</t>
        </is>
      </c>
      <c r="C23" s="129" t="inlineStr">
        <is>
          <t>En classe (matériel, collectif, évaluations) · À la maison (QCM, synthèses, simulateurs — corrections intégrées, faisables sur téléphone) · Hybride/classe inversée (lancement en classe, simulateur à la maison, exploitation au retour).</t>
        </is>
      </c>
      <c r="D23" s="130" t="n"/>
      <c r="E23" s="130" t="n"/>
      <c r="F23" s="130" t="n"/>
      <c r="G23" s="130" t="n"/>
    </row>
    <row r="24" ht="60" customHeight="1" s="105">
      <c r="B24" s="128" t="inlineStr">
        <is>
          <t>⏳ Tampons</t>
        </is>
      </c>
      <c r="C24" s="129" t="inlineStr">
        <is>
          <t>8 semaines NON planifiées absorbent les aléas. NOUVEAU — moteur automatique : dans 📅 Calendrier, colonne « ⚠ Imprévu ? », choisis l'imprévu dans le menu de la semaine touchée (absence, sortie, Fête de la science, ERASMUS…) : toutes les séances se décalent d'une semaine, la frise et la progression se recalculent, et la réserve de fin d'année absorbe le décalage. Au-delà de 8 imprévus, une alerte 🛑 s'affiche.</t>
        </is>
      </c>
      <c r="D24" s="130" t="n"/>
      <c r="E24" s="130" t="n"/>
      <c r="F24" s="130" t="n"/>
      <c r="G24" s="130" t="n"/>
    </row>
    <row r="25" ht="30" customHeight="1" s="105">
      <c r="B25" s="128" t="inlineStr">
        <is>
          <t>📋 Cahier de texte</t>
        </is>
      </c>
      <c r="C25" s="129" t="inlineStr">
        <is>
          <t>Dans chaque générateur, les blocs jaunes sont prêts à copier-coller dans Pronote : « Contenu de la séance » + « Travail à faire » (lien direct, durée estimée, mention téléphone).</t>
        </is>
      </c>
      <c r="D25" s="130" t="n"/>
      <c r="E25" s="130" t="n"/>
      <c r="F25" s="130" t="n"/>
      <c r="G25" s="130" t="n"/>
    </row>
    <row r="26" ht="30" customHeight="1" s="105">
      <c r="B26" s="128" t="inlineStr">
        <is>
          <t>✅ 🔜 📘</t>
        </is>
      </c>
      <c r="C26" s="129" t="inlineStr">
        <is>
          <t>Ressource en ligne · à produire · cahier Nathan (filet de sécurité sans connexion). Chaque IA de thème remplit les générateurs de SES séquences — canevas à entériner au Conseil du 28/07.</t>
        </is>
      </c>
      <c r="D26" s="130" t="n"/>
      <c r="E26" s="130" t="n"/>
      <c r="F26" s="130" t="n"/>
      <c r="G26" s="130" t="n"/>
    </row>
    <row r="27" ht="30" customHeight="1" s="105">
      <c r="B27" s="128" t="inlineStr">
        <is>
          <t>📆 Calendrier</t>
        </is>
      </c>
      <c r="C27" s="129" t="inlineStr">
        <is>
          <t>Rectorat de Martinique 2026-2027 : rentrée mar. 1/09 · Toussaint 20/10→3/11 · Noël 19/12→4/01 · Carnaval 6→22/02 · Pâques 20/04→3/05 · fin des cours 3/07. À confirmer sur ac-martinique.fr.</t>
        </is>
      </c>
      <c r="D27" s="130" t="n"/>
      <c r="E27" s="130" t="n"/>
      <c r="F27" s="130" t="n"/>
      <c r="G27" s="130" t="n"/>
    </row>
    <row r="29" ht="15" customHeight="1" s="105">
      <c r="B29" s="131" t="inlineStr">
        <is>
          <t>Classeur généré par Fable (IA du Thème 2) — dépôt : https://pll-process.github.io/en-ligne-pour-le-cycle-4/</t>
        </is>
      </c>
    </row>
  </sheetData>
  <mergeCells count="25">
    <mergeCell ref="F11:G11"/>
    <mergeCell ref="C15:D15"/>
    <mergeCell ref="C24:G24"/>
    <mergeCell ref="C26:G26"/>
    <mergeCell ref="B12:C12"/>
    <mergeCell ref="C20:D20"/>
    <mergeCell ref="F12:G12"/>
    <mergeCell ref="C16:D16"/>
    <mergeCell ref="B11:C11"/>
    <mergeCell ref="D11:E11"/>
    <mergeCell ref="C25:G25"/>
    <mergeCell ref="B8:C8"/>
    <mergeCell ref="F8:G8"/>
    <mergeCell ref="C27:G27"/>
    <mergeCell ref="C23:G23"/>
    <mergeCell ref="A5:H5"/>
    <mergeCell ref="B9:C9"/>
    <mergeCell ref="C17:D17"/>
    <mergeCell ref="D9:E9"/>
    <mergeCell ref="F9:G9"/>
    <mergeCell ref="D12:E12"/>
    <mergeCell ref="D8:E8"/>
    <mergeCell ref="C19:D19"/>
    <mergeCell ref="A1:H4"/>
    <mergeCell ref="C18:D18"/>
  </mergeCells>
  <hyperlinks>
    <hyperlink xmlns:r="http://schemas.openxmlformats.org/officeDocument/2006/relationships" ref="B15" location="'📅%20Calendrier'!A1" display="▸ 📅 Calendrier" r:id="rId1"/>
    <hyperlink xmlns:r="http://schemas.openxmlformats.org/officeDocument/2006/relationships" ref="E15" location="'🗓%20Frise%20de%20l'année'!A1" display="▸ 🗓 Frise de l'année" r:id="rId2"/>
    <hyperlink xmlns:r="http://schemas.openxmlformats.org/officeDocument/2006/relationships" ref="B16" location="'📚%20Référentiel%20Cycle%204'!A1" display="▸ 📚 Référentiel Cycle 4" r:id="rId3"/>
    <hyperlink xmlns:r="http://schemas.openxmlformats.org/officeDocument/2006/relationships" ref="E16" location="'📗%20Référentiel%205e'!A1" display="▸ 📗 Référentiel 5e" r:id="rId4"/>
    <hyperlink xmlns:r="http://schemas.openxmlformats.org/officeDocument/2006/relationships" ref="B17" location="'🧭%20Progression'!A1" display="▸ 🧭 Progression" r:id="rId5"/>
    <hyperlink xmlns:r="http://schemas.openxmlformats.org/officeDocument/2006/relationships" ref="E17" location="'S1'!A1" display="▸ S1" r:id="rId6"/>
    <hyperlink xmlns:r="http://schemas.openxmlformats.org/officeDocument/2006/relationships" ref="B18" location="'S2'!A1" display="▸ S2" r:id="rId7"/>
    <hyperlink xmlns:r="http://schemas.openxmlformats.org/officeDocument/2006/relationships" ref="E18" location="'S3'!A1" display="▸ S3" r:id="rId8"/>
    <hyperlink xmlns:r="http://schemas.openxmlformats.org/officeDocument/2006/relationships" ref="B19" location="'S4'!A1" display="▸ S4" r:id="rId9"/>
    <hyperlink xmlns:r="http://schemas.openxmlformats.org/officeDocument/2006/relationships" ref="E19" location="'S5'!A1" display="▸ S5" r:id="rId10"/>
    <hyperlink xmlns:r="http://schemas.openxmlformats.org/officeDocument/2006/relationships" ref="B20" location="'S6'!A1" display="▸ S6" r:id="rId11"/>
    <hyperlink xmlns:r="http://schemas.openxmlformats.org/officeDocument/2006/relationships" ref="E20" location="'S7'!A1" display="▸ S7" r:id="rId12"/>
    <hyperlink xmlns:r="http://schemas.openxmlformats.org/officeDocument/2006/relationships" ref="B29" display="Classeur généré par Fable (IA du Thème 2) — dépôt : https://pll-process.github.io/en-ligne-pour-le-cycle-4/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7A6E"/>
    <outlinePr summaryBelow="1" summaryRight="1"/>
    <pageSetUpPr fitToPage="1"/>
  </sheetPr>
  <dimension ref="A1:H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04" min="1" max="1"/>
    <col width="13" customWidth="1" style="104" min="2" max="2"/>
    <col width="9" customWidth="1" style="104" min="3" max="3"/>
    <col width="26" customWidth="1" style="104" min="4" max="4"/>
    <col width="34" customWidth="1" style="104" min="5" max="5"/>
    <col width="26" customWidth="1" style="104" min="6" max="6"/>
    <col width="24" customWidth="1" style="104" min="7" max="7"/>
    <col width="7" customWidth="1" style="104" min="8" max="8"/>
  </cols>
  <sheetData>
    <row r="1" ht="19.5" customHeight="1" s="105">
      <c r="A1" s="132" t="inlineStr">
        <is>
          <t>CALENDRIER 5e — année scolaire 2026-2027 (académie de Martinique) — 1 séance de 1 h 30 par semaine</t>
        </is>
      </c>
    </row>
    <row r="2" ht="15" customHeight="1" s="105">
      <c r="D2" s="133">
        <f>IF(COUNTIF($G$4:$G$44,"&lt;&gt;")&gt;8,"🛑 "&amp;COUNTIF($G$4:$G$44,"&lt;&gt;")&amp;" imprévus : la réserve (8) est dépassée — des séances sortent de l'année, arbitrage nécessaire !","✔ Réserve d'aléas : "&amp;(8-COUNTIF($G$4:$G$44,"&lt;&gt;"))&amp;" semaine(s) tampon restante(s) sur 8")</f>
        <v/>
      </c>
      <c r="F2" s="134" t="inlineStr">
        <is>
          <t>◀ Accueil</t>
        </is>
      </c>
    </row>
    <row r="3" ht="23.25" customHeight="1" s="105">
      <c r="A3" s="135" t="inlineStr">
        <is>
          <t>Sem.</t>
        </is>
      </c>
      <c r="B3" s="135" t="inlineStr">
        <is>
          <t>Lundi de la semaine</t>
        </is>
      </c>
      <c r="C3" s="135" t="inlineStr">
        <is>
          <t>Période</t>
        </is>
      </c>
      <c r="D3" s="135" t="inlineStr">
        <is>
          <t>Affectation (séquence · séance)</t>
        </is>
      </c>
      <c r="E3" s="135" t="inlineStr">
        <is>
          <t>Repères / jours fériés</t>
        </is>
      </c>
      <c r="F3" s="135" t="inlineStr">
        <is>
          <t>Aléas / notes (à remplir)</t>
        </is>
      </c>
      <c r="G3" s="136" t="inlineStr">
        <is>
          <t>⚠ Imprévu ? (menu déroulant)</t>
        </is>
      </c>
      <c r="H3" s="137" t="inlineStr">
        <is>
          <t>n° créneau (auto)</t>
        </is>
      </c>
    </row>
    <row r="4" ht="23.25" customHeight="1" s="105">
      <c r="A4" s="138" t="inlineStr">
        <is>
          <t>S01</t>
        </is>
      </c>
      <c r="B4" s="139" t="inlineStr">
        <is>
          <t>31/08/2026</t>
        </is>
      </c>
      <c r="C4" s="138" t="inlineStr">
        <is>
          <t>P1</t>
        </is>
      </c>
      <c r="D4" s="140">
        <f>IF($G4&lt;&gt;"",$G4&amp;" — les séances suivantes se décalent d'une semaine",INDEX('⚙ Moteur'!$B$5:$B$41,$H4))</f>
        <v/>
      </c>
      <c r="E4" s="141" t="inlineStr">
        <is>
          <t>Rentrée des élèves mardi 1er septembre.</t>
        </is>
      </c>
      <c r="F4" s="141" t="n"/>
      <c r="G4" s="142" t="n"/>
      <c r="H4" s="143">
        <f>IF($G4&lt;&gt;"",0,0+1)</f>
        <v/>
      </c>
    </row>
    <row r="5" ht="15" customHeight="1" s="105">
      <c r="A5" s="138" t="inlineStr">
        <is>
          <t>S02</t>
        </is>
      </c>
      <c r="B5" s="139" t="inlineStr">
        <is>
          <t>07/09/2026</t>
        </is>
      </c>
      <c r="C5" s="138" t="inlineStr">
        <is>
          <t>P1</t>
        </is>
      </c>
      <c r="D5" s="140">
        <f>IF($G5&lt;&gt;"",$G5&amp;" — les séances suivantes se décalent d'une semaine",INDEX('⚙ Moteur'!$B$5:$B$41,$H5))</f>
        <v/>
      </c>
      <c r="E5" s="140" t="n"/>
      <c r="F5" s="141" t="n"/>
      <c r="G5" s="142" t="n"/>
      <c r="H5" s="143">
        <f>IF($G5&lt;&gt;"",H4,H4+1)</f>
        <v/>
      </c>
    </row>
    <row r="6" ht="15" customHeight="1" s="105">
      <c r="A6" s="138" t="inlineStr">
        <is>
          <t>S03</t>
        </is>
      </c>
      <c r="B6" s="139" t="inlineStr">
        <is>
          <t>14/09/2026</t>
        </is>
      </c>
      <c r="C6" s="138" t="inlineStr">
        <is>
          <t>P1</t>
        </is>
      </c>
      <c r="D6" s="140">
        <f>IF($G6&lt;&gt;"",$G6&amp;" — les séances suivantes se décalent d'une semaine",INDEX('⚙ Moteur'!$B$5:$B$41,$H6))</f>
        <v/>
      </c>
      <c r="E6" s="140" t="n"/>
      <c r="F6" s="141" t="n"/>
      <c r="G6" s="142" t="n"/>
      <c r="H6" s="143">
        <f>IF($G6&lt;&gt;"",H5,H5+1)</f>
        <v/>
      </c>
    </row>
    <row r="7" ht="15" customHeight="1" s="105">
      <c r="A7" s="138" t="inlineStr">
        <is>
          <t>S04</t>
        </is>
      </c>
      <c r="B7" s="139" t="inlineStr">
        <is>
          <t>21/09/2026</t>
        </is>
      </c>
      <c r="C7" s="138" t="inlineStr">
        <is>
          <t>P1</t>
        </is>
      </c>
      <c r="D7" s="140">
        <f>IF($G7&lt;&gt;"",$G7&amp;" — les séances suivantes se décalent d'une semaine",INDEX('⚙ Moteur'!$B$5:$B$41,$H7))</f>
        <v/>
      </c>
      <c r="E7" s="140" t="n"/>
      <c r="F7" s="141" t="n"/>
      <c r="G7" s="142" t="n"/>
      <c r="H7" s="143">
        <f>IF($G7&lt;&gt;"",H6,H6+1)</f>
        <v/>
      </c>
    </row>
    <row r="8" ht="15" customHeight="1" s="105">
      <c r="A8" s="138" t="inlineStr">
        <is>
          <t>S05</t>
        </is>
      </c>
      <c r="B8" s="139" t="inlineStr">
        <is>
          <t>28/09/2026</t>
        </is>
      </c>
      <c r="C8" s="138" t="inlineStr">
        <is>
          <t>P1</t>
        </is>
      </c>
      <c r="D8" s="140">
        <f>IF($G8&lt;&gt;"",$G8&amp;" — les séances suivantes se décalent d'une semaine",INDEX('⚙ Moteur'!$B$5:$B$41,$H8))</f>
        <v/>
      </c>
      <c r="E8" s="140" t="n"/>
      <c r="F8" s="141" t="n"/>
      <c r="G8" s="142" t="n"/>
      <c r="H8" s="143">
        <f>IF($G8&lt;&gt;"",H7,H7+1)</f>
        <v/>
      </c>
    </row>
    <row r="9" ht="15" customHeight="1" s="105">
      <c r="A9" s="138" t="inlineStr">
        <is>
          <t>S06</t>
        </is>
      </c>
      <c r="B9" s="139" t="inlineStr">
        <is>
          <t>05/10/2026</t>
        </is>
      </c>
      <c r="C9" s="138" t="inlineStr">
        <is>
          <t>P1</t>
        </is>
      </c>
      <c r="D9" s="140">
        <f>IF($G9&lt;&gt;"",$G9&amp;" — les séances suivantes se décalent d'une semaine",INDEX('⚙ Moteur'!$B$5:$B$41,$H9))</f>
        <v/>
      </c>
      <c r="E9" s="140" t="n"/>
      <c r="F9" s="141" t="n"/>
      <c r="G9" s="142" t="n"/>
      <c r="H9" s="143">
        <f>IF($G9&lt;&gt;"",H8,H8+1)</f>
        <v/>
      </c>
    </row>
    <row r="10" ht="15" customHeight="1" s="105">
      <c r="A10" s="138" t="inlineStr">
        <is>
          <t>S07</t>
        </is>
      </c>
      <c r="B10" s="139" t="inlineStr">
        <is>
          <t>12/10/2026</t>
        </is>
      </c>
      <c r="C10" s="138" t="inlineStr">
        <is>
          <t>P1</t>
        </is>
      </c>
      <c r="D10" s="140">
        <f>IF($G10&lt;&gt;"",$G10&amp;" — les séances suivantes se décalent d'une semaine",INDEX('⚙ Moteur'!$B$5:$B$41,$H10))</f>
        <v/>
      </c>
      <c r="E10" s="140" t="n"/>
      <c r="F10" s="141" t="n"/>
      <c r="G10" s="142" t="n"/>
      <c r="H10" s="143">
        <f>IF($G10&lt;&gt;"",H9,H9+1)</f>
        <v/>
      </c>
    </row>
    <row r="11" ht="23.25" customHeight="1" s="105">
      <c r="A11" s="138" t="inlineStr">
        <is>
          <t>S08</t>
        </is>
      </c>
      <c r="B11" s="139" t="inlineStr">
        <is>
          <t>19/10/2026</t>
        </is>
      </c>
      <c r="C11" s="138" t="inlineStr">
        <is>
          <t>P1</t>
        </is>
      </c>
      <c r="D11" s="140">
        <f>IF($G11&lt;&gt;"",$G11&amp;" — les séances suivantes se décalent d'une semaine",INDEX('⚙ Moteur'!$B$5:$B$41,$H11))</f>
        <v/>
      </c>
      <c r="E11" s="140" t="n"/>
      <c r="F11" s="141" t="n"/>
      <c r="G11" s="142" t="n"/>
      <c r="H11" s="143">
        <f>IF($G11&lt;&gt;"",H10,H10+1)</f>
        <v/>
      </c>
    </row>
    <row r="12" ht="15" customHeight="1" s="105">
      <c r="A12" s="144" t="inlineStr">
        <is>
          <t>🏖 Vacances de la Toussaint : 20/10 → 3/11</t>
        </is>
      </c>
    </row>
    <row r="13" ht="15" customHeight="1" s="105">
      <c r="A13" s="145" t="inlineStr">
        <is>
          <t>S09</t>
        </is>
      </c>
      <c r="B13" s="146" t="inlineStr">
        <is>
          <t>02/11/2026</t>
        </is>
      </c>
      <c r="C13" s="145" t="inlineStr">
        <is>
          <t>P2</t>
        </is>
      </c>
      <c r="D13" s="140">
        <f>IF($G13&lt;&gt;"",$G13&amp;" — les séances suivantes se décalent d'une semaine",INDEX('⚙ Moteur'!$B$5:$B$41,$H13))</f>
        <v/>
      </c>
      <c r="E13" s="140" t="n"/>
      <c r="F13" s="141" t="n"/>
      <c r="G13" s="142" t="n"/>
      <c r="H13" s="143">
        <f>IF($G13&lt;&gt;"",H11,H11+1)</f>
        <v/>
      </c>
    </row>
    <row r="14" ht="15" customHeight="1" s="105">
      <c r="A14" s="145" t="inlineStr">
        <is>
          <t>S10</t>
        </is>
      </c>
      <c r="B14" s="146" t="inlineStr">
        <is>
          <t>09/11/2026</t>
        </is>
      </c>
      <c r="C14" s="145" t="inlineStr">
        <is>
          <t>P2</t>
        </is>
      </c>
      <c r="D14" s="140">
        <f>IF($G14&lt;&gt;"",$G14&amp;" — les séances suivantes se décalent d'une semaine",INDEX('⚙ Moteur'!$B$5:$B$41,$H14))</f>
        <v/>
      </c>
      <c r="E14" s="141" t="inlineStr">
        <is>
          <t>Mer. 11/11 férié (Armistice)</t>
        </is>
      </c>
      <c r="F14" s="141" t="n"/>
      <c r="G14" s="142" t="n"/>
      <c r="H14" s="143">
        <f>IF($G14&lt;&gt;"",H13,H13+1)</f>
        <v/>
      </c>
    </row>
    <row r="15" ht="15" customHeight="1" s="105">
      <c r="A15" s="145" t="inlineStr">
        <is>
          <t>S11</t>
        </is>
      </c>
      <c r="B15" s="146" t="inlineStr">
        <is>
          <t>16/11/2026</t>
        </is>
      </c>
      <c r="C15" s="145" t="inlineStr">
        <is>
          <t>P2</t>
        </is>
      </c>
      <c r="D15" s="140">
        <f>IF($G15&lt;&gt;"",$G15&amp;" — les séances suivantes se décalent d'une semaine",INDEX('⚙ Moteur'!$B$5:$B$41,$H15))</f>
        <v/>
      </c>
      <c r="E15" s="140" t="n"/>
      <c r="F15" s="141" t="n"/>
      <c r="G15" s="142" t="n"/>
      <c r="H15" s="143">
        <f>IF($G15&lt;&gt;"",H14,H14+1)</f>
        <v/>
      </c>
    </row>
    <row r="16" ht="15" customHeight="1" s="105">
      <c r="A16" s="145" t="inlineStr">
        <is>
          <t>S12</t>
        </is>
      </c>
      <c r="B16" s="146" t="inlineStr">
        <is>
          <t>23/11/2026</t>
        </is>
      </c>
      <c r="C16" s="145" t="inlineStr">
        <is>
          <t>P2</t>
        </is>
      </c>
      <c r="D16" s="140">
        <f>IF($G16&lt;&gt;"",$G16&amp;" — les séances suivantes se décalent d'une semaine",INDEX('⚙ Moteur'!$B$5:$B$41,$H16))</f>
        <v/>
      </c>
      <c r="E16" s="140" t="n"/>
      <c r="F16" s="141" t="n"/>
      <c r="G16" s="142" t="n"/>
      <c r="H16" s="143">
        <f>IF($G16&lt;&gt;"",H15,H15+1)</f>
        <v/>
      </c>
    </row>
    <row r="17" ht="15" customHeight="1" s="105">
      <c r="A17" s="145" t="inlineStr">
        <is>
          <t>S13</t>
        </is>
      </c>
      <c r="B17" s="146" t="inlineStr">
        <is>
          <t>30/11/2026</t>
        </is>
      </c>
      <c r="C17" s="145" t="inlineStr">
        <is>
          <t>P2</t>
        </is>
      </c>
      <c r="D17" s="140">
        <f>IF($G17&lt;&gt;"",$G17&amp;" — les séances suivantes se décalent d'une semaine",INDEX('⚙ Moteur'!$B$5:$B$41,$H17))</f>
        <v/>
      </c>
      <c r="E17" s="140" t="n"/>
      <c r="F17" s="141" t="n"/>
      <c r="G17" s="142" t="n"/>
      <c r="H17" s="143">
        <f>IF($G17&lt;&gt;"",H16,H16+1)</f>
        <v/>
      </c>
    </row>
    <row r="18" ht="15" customHeight="1" s="105">
      <c r="A18" s="145" t="inlineStr">
        <is>
          <t>S14</t>
        </is>
      </c>
      <c r="B18" s="146" t="inlineStr">
        <is>
          <t>07/12/2026</t>
        </is>
      </c>
      <c r="C18" s="145" t="inlineStr">
        <is>
          <t>P2</t>
        </is>
      </c>
      <c r="D18" s="140">
        <f>IF($G18&lt;&gt;"",$G18&amp;" — les séances suivantes se décalent d'une semaine",INDEX('⚙ Moteur'!$B$5:$B$41,$H18))</f>
        <v/>
      </c>
      <c r="E18" s="140" t="n"/>
      <c r="F18" s="141" t="n"/>
      <c r="G18" s="142" t="n"/>
      <c r="H18" s="143">
        <f>IF($G18&lt;&gt;"",H17,H17+1)</f>
        <v/>
      </c>
    </row>
    <row r="19" ht="23.25" customHeight="1" s="105">
      <c r="A19" s="145" t="inlineStr">
        <is>
          <t>S15</t>
        </is>
      </c>
      <c r="B19" s="146" t="inlineStr">
        <is>
          <t>14/12/2026</t>
        </is>
      </c>
      <c r="C19" s="145" t="inlineStr">
        <is>
          <t>P2</t>
        </is>
      </c>
      <c r="D19" s="140">
        <f>IF($G19&lt;&gt;"",$G19&amp;" — les séances suivantes se décalent d'une semaine",INDEX('⚙ Moteur'!$B$5:$B$41,$H19))</f>
        <v/>
      </c>
      <c r="E19" s="140" t="n"/>
      <c r="F19" s="141" t="n"/>
      <c r="G19" s="142" t="n"/>
      <c r="H19" s="143">
        <f>IF($G19&lt;&gt;"",H18,H18+1)</f>
        <v/>
      </c>
    </row>
    <row r="20" ht="15" customHeight="1" s="105">
      <c r="A20" s="144" t="inlineStr">
        <is>
          <t>🏖 Vacances de Noël : 19/12 → 4/01</t>
        </is>
      </c>
    </row>
    <row r="21" ht="15" customHeight="1" s="105">
      <c r="A21" s="147" t="inlineStr">
        <is>
          <t>S16</t>
        </is>
      </c>
      <c r="B21" s="148" t="inlineStr">
        <is>
          <t>04/01/2027</t>
        </is>
      </c>
      <c r="C21" s="147" t="inlineStr">
        <is>
          <t>P3</t>
        </is>
      </c>
      <c r="D21" s="140">
        <f>IF($G21&lt;&gt;"",$G21&amp;" — les séances suivantes se décalent d'une semaine",INDEX('⚙ Moteur'!$B$5:$B$41,$H21))</f>
        <v/>
      </c>
      <c r="E21" s="140" t="n"/>
      <c r="F21" s="141" t="n"/>
      <c r="G21" s="142" t="n"/>
      <c r="H21" s="143">
        <f>IF($G21&lt;&gt;"",H19,H19+1)</f>
        <v/>
      </c>
    </row>
    <row r="22" ht="15" customHeight="1" s="105">
      <c r="A22" s="147" t="inlineStr">
        <is>
          <t>S17</t>
        </is>
      </c>
      <c r="B22" s="148" t="inlineStr">
        <is>
          <t>11/01/2027</t>
        </is>
      </c>
      <c r="C22" s="147" t="inlineStr">
        <is>
          <t>P3</t>
        </is>
      </c>
      <c r="D22" s="140">
        <f>IF($G22&lt;&gt;"",$G22&amp;" — les séances suivantes se décalent d'une semaine",INDEX('⚙ Moteur'!$B$5:$B$41,$H22))</f>
        <v/>
      </c>
      <c r="E22" s="140" t="n"/>
      <c r="F22" s="141" t="n"/>
      <c r="G22" s="142" t="n"/>
      <c r="H22" s="143">
        <f>IF($G22&lt;&gt;"",H21,H21+1)</f>
        <v/>
      </c>
    </row>
    <row r="23" ht="15" customHeight="1" s="105">
      <c r="A23" s="147" t="inlineStr">
        <is>
          <t>S18</t>
        </is>
      </c>
      <c r="B23" s="148" t="inlineStr">
        <is>
          <t>18/01/2027</t>
        </is>
      </c>
      <c r="C23" s="147" t="inlineStr">
        <is>
          <t>P3</t>
        </is>
      </c>
      <c r="D23" s="140">
        <f>IF($G23&lt;&gt;"",$G23&amp;" — les séances suivantes se décalent d'une semaine",INDEX('⚙ Moteur'!$B$5:$B$41,$H23))</f>
        <v/>
      </c>
      <c r="E23" s="140" t="n"/>
      <c r="F23" s="141" t="n"/>
      <c r="G23" s="142" t="n"/>
      <c r="H23" s="143">
        <f>IF($G23&lt;&gt;"",H22,H22+1)</f>
        <v/>
      </c>
    </row>
    <row r="24" ht="15" customHeight="1" s="105">
      <c r="A24" s="147" t="inlineStr">
        <is>
          <t>S19</t>
        </is>
      </c>
      <c r="B24" s="148" t="inlineStr">
        <is>
          <t>25/01/2027</t>
        </is>
      </c>
      <c r="C24" s="147" t="inlineStr">
        <is>
          <t>P3</t>
        </is>
      </c>
      <c r="D24" s="140">
        <f>IF($G24&lt;&gt;"",$G24&amp;" — les séances suivantes se décalent d'une semaine",INDEX('⚙ Moteur'!$B$5:$B$41,$H24))</f>
        <v/>
      </c>
      <c r="E24" s="140" t="n"/>
      <c r="F24" s="141" t="n"/>
      <c r="G24" s="142" t="n"/>
      <c r="H24" s="143">
        <f>IF($G24&lt;&gt;"",H23,H23+1)</f>
        <v/>
      </c>
    </row>
    <row r="25" ht="23.25" customHeight="1" s="105">
      <c r="A25" s="147" t="inlineStr">
        <is>
          <t>S20</t>
        </is>
      </c>
      <c r="B25" s="148" t="inlineStr">
        <is>
          <t>01/02/2027</t>
        </is>
      </c>
      <c r="C25" s="147" t="inlineStr">
        <is>
          <t>P3</t>
        </is>
      </c>
      <c r="D25" s="140">
        <f>IF($G25&lt;&gt;"",$G25&amp;" — les séances suivantes se décalent d'une semaine",INDEX('⚙ Moteur'!$B$5:$B$41,$H25))</f>
        <v/>
      </c>
      <c r="E25" s="140" t="n"/>
      <c r="F25" s="141" t="n"/>
      <c r="G25" s="142" t="n"/>
      <c r="H25" s="143">
        <f>IF($G25&lt;&gt;"",H24,H24+1)</f>
        <v/>
      </c>
    </row>
    <row r="26" ht="15" customHeight="1" s="105">
      <c r="A26" s="144" t="inlineStr">
        <is>
          <t>🏖 Vacances de Carnaval : 6/02 → 22/02</t>
        </is>
      </c>
    </row>
    <row r="27" ht="15" customHeight="1" s="105">
      <c r="A27" s="149" t="inlineStr">
        <is>
          <t>S21</t>
        </is>
      </c>
      <c r="B27" s="150" t="inlineStr">
        <is>
          <t>22/02/2027</t>
        </is>
      </c>
      <c r="C27" s="149" t="inlineStr">
        <is>
          <t>P4</t>
        </is>
      </c>
      <c r="D27" s="140">
        <f>IF($G27&lt;&gt;"",$G27&amp;" — les séances suivantes se décalent d'une semaine",INDEX('⚙ Moteur'!$B$5:$B$41,$H27))</f>
        <v/>
      </c>
      <c r="E27" s="140" t="n"/>
      <c r="F27" s="141" t="n"/>
      <c r="G27" s="142" t="n"/>
      <c r="H27" s="143">
        <f>IF($G27&lt;&gt;"",H25,H25+1)</f>
        <v/>
      </c>
    </row>
    <row r="28" ht="15" customHeight="1" s="105">
      <c r="A28" s="149" t="inlineStr">
        <is>
          <t>S22</t>
        </is>
      </c>
      <c r="B28" s="150" t="inlineStr">
        <is>
          <t>01/03/2027</t>
        </is>
      </c>
      <c r="C28" s="149" t="inlineStr">
        <is>
          <t>P4</t>
        </is>
      </c>
      <c r="D28" s="140">
        <f>IF($G28&lt;&gt;"",$G28&amp;" — les séances suivantes se décalent d'une semaine",INDEX('⚙ Moteur'!$B$5:$B$41,$H28))</f>
        <v/>
      </c>
      <c r="E28" s="140" t="n"/>
      <c r="F28" s="141" t="n"/>
      <c r="G28" s="142" t="n"/>
      <c r="H28" s="143">
        <f>IF($G28&lt;&gt;"",H27,H27+1)</f>
        <v/>
      </c>
    </row>
    <row r="29" ht="15" customHeight="1" s="105">
      <c r="A29" s="149" t="inlineStr">
        <is>
          <t>S23</t>
        </is>
      </c>
      <c r="B29" s="150" t="inlineStr">
        <is>
          <t>08/03/2027</t>
        </is>
      </c>
      <c r="C29" s="149" t="inlineStr">
        <is>
          <t>P4</t>
        </is>
      </c>
      <c r="D29" s="140">
        <f>IF($G29&lt;&gt;"",$G29&amp;" — les séances suivantes se décalent d'une semaine",INDEX('⚙ Moteur'!$B$5:$B$41,$H29))</f>
        <v/>
      </c>
      <c r="E29" s="140" t="n"/>
      <c r="F29" s="141" t="n"/>
      <c r="G29" s="142" t="n"/>
      <c r="H29" s="143">
        <f>IF($G29&lt;&gt;"",H28,H28+1)</f>
        <v/>
      </c>
    </row>
    <row r="30" ht="15" customHeight="1" s="105">
      <c r="A30" s="149" t="inlineStr">
        <is>
          <t>S24</t>
        </is>
      </c>
      <c r="B30" s="150" t="inlineStr">
        <is>
          <t>15/03/2027</t>
        </is>
      </c>
      <c r="C30" s="149" t="inlineStr">
        <is>
          <t>P4</t>
        </is>
      </c>
      <c r="D30" s="140">
        <f>IF($G30&lt;&gt;"",$G30&amp;" — les séances suivantes se décalent d'une semaine",INDEX('⚙ Moteur'!$B$5:$B$41,$H30))</f>
        <v/>
      </c>
      <c r="E30" s="140" t="n"/>
      <c r="F30" s="141" t="n"/>
      <c r="G30" s="142" t="n"/>
      <c r="H30" s="143">
        <f>IF($G30&lt;&gt;"",H29,H29+1)</f>
        <v/>
      </c>
    </row>
    <row r="31" ht="23.25" customHeight="1" s="105">
      <c r="A31" s="149" t="inlineStr">
        <is>
          <t>S25</t>
        </is>
      </c>
      <c r="B31" s="150" t="inlineStr">
        <is>
          <t>22/03/2027</t>
        </is>
      </c>
      <c r="C31" s="149" t="inlineStr">
        <is>
          <t>P4</t>
        </is>
      </c>
      <c r="D31" s="140">
        <f>IF($G31&lt;&gt;"",$G31&amp;" — les séances suivantes se décalent d'une semaine",INDEX('⚙ Moteur'!$B$5:$B$41,$H31))</f>
        <v/>
      </c>
      <c r="E31" s="141" t="inlineStr">
        <is>
          <t>Ven. 26/03 férié (Vendredi saint, Martinique)</t>
        </is>
      </c>
      <c r="F31" s="141" t="n"/>
      <c r="G31" s="142" t="n"/>
      <c r="H31" s="143">
        <f>IF($G31&lt;&gt;"",H30,H30+1)</f>
        <v/>
      </c>
    </row>
    <row r="32" ht="15" customHeight="1" s="105">
      <c r="A32" s="149" t="inlineStr">
        <is>
          <t>S26</t>
        </is>
      </c>
      <c r="B32" s="150" t="inlineStr">
        <is>
          <t>29/03/2027</t>
        </is>
      </c>
      <c r="C32" s="149" t="inlineStr">
        <is>
          <t>P4</t>
        </is>
      </c>
      <c r="D32" s="140">
        <f>IF($G32&lt;&gt;"",$G32&amp;" — les séances suivantes se décalent d'une semaine",INDEX('⚙ Moteur'!$B$5:$B$41,$H32))</f>
        <v/>
      </c>
      <c r="E32" s="141" t="inlineStr">
        <is>
          <t>Lun. 29/03 férié (lundi de Pâques)</t>
        </is>
      </c>
      <c r="F32" s="141" t="n"/>
      <c r="G32" s="142" t="n"/>
      <c r="H32" s="143">
        <f>IF($G32&lt;&gt;"",H31,H31+1)</f>
        <v/>
      </c>
    </row>
    <row r="33" ht="15" customHeight="1" s="105">
      <c r="A33" s="149" t="inlineStr">
        <is>
          <t>S27</t>
        </is>
      </c>
      <c r="B33" s="150" t="inlineStr">
        <is>
          <t>05/04/2027</t>
        </is>
      </c>
      <c r="C33" s="149" t="inlineStr">
        <is>
          <t>P4</t>
        </is>
      </c>
      <c r="D33" s="140">
        <f>IF($G33&lt;&gt;"",$G33&amp;" — les séances suivantes se décalent d'une semaine",INDEX('⚙ Moteur'!$B$5:$B$41,$H33))</f>
        <v/>
      </c>
      <c r="E33" s="140" t="n"/>
      <c r="F33" s="141" t="n"/>
      <c r="G33" s="142" t="n"/>
      <c r="H33" s="143">
        <f>IF($G33&lt;&gt;"",H32,H32+1)</f>
        <v/>
      </c>
    </row>
    <row r="34" ht="23.25" customHeight="1" s="105">
      <c r="A34" s="149" t="inlineStr">
        <is>
          <t>S28</t>
        </is>
      </c>
      <c r="B34" s="150" t="inlineStr">
        <is>
          <t>12/04/2027</t>
        </is>
      </c>
      <c r="C34" s="149" t="inlineStr">
        <is>
          <t>P4</t>
        </is>
      </c>
      <c r="D34" s="140">
        <f>IF($G34&lt;&gt;"",$G34&amp;" — les séances suivantes se décalent d'une semaine",INDEX('⚙ Moteur'!$B$5:$B$41,$H34))</f>
        <v/>
      </c>
      <c r="E34" s="140" t="n"/>
      <c r="F34" s="141" t="n"/>
      <c r="G34" s="142" t="n"/>
      <c r="H34" s="143">
        <f>IF($G34&lt;&gt;"",H33,H33+1)</f>
        <v/>
      </c>
    </row>
    <row r="35" ht="15" customHeight="1" s="105">
      <c r="A35" s="144" t="inlineStr">
        <is>
          <t>🏖 Vacances de Pâques : 20/04 → 3/05</t>
        </is>
      </c>
    </row>
    <row r="36" ht="23.25" customHeight="1" s="105">
      <c r="A36" s="151" t="inlineStr">
        <is>
          <t>S29</t>
        </is>
      </c>
      <c r="B36" s="141" t="inlineStr">
        <is>
          <t>03/05/2027</t>
        </is>
      </c>
      <c r="C36" s="151" t="inlineStr">
        <is>
          <t>P5</t>
        </is>
      </c>
      <c r="D36" s="140">
        <f>IF($G36&lt;&gt;"",$G36&amp;" — les séances suivantes se décalent d'une semaine",INDEX('⚙ Moteur'!$B$5:$B$41,$H36))</f>
        <v/>
      </c>
      <c r="E36" s="141" t="inlineStr">
        <is>
          <t>Jeu. 6/05 férié (Ascension) — pont probable ven. 7/05</t>
        </is>
      </c>
      <c r="F36" s="141" t="n"/>
      <c r="G36" s="142" t="n"/>
      <c r="H36" s="143">
        <f>IF($G36&lt;&gt;"",H34,H34+1)</f>
        <v/>
      </c>
    </row>
    <row r="37" ht="15" customHeight="1" s="105">
      <c r="A37" s="151" t="inlineStr">
        <is>
          <t>S30</t>
        </is>
      </c>
      <c r="B37" s="141" t="inlineStr">
        <is>
          <t>10/05/2027</t>
        </is>
      </c>
      <c r="C37" s="151" t="inlineStr">
        <is>
          <t>P5</t>
        </is>
      </c>
      <c r="D37" s="140">
        <f>IF($G37&lt;&gt;"",$G37&amp;" — les séances suivantes se décalent d'une semaine",INDEX('⚙ Moteur'!$B$5:$B$41,$H37))</f>
        <v/>
      </c>
      <c r="E37" s="140" t="n"/>
      <c r="F37" s="141" t="n"/>
      <c r="G37" s="142" t="n"/>
      <c r="H37" s="143">
        <f>IF($G37&lt;&gt;"",H36,H36+1)</f>
        <v/>
      </c>
    </row>
    <row r="38" ht="34.5" customHeight="1" s="105">
      <c r="A38" s="151" t="inlineStr">
        <is>
          <t>S31</t>
        </is>
      </c>
      <c r="B38" s="141" t="inlineStr">
        <is>
          <t>17/05/2027</t>
        </is>
      </c>
      <c r="C38" s="151" t="inlineStr">
        <is>
          <t>P5</t>
        </is>
      </c>
      <c r="D38" s="140">
        <f>IF($G38&lt;&gt;"",$G38&amp;" — les séances suivantes se décalent d'une semaine",INDEX('⚙ Moteur'!$B$5:$B$41,$H38))</f>
        <v/>
      </c>
      <c r="E38" s="141" t="inlineStr">
        <is>
          <t>Lun. 17/05 férié (Pentecôte); Ven. 21/05 : veille du 22 mai (abolition, samedi) — commémorations</t>
        </is>
      </c>
      <c r="F38" s="141" t="n"/>
      <c r="G38" s="142" t="n"/>
      <c r="H38" s="143">
        <f>IF($G38&lt;&gt;"",H37,H37+1)</f>
        <v/>
      </c>
    </row>
    <row r="39" ht="15" customHeight="1" s="105">
      <c r="A39" s="151" t="inlineStr">
        <is>
          <t>S32</t>
        </is>
      </c>
      <c r="B39" s="141" t="inlineStr">
        <is>
          <t>24/05/2027</t>
        </is>
      </c>
      <c r="C39" s="151" t="inlineStr">
        <is>
          <t>P5</t>
        </is>
      </c>
      <c r="D39" s="140">
        <f>IF($G39&lt;&gt;"",$G39&amp;" — les séances suivantes se décalent d'une semaine",INDEX('⚙ Moteur'!$B$5:$B$41,$H39))</f>
        <v/>
      </c>
      <c r="E39" s="140" t="n"/>
      <c r="F39" s="141" t="n"/>
      <c r="G39" s="142" t="n"/>
      <c r="H39" s="143">
        <f>IF($G39&lt;&gt;"",H38,H38+1)</f>
        <v/>
      </c>
    </row>
    <row r="40" ht="15" customHeight="1" s="105">
      <c r="A40" s="151" t="inlineStr">
        <is>
          <t>S33</t>
        </is>
      </c>
      <c r="B40" s="141" t="inlineStr">
        <is>
          <t>31/05/2027</t>
        </is>
      </c>
      <c r="C40" s="151" t="inlineStr">
        <is>
          <t>P5</t>
        </is>
      </c>
      <c r="D40" s="140">
        <f>IF($G40&lt;&gt;"",$G40&amp;" — les séances suivantes se décalent d'une semaine",INDEX('⚙ Moteur'!$B$5:$B$41,$H40))</f>
        <v/>
      </c>
      <c r="E40" s="140" t="n"/>
      <c r="F40" s="141" t="n"/>
      <c r="G40" s="142" t="n"/>
      <c r="H40" s="143">
        <f>IF($G40&lt;&gt;"",H39,H39+1)</f>
        <v/>
      </c>
    </row>
    <row r="41" ht="15" customHeight="1" s="105">
      <c r="A41" s="151" t="inlineStr">
        <is>
          <t>S34</t>
        </is>
      </c>
      <c r="B41" s="141" t="inlineStr">
        <is>
          <t>07/06/2027</t>
        </is>
      </c>
      <c r="C41" s="151" t="inlineStr">
        <is>
          <t>P5</t>
        </is>
      </c>
      <c r="D41" s="140">
        <f>IF($G41&lt;&gt;"",$G41&amp;" — les séances suivantes se décalent d'une semaine",INDEX('⚙ Moteur'!$B$5:$B$41,$H41))</f>
        <v/>
      </c>
      <c r="E41" s="140" t="n"/>
      <c r="F41" s="141" t="n"/>
      <c r="G41" s="142" t="n"/>
      <c r="H41" s="143">
        <f>IF($G41&lt;&gt;"",H40,H40+1)</f>
        <v/>
      </c>
    </row>
    <row r="42" ht="23.25" customHeight="1" s="105">
      <c r="A42" s="151" t="inlineStr">
        <is>
          <t>S35</t>
        </is>
      </c>
      <c r="B42" s="141" t="inlineStr">
        <is>
          <t>14/06/2027</t>
        </is>
      </c>
      <c r="C42" s="151" t="inlineStr">
        <is>
          <t>P5</t>
        </is>
      </c>
      <c r="D42" s="140">
        <f>IF($G42&lt;&gt;"",$G42&amp;" — les séances suivantes se décalent d'une semaine",INDEX('⚙ Moteur'!$B$5:$B$41,$H42))</f>
        <v/>
      </c>
      <c r="E42" s="140" t="n"/>
      <c r="F42" s="141" t="n"/>
      <c r="G42" s="142" t="n"/>
      <c r="H42" s="143">
        <f>IF($G42&lt;&gt;"",H41,H41+1)</f>
        <v/>
      </c>
    </row>
    <row r="43" ht="23.25" customHeight="1" s="105">
      <c r="A43" s="151" t="inlineStr">
        <is>
          <t>S36</t>
        </is>
      </c>
      <c r="B43" s="141" t="inlineStr">
        <is>
          <t>21/06/2027</t>
        </is>
      </c>
      <c r="C43" s="151" t="inlineStr">
        <is>
          <t>P5</t>
        </is>
      </c>
      <c r="D43" s="140">
        <f>IF($G43&lt;&gt;"",$G43&amp;" — les séances suivantes se décalent d'une semaine",INDEX('⚙ Moteur'!$B$5:$B$41,$H43))</f>
        <v/>
      </c>
      <c r="E43" s="140" t="n"/>
      <c r="F43" s="141" t="n"/>
      <c r="G43" s="142" t="n"/>
      <c r="H43" s="143">
        <f>IF($G43&lt;&gt;"",H42,H42+1)</f>
        <v/>
      </c>
    </row>
    <row r="44" ht="23.25" customHeight="1" s="105">
      <c r="A44" s="151" t="inlineStr">
        <is>
          <t>S37</t>
        </is>
      </c>
      <c r="B44" s="141" t="inlineStr">
        <is>
          <t>28/06/2027</t>
        </is>
      </c>
      <c r="C44" s="151" t="inlineStr">
        <is>
          <t>P5</t>
        </is>
      </c>
      <c r="D44" s="140">
        <f>IF($G44&lt;&gt;"",$G44&amp;" — les séances suivantes se décalent d'une semaine",INDEX('⚙ Moteur'!$B$5:$B$41,$H44))</f>
        <v/>
      </c>
      <c r="E44" s="140" t="n"/>
      <c r="F44" s="141" t="n"/>
      <c r="G44" s="142" t="n"/>
      <c r="H44" s="143">
        <f>IF($G44&lt;&gt;"",H43,H43+1)</f>
        <v/>
      </c>
    </row>
    <row r="45" ht="15" customHeight="1" s="105">
      <c r="A45" s="144" t="inlineStr">
        <is>
          <t>🏖 Fin des cours : 3 juillet 2027</t>
        </is>
      </c>
    </row>
    <row r="47" ht="15" customHeight="1" s="105">
      <c r="A47" s="152" t="inlineStr">
        <is>
          <t>Synthèse</t>
        </is>
      </c>
    </row>
    <row r="48" ht="15" customHeight="1" s="105">
      <c r="B48" s="153" t="inlineStr">
        <is>
          <t>Semaines de cours au total</t>
        </is>
      </c>
      <c r="C48" s="153">
        <f>COUNTIF(C4:C45,"P1")+COUNTIF(C4:C45,"P2")+COUNTIF(C4:C45,"P3")+COUNTIF(C4:C45,"P4")+COUNTIF(C4:C45,"P5")</f>
        <v/>
      </c>
    </row>
    <row r="49" ht="15" customHeight="1" s="105">
      <c r="B49" s="153" t="inlineStr">
        <is>
          <t>… dont semaines tampon</t>
        </is>
      </c>
      <c r="C49" s="153">
        <f>COUNTIF(D4:D44,"⏳*")</f>
        <v/>
      </c>
    </row>
    <row r="50" ht="15" customHeight="1" s="105">
      <c r="B50" s="153" t="inlineStr">
        <is>
          <t>… dont semaines avec séance planifiée</t>
        </is>
      </c>
      <c r="C50" s="153">
        <f>COUNTIF(D4:D44,"S*")</f>
        <v/>
      </c>
    </row>
    <row r="51" ht="15" customHeight="1" s="105">
      <c r="B51" s="131" t="inlineStr">
        <is>
          <t>Moteur automatique : marquer un ⚠ imprévu en colonne G décale toutes les séances suivantes (calendrier, frise et progression se recalculent). Un jour férié sur ton créneau = un imprévu à marquer aussi.</t>
        </is>
      </c>
    </row>
  </sheetData>
  <mergeCells count="6">
    <mergeCell ref="D2:E2"/>
    <mergeCell ref="A45:F45"/>
    <mergeCell ref="A12:F12"/>
    <mergeCell ref="A35:F35"/>
    <mergeCell ref="A26:F26"/>
    <mergeCell ref="A20:F20"/>
  </mergeCells>
  <conditionalFormatting sqref="D4:D44">
    <cfRule type="expression" rank="0" priority="2" equalAverage="0" aboveAverage="0" dxfId="0" text="" percent="0" bottom="0">
      <formula>LEFT(D4,1)="⏳"</formula>
    </cfRule>
    <cfRule type="expression" rank="0" priority="3" equalAverage="0" aboveAverage="0" dxfId="1" text="" percent="0" bottom="0">
      <formula>LEFT(D4,1)="⚠"</formula>
    </cfRule>
  </conditionalFormatting>
  <dataValidations count="1">
    <dataValidation sqref="G4:G11 G13:G19 G21:G25 G27:G34 G36:G44" showDropDown="0" showInputMessage="0" showErrorMessage="0" allowBlank="1" promptTitle="Semaine neutralisée" prompt="Choisir l'imprévu : la séance de cette semaine est neutralisée et tout se décale automatiquement." type="list" errorStyle="stop" operator="between">
      <formula1>"⚠ Absence professeur,⚠ Sortie scolaire,⚠ Fête de la science,⚠ Voyage ERASMUS,⚠ Manifestation (collègue),⚠ Classe absente,⚠ Autre imprévu"</formula1>
      <formula2>0</formula2>
    </dataValidation>
  </dataValidations>
  <hyperlinks>
    <hyperlink xmlns:r="http://schemas.openxmlformats.org/officeDocument/2006/relationships" ref="F2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7A6E"/>
    <outlinePr summaryBelow="1" summaryRight="1"/>
    <pageSetUpPr fitToPage="1"/>
  </sheetPr>
  <dimension ref="A1:AM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4" min="1" max="1"/>
    <col width="36" customWidth="1" style="104" min="2" max="2"/>
    <col width="4.2" customWidth="1" style="104" min="3" max="39"/>
  </cols>
  <sheetData>
    <row r="1" ht="18" customHeight="1" s="105">
      <c r="A1" s="154" t="inlineStr">
        <is>
          <t>FRISE DE L'ANNÉE 5e — se recalcule automatiquement selon les imprévus du Calendrier</t>
        </is>
      </c>
    </row>
    <row r="2" ht="30" customHeight="1" s="105">
      <c r="B2" s="155">
        <f>'📅 Calendrier'!D2</f>
        <v/>
      </c>
      <c r="P2" s="134" t="inlineStr">
        <is>
          <t>◀ Accueil</t>
        </is>
      </c>
    </row>
    <row r="3" ht="15" customHeight="1" s="105">
      <c r="C3" s="156" t="inlineStr">
        <is>
          <t>P1 (8 sem.)</t>
        </is>
      </c>
      <c r="K3" s="157" t="inlineStr">
        <is>
          <t>P2 (7 sem.)</t>
        </is>
      </c>
      <c r="R3" s="158" t="inlineStr">
        <is>
          <t>P3 (5 sem.)</t>
        </is>
      </c>
      <c r="W3" s="159" t="inlineStr">
        <is>
          <t>P4 (8 sem.)</t>
        </is>
      </c>
      <c r="AE3" s="160" t="inlineStr">
        <is>
          <t>P5 (9 sem.)</t>
        </is>
      </c>
    </row>
    <row r="4" ht="15" customHeight="1" s="105">
      <c r="C4" s="161" t="inlineStr">
        <is>
          <t>S01</t>
        </is>
      </c>
      <c r="D4" s="161" t="inlineStr">
        <is>
          <t>S02</t>
        </is>
      </c>
      <c r="E4" s="161" t="inlineStr">
        <is>
          <t>S03</t>
        </is>
      </c>
      <c r="F4" s="161" t="inlineStr">
        <is>
          <t>S04</t>
        </is>
      </c>
      <c r="G4" s="161" t="inlineStr">
        <is>
          <t>S05</t>
        </is>
      </c>
      <c r="H4" s="161" t="inlineStr">
        <is>
          <t>S06</t>
        </is>
      </c>
      <c r="I4" s="161" t="inlineStr">
        <is>
          <t>S07</t>
        </is>
      </c>
      <c r="J4" s="161" t="inlineStr">
        <is>
          <t>S08</t>
        </is>
      </c>
      <c r="K4" s="162" t="inlineStr">
        <is>
          <t>S09</t>
        </is>
      </c>
      <c r="L4" s="162" t="inlineStr">
        <is>
          <t>S10</t>
        </is>
      </c>
      <c r="M4" s="162" t="inlineStr">
        <is>
          <t>S11</t>
        </is>
      </c>
      <c r="N4" s="162" t="inlineStr">
        <is>
          <t>S12</t>
        </is>
      </c>
      <c r="O4" s="162" t="inlineStr">
        <is>
          <t>S13</t>
        </is>
      </c>
      <c r="P4" s="162" t="inlineStr">
        <is>
          <t>S14</t>
        </is>
      </c>
      <c r="Q4" s="162" t="inlineStr">
        <is>
          <t>S15</t>
        </is>
      </c>
      <c r="R4" s="163" t="inlineStr">
        <is>
          <t>S16</t>
        </is>
      </c>
      <c r="S4" s="163" t="inlineStr">
        <is>
          <t>S17</t>
        </is>
      </c>
      <c r="T4" s="163" t="inlineStr">
        <is>
          <t>S18</t>
        </is>
      </c>
      <c r="U4" s="163" t="inlineStr">
        <is>
          <t>S19</t>
        </is>
      </c>
      <c r="V4" s="163" t="inlineStr">
        <is>
          <t>S20</t>
        </is>
      </c>
      <c r="W4" s="164" t="inlineStr">
        <is>
          <t>S21</t>
        </is>
      </c>
      <c r="X4" s="164" t="inlineStr">
        <is>
          <t>S22</t>
        </is>
      </c>
      <c r="Y4" s="164" t="inlineStr">
        <is>
          <t>S23</t>
        </is>
      </c>
      <c r="Z4" s="164" t="inlineStr">
        <is>
          <t>S24</t>
        </is>
      </c>
      <c r="AA4" s="164" t="inlineStr">
        <is>
          <t>S25</t>
        </is>
      </c>
      <c r="AB4" s="164" t="inlineStr">
        <is>
          <t>S26</t>
        </is>
      </c>
      <c r="AC4" s="164" t="inlineStr">
        <is>
          <t>S27</t>
        </is>
      </c>
      <c r="AD4" s="164" t="inlineStr">
        <is>
          <t>S28</t>
        </is>
      </c>
      <c r="AE4" s="165" t="inlineStr">
        <is>
          <t>S29</t>
        </is>
      </c>
      <c r="AF4" s="165" t="inlineStr">
        <is>
          <t>S30</t>
        </is>
      </c>
      <c r="AG4" s="165" t="inlineStr">
        <is>
          <t>S31</t>
        </is>
      </c>
      <c r="AH4" s="165" t="inlineStr">
        <is>
          <t>S32</t>
        </is>
      </c>
      <c r="AI4" s="165" t="inlineStr">
        <is>
          <t>S33</t>
        </is>
      </c>
      <c r="AJ4" s="165" t="inlineStr">
        <is>
          <t>S34</t>
        </is>
      </c>
      <c r="AK4" s="165" t="inlineStr">
        <is>
          <t>S35</t>
        </is>
      </c>
      <c r="AL4" s="165" t="inlineStr">
        <is>
          <t>S36</t>
        </is>
      </c>
      <c r="AM4" s="165" t="inlineStr">
        <is>
          <t>S37</t>
        </is>
      </c>
    </row>
    <row r="5" ht="33.75" customHeight="1" s="105">
      <c r="C5" s="166" t="inlineStr">
        <is>
          <t>31/08</t>
        </is>
      </c>
      <c r="D5" s="166" t="inlineStr">
        <is>
          <t>07/09</t>
        </is>
      </c>
      <c r="E5" s="166" t="inlineStr">
        <is>
          <t>14/09</t>
        </is>
      </c>
      <c r="F5" s="166" t="inlineStr">
        <is>
          <t>21/09</t>
        </is>
      </c>
      <c r="G5" s="166" t="inlineStr">
        <is>
          <t>28/09</t>
        </is>
      </c>
      <c r="H5" s="166" t="inlineStr">
        <is>
          <t>05/10</t>
        </is>
      </c>
      <c r="I5" s="166" t="inlineStr">
        <is>
          <t>12/10</t>
        </is>
      </c>
      <c r="J5" s="166" t="inlineStr">
        <is>
          <t>19/10</t>
        </is>
      </c>
      <c r="K5" s="166" t="inlineStr">
        <is>
          <t>02/11</t>
        </is>
      </c>
      <c r="L5" s="166" t="inlineStr">
        <is>
          <t>09/11</t>
        </is>
      </c>
      <c r="M5" s="166" t="inlineStr">
        <is>
          <t>16/11</t>
        </is>
      </c>
      <c r="N5" s="166" t="inlineStr">
        <is>
          <t>23/11</t>
        </is>
      </c>
      <c r="O5" s="166" t="inlineStr">
        <is>
          <t>30/11</t>
        </is>
      </c>
      <c r="P5" s="166" t="inlineStr">
        <is>
          <t>07/12</t>
        </is>
      </c>
      <c r="Q5" s="166" t="inlineStr">
        <is>
          <t>14/12</t>
        </is>
      </c>
      <c r="R5" s="166" t="inlineStr">
        <is>
          <t>04/01</t>
        </is>
      </c>
      <c r="S5" s="166" t="inlineStr">
        <is>
          <t>11/01</t>
        </is>
      </c>
      <c r="T5" s="166" t="inlineStr">
        <is>
          <t>18/01</t>
        </is>
      </c>
      <c r="U5" s="166" t="inlineStr">
        <is>
          <t>25/01</t>
        </is>
      </c>
      <c r="V5" s="166" t="inlineStr">
        <is>
          <t>01/02</t>
        </is>
      </c>
      <c r="W5" s="166" t="inlineStr">
        <is>
          <t>22/02</t>
        </is>
      </c>
      <c r="X5" s="166" t="inlineStr">
        <is>
          <t>01/03</t>
        </is>
      </c>
      <c r="Y5" s="166" t="inlineStr">
        <is>
          <t>08/03</t>
        </is>
      </c>
      <c r="Z5" s="166" t="inlineStr">
        <is>
          <t>15/03</t>
        </is>
      </c>
      <c r="AA5" s="166" t="inlineStr">
        <is>
          <t>22/03</t>
        </is>
      </c>
      <c r="AB5" s="166" t="inlineStr">
        <is>
          <t>29/03</t>
        </is>
      </c>
      <c r="AC5" s="166" t="inlineStr">
        <is>
          <t>05/04</t>
        </is>
      </c>
      <c r="AD5" s="166" t="inlineStr">
        <is>
          <t>12/04</t>
        </is>
      </c>
      <c r="AE5" s="166" t="inlineStr">
        <is>
          <t>03/05</t>
        </is>
      </c>
      <c r="AF5" s="166" t="inlineStr">
        <is>
          <t>10/05</t>
        </is>
      </c>
      <c r="AG5" s="166" t="inlineStr">
        <is>
          <t>17/05</t>
        </is>
      </c>
      <c r="AH5" s="166" t="inlineStr">
        <is>
          <t>24/05</t>
        </is>
      </c>
      <c r="AI5" s="166" t="inlineStr">
        <is>
          <t>31/05</t>
        </is>
      </c>
      <c r="AJ5" s="166" t="inlineStr">
        <is>
          <t>07/06</t>
        </is>
      </c>
      <c r="AK5" s="166" t="inlineStr">
        <is>
          <t>14/06</t>
        </is>
      </c>
      <c r="AL5" s="166" t="inlineStr">
        <is>
          <t>21/06</t>
        </is>
      </c>
      <c r="AM5" s="166" t="inlineStr">
        <is>
          <t>28/06</t>
        </is>
      </c>
    </row>
    <row r="6" ht="15" customHeight="1" s="105">
      <c r="B6" s="167" t="inlineStr">
        <is>
          <t>S1 · Environnement numérique</t>
        </is>
      </c>
      <c r="C6" s="168">
        <f>IF(LEFT('📅 Calendrier'!$D4,2)="S1",MID('📅 Calendrier'!$D4,SEARCH("séance",'📅 Calendrier'!$D4)+7,2),"")</f>
        <v/>
      </c>
      <c r="D6" s="168">
        <f>IF(LEFT('📅 Calendrier'!$D5,2)="S1",MID('📅 Calendrier'!$D5,SEARCH("séance",'📅 Calendrier'!$D5)+7,2),"")</f>
        <v/>
      </c>
      <c r="E6" s="168">
        <f>IF(LEFT('📅 Calendrier'!$D6,2)="S1",MID('📅 Calendrier'!$D6,SEARCH("séance",'📅 Calendrier'!$D6)+7,2),"")</f>
        <v/>
      </c>
      <c r="F6" s="168">
        <f>IF(LEFT('📅 Calendrier'!$D7,2)="S1",MID('📅 Calendrier'!$D7,SEARCH("séance",'📅 Calendrier'!$D7)+7,2),"")</f>
        <v/>
      </c>
      <c r="G6" s="168">
        <f>IF(LEFT('📅 Calendrier'!$D8,2)="S1",MID('📅 Calendrier'!$D8,SEARCH("séance",'📅 Calendrier'!$D8)+7,2),"")</f>
        <v/>
      </c>
      <c r="H6" s="168">
        <f>IF(LEFT('📅 Calendrier'!$D9,2)="S1",MID('📅 Calendrier'!$D9,SEARCH("séance",'📅 Calendrier'!$D9)+7,2),"")</f>
        <v/>
      </c>
      <c r="I6" s="168">
        <f>IF(LEFT('📅 Calendrier'!$D10,2)="S1",MID('📅 Calendrier'!$D10,SEARCH("séance",'📅 Calendrier'!$D10)+7,2),"")</f>
        <v/>
      </c>
      <c r="J6" s="168">
        <f>IF(LEFT('📅 Calendrier'!$D11,2)="S1",MID('📅 Calendrier'!$D11,SEARCH("séance",'📅 Calendrier'!$D11)+7,2),"")</f>
        <v/>
      </c>
      <c r="K6" s="168">
        <f>IF(LEFT('📅 Calendrier'!$D13,2)="S1",MID('📅 Calendrier'!$D13,SEARCH("séance",'📅 Calendrier'!$D13)+7,2),"")</f>
        <v/>
      </c>
      <c r="L6" s="168">
        <f>IF(LEFT('📅 Calendrier'!$D14,2)="S1",MID('📅 Calendrier'!$D14,SEARCH("séance",'📅 Calendrier'!$D14)+7,2),"")</f>
        <v/>
      </c>
      <c r="M6" s="168">
        <f>IF(LEFT('📅 Calendrier'!$D15,2)="S1",MID('📅 Calendrier'!$D15,SEARCH("séance",'📅 Calendrier'!$D15)+7,2),"")</f>
        <v/>
      </c>
      <c r="N6" s="168">
        <f>IF(LEFT('📅 Calendrier'!$D16,2)="S1",MID('📅 Calendrier'!$D16,SEARCH("séance",'📅 Calendrier'!$D16)+7,2),"")</f>
        <v/>
      </c>
      <c r="O6" s="168">
        <f>IF(LEFT('📅 Calendrier'!$D17,2)="S1",MID('📅 Calendrier'!$D17,SEARCH("séance",'📅 Calendrier'!$D17)+7,2),"")</f>
        <v/>
      </c>
      <c r="P6" s="168">
        <f>IF(LEFT('📅 Calendrier'!$D18,2)="S1",MID('📅 Calendrier'!$D18,SEARCH("séance",'📅 Calendrier'!$D18)+7,2),"")</f>
        <v/>
      </c>
      <c r="Q6" s="168">
        <f>IF(LEFT('📅 Calendrier'!$D19,2)="S1",MID('📅 Calendrier'!$D19,SEARCH("séance",'📅 Calendrier'!$D19)+7,2),"")</f>
        <v/>
      </c>
      <c r="R6" s="168">
        <f>IF(LEFT('📅 Calendrier'!$D21,2)="S1",MID('📅 Calendrier'!$D21,SEARCH("séance",'📅 Calendrier'!$D21)+7,2),"")</f>
        <v/>
      </c>
      <c r="S6" s="168">
        <f>IF(LEFT('📅 Calendrier'!$D22,2)="S1",MID('📅 Calendrier'!$D22,SEARCH("séance",'📅 Calendrier'!$D22)+7,2),"")</f>
        <v/>
      </c>
      <c r="T6" s="168">
        <f>IF(LEFT('📅 Calendrier'!$D23,2)="S1",MID('📅 Calendrier'!$D23,SEARCH("séance",'📅 Calendrier'!$D23)+7,2),"")</f>
        <v/>
      </c>
      <c r="U6" s="168">
        <f>IF(LEFT('📅 Calendrier'!$D24,2)="S1",MID('📅 Calendrier'!$D24,SEARCH("séance",'📅 Calendrier'!$D24)+7,2),"")</f>
        <v/>
      </c>
      <c r="V6" s="168">
        <f>IF(LEFT('📅 Calendrier'!$D25,2)="S1",MID('📅 Calendrier'!$D25,SEARCH("séance",'📅 Calendrier'!$D25)+7,2),"")</f>
        <v/>
      </c>
      <c r="W6" s="168">
        <f>IF(LEFT('📅 Calendrier'!$D27,2)="S1",MID('📅 Calendrier'!$D27,SEARCH("séance",'📅 Calendrier'!$D27)+7,2),"")</f>
        <v/>
      </c>
      <c r="X6" s="168">
        <f>IF(LEFT('📅 Calendrier'!$D28,2)="S1",MID('📅 Calendrier'!$D28,SEARCH("séance",'📅 Calendrier'!$D28)+7,2),"")</f>
        <v/>
      </c>
      <c r="Y6" s="168">
        <f>IF(LEFT('📅 Calendrier'!$D29,2)="S1",MID('📅 Calendrier'!$D29,SEARCH("séance",'📅 Calendrier'!$D29)+7,2),"")</f>
        <v/>
      </c>
      <c r="Z6" s="168">
        <f>IF(LEFT('📅 Calendrier'!$D30,2)="S1",MID('📅 Calendrier'!$D30,SEARCH("séance",'📅 Calendrier'!$D30)+7,2),"")</f>
        <v/>
      </c>
      <c r="AA6" s="168">
        <f>IF(LEFT('📅 Calendrier'!$D31,2)="S1",MID('📅 Calendrier'!$D31,SEARCH("séance",'📅 Calendrier'!$D31)+7,2),"")</f>
        <v/>
      </c>
      <c r="AB6" s="168">
        <f>IF(LEFT('📅 Calendrier'!$D32,2)="S1",MID('📅 Calendrier'!$D32,SEARCH("séance",'📅 Calendrier'!$D32)+7,2),"")</f>
        <v/>
      </c>
      <c r="AC6" s="168">
        <f>IF(LEFT('📅 Calendrier'!$D33,2)="S1",MID('📅 Calendrier'!$D33,SEARCH("séance",'📅 Calendrier'!$D33)+7,2),"")</f>
        <v/>
      </c>
      <c r="AD6" s="168">
        <f>IF(LEFT('📅 Calendrier'!$D34,2)="S1",MID('📅 Calendrier'!$D34,SEARCH("séance",'📅 Calendrier'!$D34)+7,2),"")</f>
        <v/>
      </c>
      <c r="AE6" s="168">
        <f>IF(LEFT('📅 Calendrier'!$D36,2)="S1",MID('📅 Calendrier'!$D36,SEARCH("séance",'📅 Calendrier'!$D36)+7,2),"")</f>
        <v/>
      </c>
      <c r="AF6" s="168">
        <f>IF(LEFT('📅 Calendrier'!$D37,2)="S1",MID('📅 Calendrier'!$D37,SEARCH("séance",'📅 Calendrier'!$D37)+7,2),"")</f>
        <v/>
      </c>
      <c r="AG6" s="168">
        <f>IF(LEFT('📅 Calendrier'!$D38,2)="S1",MID('📅 Calendrier'!$D38,SEARCH("séance",'📅 Calendrier'!$D38)+7,2),"")</f>
        <v/>
      </c>
      <c r="AH6" s="168">
        <f>IF(LEFT('📅 Calendrier'!$D39,2)="S1",MID('📅 Calendrier'!$D39,SEARCH("séance",'📅 Calendrier'!$D39)+7,2),"")</f>
        <v/>
      </c>
      <c r="AI6" s="168">
        <f>IF(LEFT('📅 Calendrier'!$D40,2)="S1",MID('📅 Calendrier'!$D40,SEARCH("séance",'📅 Calendrier'!$D40)+7,2),"")</f>
        <v/>
      </c>
      <c r="AJ6" s="168">
        <f>IF(LEFT('📅 Calendrier'!$D41,2)="S1",MID('📅 Calendrier'!$D41,SEARCH("séance",'📅 Calendrier'!$D41)+7,2),"")</f>
        <v/>
      </c>
      <c r="AK6" s="168">
        <f>IF(LEFT('📅 Calendrier'!$D42,2)="S1",MID('📅 Calendrier'!$D42,SEARCH("séance",'📅 Calendrier'!$D42)+7,2),"")</f>
        <v/>
      </c>
      <c r="AL6" s="168">
        <f>IF(LEFT('📅 Calendrier'!$D43,2)="S1",MID('📅 Calendrier'!$D43,SEARCH("séance",'📅 Calendrier'!$D43)+7,2),"")</f>
        <v/>
      </c>
      <c r="AM6" s="168">
        <f>IF(LEFT('📅 Calendrier'!$D44,2)="S1",MID('📅 Calendrier'!$D44,SEARCH("séance",'📅 Calendrier'!$D44)+7,2),"")</f>
        <v/>
      </c>
    </row>
    <row r="7" ht="15" customHeight="1" s="105">
      <c r="B7" s="167" t="inlineStr">
        <is>
          <t>S2 · Comparer pour choisir</t>
        </is>
      </c>
      <c r="C7" s="168">
        <f>IF(LEFT('📅 Calendrier'!$D4,2)="S2",MID('📅 Calendrier'!$D4,SEARCH("séance",'📅 Calendrier'!$D4)+7,2),"")</f>
        <v/>
      </c>
      <c r="D7" s="168">
        <f>IF(LEFT('📅 Calendrier'!$D5,2)="S2",MID('📅 Calendrier'!$D5,SEARCH("séance",'📅 Calendrier'!$D5)+7,2),"")</f>
        <v/>
      </c>
      <c r="E7" s="168">
        <f>IF(LEFT('📅 Calendrier'!$D6,2)="S2",MID('📅 Calendrier'!$D6,SEARCH("séance",'📅 Calendrier'!$D6)+7,2),"")</f>
        <v/>
      </c>
      <c r="F7" s="168">
        <f>IF(LEFT('📅 Calendrier'!$D7,2)="S2",MID('📅 Calendrier'!$D7,SEARCH("séance",'📅 Calendrier'!$D7)+7,2),"")</f>
        <v/>
      </c>
      <c r="G7" s="168">
        <f>IF(LEFT('📅 Calendrier'!$D8,2)="S2",MID('📅 Calendrier'!$D8,SEARCH("séance",'📅 Calendrier'!$D8)+7,2),"")</f>
        <v/>
      </c>
      <c r="H7" s="168">
        <f>IF(LEFT('📅 Calendrier'!$D9,2)="S2",MID('📅 Calendrier'!$D9,SEARCH("séance",'📅 Calendrier'!$D9)+7,2),"")</f>
        <v/>
      </c>
      <c r="I7" s="168">
        <f>IF(LEFT('📅 Calendrier'!$D10,2)="S2",MID('📅 Calendrier'!$D10,SEARCH("séance",'📅 Calendrier'!$D10)+7,2),"")</f>
        <v/>
      </c>
      <c r="J7" s="168">
        <f>IF(LEFT('📅 Calendrier'!$D11,2)="S2",MID('📅 Calendrier'!$D11,SEARCH("séance",'📅 Calendrier'!$D11)+7,2),"")</f>
        <v/>
      </c>
      <c r="K7" s="168">
        <f>IF(LEFT('📅 Calendrier'!$D13,2)="S2",MID('📅 Calendrier'!$D13,SEARCH("séance",'📅 Calendrier'!$D13)+7,2),"")</f>
        <v/>
      </c>
      <c r="L7" s="168">
        <f>IF(LEFT('📅 Calendrier'!$D14,2)="S2",MID('📅 Calendrier'!$D14,SEARCH("séance",'📅 Calendrier'!$D14)+7,2),"")</f>
        <v/>
      </c>
      <c r="M7" s="168">
        <f>IF(LEFT('📅 Calendrier'!$D15,2)="S2",MID('📅 Calendrier'!$D15,SEARCH("séance",'📅 Calendrier'!$D15)+7,2),"")</f>
        <v/>
      </c>
      <c r="N7" s="168">
        <f>IF(LEFT('📅 Calendrier'!$D16,2)="S2",MID('📅 Calendrier'!$D16,SEARCH("séance",'📅 Calendrier'!$D16)+7,2),"")</f>
        <v/>
      </c>
      <c r="O7" s="168">
        <f>IF(LEFT('📅 Calendrier'!$D17,2)="S2",MID('📅 Calendrier'!$D17,SEARCH("séance",'📅 Calendrier'!$D17)+7,2),"")</f>
        <v/>
      </c>
      <c r="P7" s="168">
        <f>IF(LEFT('📅 Calendrier'!$D18,2)="S2",MID('📅 Calendrier'!$D18,SEARCH("séance",'📅 Calendrier'!$D18)+7,2),"")</f>
        <v/>
      </c>
      <c r="Q7" s="168">
        <f>IF(LEFT('📅 Calendrier'!$D19,2)="S2",MID('📅 Calendrier'!$D19,SEARCH("séance",'📅 Calendrier'!$D19)+7,2),"")</f>
        <v/>
      </c>
      <c r="R7" s="168">
        <f>IF(LEFT('📅 Calendrier'!$D21,2)="S2",MID('📅 Calendrier'!$D21,SEARCH("séance",'📅 Calendrier'!$D21)+7,2),"")</f>
        <v/>
      </c>
      <c r="S7" s="168">
        <f>IF(LEFT('📅 Calendrier'!$D22,2)="S2",MID('📅 Calendrier'!$D22,SEARCH("séance",'📅 Calendrier'!$D22)+7,2),"")</f>
        <v/>
      </c>
      <c r="T7" s="168">
        <f>IF(LEFT('📅 Calendrier'!$D23,2)="S2",MID('📅 Calendrier'!$D23,SEARCH("séance",'📅 Calendrier'!$D23)+7,2),"")</f>
        <v/>
      </c>
      <c r="U7" s="168">
        <f>IF(LEFT('📅 Calendrier'!$D24,2)="S2",MID('📅 Calendrier'!$D24,SEARCH("séance",'📅 Calendrier'!$D24)+7,2),"")</f>
        <v/>
      </c>
      <c r="V7" s="168">
        <f>IF(LEFT('📅 Calendrier'!$D25,2)="S2",MID('📅 Calendrier'!$D25,SEARCH("séance",'📅 Calendrier'!$D25)+7,2),"")</f>
        <v/>
      </c>
      <c r="W7" s="168">
        <f>IF(LEFT('📅 Calendrier'!$D27,2)="S2",MID('📅 Calendrier'!$D27,SEARCH("séance",'📅 Calendrier'!$D27)+7,2),"")</f>
        <v/>
      </c>
      <c r="X7" s="168">
        <f>IF(LEFT('📅 Calendrier'!$D28,2)="S2",MID('📅 Calendrier'!$D28,SEARCH("séance",'📅 Calendrier'!$D28)+7,2),"")</f>
        <v/>
      </c>
      <c r="Y7" s="168">
        <f>IF(LEFT('📅 Calendrier'!$D29,2)="S2",MID('📅 Calendrier'!$D29,SEARCH("séance",'📅 Calendrier'!$D29)+7,2),"")</f>
        <v/>
      </c>
      <c r="Z7" s="168">
        <f>IF(LEFT('📅 Calendrier'!$D30,2)="S2",MID('📅 Calendrier'!$D30,SEARCH("séance",'📅 Calendrier'!$D30)+7,2),"")</f>
        <v/>
      </c>
      <c r="AA7" s="168">
        <f>IF(LEFT('📅 Calendrier'!$D31,2)="S2",MID('📅 Calendrier'!$D31,SEARCH("séance",'📅 Calendrier'!$D31)+7,2),"")</f>
        <v/>
      </c>
      <c r="AB7" s="168">
        <f>IF(LEFT('📅 Calendrier'!$D32,2)="S2",MID('📅 Calendrier'!$D32,SEARCH("séance",'📅 Calendrier'!$D32)+7,2),"")</f>
        <v/>
      </c>
      <c r="AC7" s="168">
        <f>IF(LEFT('📅 Calendrier'!$D33,2)="S2",MID('📅 Calendrier'!$D33,SEARCH("séance",'📅 Calendrier'!$D33)+7,2),"")</f>
        <v/>
      </c>
      <c r="AD7" s="168">
        <f>IF(LEFT('📅 Calendrier'!$D34,2)="S2",MID('📅 Calendrier'!$D34,SEARCH("séance",'📅 Calendrier'!$D34)+7,2),"")</f>
        <v/>
      </c>
      <c r="AE7" s="168">
        <f>IF(LEFT('📅 Calendrier'!$D36,2)="S2",MID('📅 Calendrier'!$D36,SEARCH("séance",'📅 Calendrier'!$D36)+7,2),"")</f>
        <v/>
      </c>
      <c r="AF7" s="168">
        <f>IF(LEFT('📅 Calendrier'!$D37,2)="S2",MID('📅 Calendrier'!$D37,SEARCH("séance",'📅 Calendrier'!$D37)+7,2),"")</f>
        <v/>
      </c>
      <c r="AG7" s="168">
        <f>IF(LEFT('📅 Calendrier'!$D38,2)="S2",MID('📅 Calendrier'!$D38,SEARCH("séance",'📅 Calendrier'!$D38)+7,2),"")</f>
        <v/>
      </c>
      <c r="AH7" s="168">
        <f>IF(LEFT('📅 Calendrier'!$D39,2)="S2",MID('📅 Calendrier'!$D39,SEARCH("séance",'📅 Calendrier'!$D39)+7,2),"")</f>
        <v/>
      </c>
      <c r="AI7" s="168">
        <f>IF(LEFT('📅 Calendrier'!$D40,2)="S2",MID('📅 Calendrier'!$D40,SEARCH("séance",'📅 Calendrier'!$D40)+7,2),"")</f>
        <v/>
      </c>
      <c r="AJ7" s="168">
        <f>IF(LEFT('📅 Calendrier'!$D41,2)="S2",MID('📅 Calendrier'!$D41,SEARCH("séance",'📅 Calendrier'!$D41)+7,2),"")</f>
        <v/>
      </c>
      <c r="AK7" s="168">
        <f>IF(LEFT('📅 Calendrier'!$D42,2)="S2",MID('📅 Calendrier'!$D42,SEARCH("séance",'📅 Calendrier'!$D42)+7,2),"")</f>
        <v/>
      </c>
      <c r="AL7" s="168">
        <f>IF(LEFT('📅 Calendrier'!$D43,2)="S2",MID('📅 Calendrier'!$D43,SEARCH("séance",'📅 Calendrier'!$D43)+7,2),"")</f>
        <v/>
      </c>
      <c r="AM7" s="168">
        <f>IF(LEFT('📅 Calendrier'!$D44,2)="S2",MID('📅 Calendrier'!$D44,SEARCH("séance",'📅 Calendrier'!$D44)+7,2),"")</f>
        <v/>
      </c>
    </row>
    <row r="8" ht="15" customHeight="1" s="105">
      <c r="B8" s="167" t="inlineStr">
        <is>
          <t>S3 · Chaîne d'énergie</t>
        </is>
      </c>
      <c r="C8" s="168">
        <f>IF(LEFT('📅 Calendrier'!$D4,2)="S3",MID('📅 Calendrier'!$D4,SEARCH("séance",'📅 Calendrier'!$D4)+7,2),"")</f>
        <v/>
      </c>
      <c r="D8" s="168">
        <f>IF(LEFT('📅 Calendrier'!$D5,2)="S3",MID('📅 Calendrier'!$D5,SEARCH("séance",'📅 Calendrier'!$D5)+7,2),"")</f>
        <v/>
      </c>
      <c r="E8" s="168">
        <f>IF(LEFT('📅 Calendrier'!$D6,2)="S3",MID('📅 Calendrier'!$D6,SEARCH("séance",'📅 Calendrier'!$D6)+7,2),"")</f>
        <v/>
      </c>
      <c r="F8" s="168">
        <f>IF(LEFT('📅 Calendrier'!$D7,2)="S3",MID('📅 Calendrier'!$D7,SEARCH("séance",'📅 Calendrier'!$D7)+7,2),"")</f>
        <v/>
      </c>
      <c r="G8" s="168">
        <f>IF(LEFT('📅 Calendrier'!$D8,2)="S3",MID('📅 Calendrier'!$D8,SEARCH("séance",'📅 Calendrier'!$D8)+7,2),"")</f>
        <v/>
      </c>
      <c r="H8" s="168">
        <f>IF(LEFT('📅 Calendrier'!$D9,2)="S3",MID('📅 Calendrier'!$D9,SEARCH("séance",'📅 Calendrier'!$D9)+7,2),"")</f>
        <v/>
      </c>
      <c r="I8" s="168">
        <f>IF(LEFT('📅 Calendrier'!$D10,2)="S3",MID('📅 Calendrier'!$D10,SEARCH("séance",'📅 Calendrier'!$D10)+7,2),"")</f>
        <v/>
      </c>
      <c r="J8" s="168">
        <f>IF(LEFT('📅 Calendrier'!$D11,2)="S3",MID('📅 Calendrier'!$D11,SEARCH("séance",'📅 Calendrier'!$D11)+7,2),"")</f>
        <v/>
      </c>
      <c r="K8" s="168">
        <f>IF(LEFT('📅 Calendrier'!$D13,2)="S3",MID('📅 Calendrier'!$D13,SEARCH("séance",'📅 Calendrier'!$D13)+7,2),"")</f>
        <v/>
      </c>
      <c r="L8" s="168">
        <f>IF(LEFT('📅 Calendrier'!$D14,2)="S3",MID('📅 Calendrier'!$D14,SEARCH("séance",'📅 Calendrier'!$D14)+7,2),"")</f>
        <v/>
      </c>
      <c r="M8" s="168">
        <f>IF(LEFT('📅 Calendrier'!$D15,2)="S3",MID('📅 Calendrier'!$D15,SEARCH("séance",'📅 Calendrier'!$D15)+7,2),"")</f>
        <v/>
      </c>
      <c r="N8" s="168">
        <f>IF(LEFT('📅 Calendrier'!$D16,2)="S3",MID('📅 Calendrier'!$D16,SEARCH("séance",'📅 Calendrier'!$D16)+7,2),"")</f>
        <v/>
      </c>
      <c r="O8" s="168">
        <f>IF(LEFT('📅 Calendrier'!$D17,2)="S3",MID('📅 Calendrier'!$D17,SEARCH("séance",'📅 Calendrier'!$D17)+7,2),"")</f>
        <v/>
      </c>
      <c r="P8" s="168">
        <f>IF(LEFT('📅 Calendrier'!$D18,2)="S3",MID('📅 Calendrier'!$D18,SEARCH("séance",'📅 Calendrier'!$D18)+7,2),"")</f>
        <v/>
      </c>
      <c r="Q8" s="168">
        <f>IF(LEFT('📅 Calendrier'!$D19,2)="S3",MID('📅 Calendrier'!$D19,SEARCH("séance",'📅 Calendrier'!$D19)+7,2),"")</f>
        <v/>
      </c>
      <c r="R8" s="168">
        <f>IF(LEFT('📅 Calendrier'!$D21,2)="S3",MID('📅 Calendrier'!$D21,SEARCH("séance",'📅 Calendrier'!$D21)+7,2),"")</f>
        <v/>
      </c>
      <c r="S8" s="168">
        <f>IF(LEFT('📅 Calendrier'!$D22,2)="S3",MID('📅 Calendrier'!$D22,SEARCH("séance",'📅 Calendrier'!$D22)+7,2),"")</f>
        <v/>
      </c>
      <c r="T8" s="168">
        <f>IF(LEFT('📅 Calendrier'!$D23,2)="S3",MID('📅 Calendrier'!$D23,SEARCH("séance",'📅 Calendrier'!$D23)+7,2),"")</f>
        <v/>
      </c>
      <c r="U8" s="168">
        <f>IF(LEFT('📅 Calendrier'!$D24,2)="S3",MID('📅 Calendrier'!$D24,SEARCH("séance",'📅 Calendrier'!$D24)+7,2),"")</f>
        <v/>
      </c>
      <c r="V8" s="168">
        <f>IF(LEFT('📅 Calendrier'!$D25,2)="S3",MID('📅 Calendrier'!$D25,SEARCH("séance",'📅 Calendrier'!$D25)+7,2),"")</f>
        <v/>
      </c>
      <c r="W8" s="168">
        <f>IF(LEFT('📅 Calendrier'!$D27,2)="S3",MID('📅 Calendrier'!$D27,SEARCH("séance",'📅 Calendrier'!$D27)+7,2),"")</f>
        <v/>
      </c>
      <c r="X8" s="168">
        <f>IF(LEFT('📅 Calendrier'!$D28,2)="S3",MID('📅 Calendrier'!$D28,SEARCH("séance",'📅 Calendrier'!$D28)+7,2),"")</f>
        <v/>
      </c>
      <c r="Y8" s="168">
        <f>IF(LEFT('📅 Calendrier'!$D29,2)="S3",MID('📅 Calendrier'!$D29,SEARCH("séance",'📅 Calendrier'!$D29)+7,2),"")</f>
        <v/>
      </c>
      <c r="Z8" s="168">
        <f>IF(LEFT('📅 Calendrier'!$D30,2)="S3",MID('📅 Calendrier'!$D30,SEARCH("séance",'📅 Calendrier'!$D30)+7,2),"")</f>
        <v/>
      </c>
      <c r="AA8" s="168">
        <f>IF(LEFT('📅 Calendrier'!$D31,2)="S3",MID('📅 Calendrier'!$D31,SEARCH("séance",'📅 Calendrier'!$D31)+7,2),"")</f>
        <v/>
      </c>
      <c r="AB8" s="168">
        <f>IF(LEFT('📅 Calendrier'!$D32,2)="S3",MID('📅 Calendrier'!$D32,SEARCH("séance",'📅 Calendrier'!$D32)+7,2),"")</f>
        <v/>
      </c>
      <c r="AC8" s="168">
        <f>IF(LEFT('📅 Calendrier'!$D33,2)="S3",MID('📅 Calendrier'!$D33,SEARCH("séance",'📅 Calendrier'!$D33)+7,2),"")</f>
        <v/>
      </c>
      <c r="AD8" s="168">
        <f>IF(LEFT('📅 Calendrier'!$D34,2)="S3",MID('📅 Calendrier'!$D34,SEARCH("séance",'📅 Calendrier'!$D34)+7,2),"")</f>
        <v/>
      </c>
      <c r="AE8" s="168">
        <f>IF(LEFT('📅 Calendrier'!$D36,2)="S3",MID('📅 Calendrier'!$D36,SEARCH("séance",'📅 Calendrier'!$D36)+7,2),"")</f>
        <v/>
      </c>
      <c r="AF8" s="168">
        <f>IF(LEFT('📅 Calendrier'!$D37,2)="S3",MID('📅 Calendrier'!$D37,SEARCH("séance",'📅 Calendrier'!$D37)+7,2),"")</f>
        <v/>
      </c>
      <c r="AG8" s="168">
        <f>IF(LEFT('📅 Calendrier'!$D38,2)="S3",MID('📅 Calendrier'!$D38,SEARCH("séance",'📅 Calendrier'!$D38)+7,2),"")</f>
        <v/>
      </c>
      <c r="AH8" s="168">
        <f>IF(LEFT('📅 Calendrier'!$D39,2)="S3",MID('📅 Calendrier'!$D39,SEARCH("séance",'📅 Calendrier'!$D39)+7,2),"")</f>
        <v/>
      </c>
      <c r="AI8" s="168">
        <f>IF(LEFT('📅 Calendrier'!$D40,2)="S3",MID('📅 Calendrier'!$D40,SEARCH("séance",'📅 Calendrier'!$D40)+7,2),"")</f>
        <v/>
      </c>
      <c r="AJ8" s="168">
        <f>IF(LEFT('📅 Calendrier'!$D41,2)="S3",MID('📅 Calendrier'!$D41,SEARCH("séance",'📅 Calendrier'!$D41)+7,2),"")</f>
        <v/>
      </c>
      <c r="AK8" s="168">
        <f>IF(LEFT('📅 Calendrier'!$D42,2)="S3",MID('📅 Calendrier'!$D42,SEARCH("séance",'📅 Calendrier'!$D42)+7,2),"")</f>
        <v/>
      </c>
      <c r="AL8" s="168">
        <f>IF(LEFT('📅 Calendrier'!$D43,2)="S3",MID('📅 Calendrier'!$D43,SEARCH("séance",'📅 Calendrier'!$D43)+7,2),"")</f>
        <v/>
      </c>
      <c r="AM8" s="168">
        <f>IF(LEFT('📅 Calendrier'!$D44,2)="S3",MID('📅 Calendrier'!$D44,SEARCH("séance",'📅 Calendrier'!$D44)+7,2),"")</f>
        <v/>
      </c>
    </row>
    <row r="9" ht="15" customHeight="1" s="105">
      <c r="B9" s="169" t="inlineStr">
        <is>
          <t>S4 · Lampadaire (1) : information &amp; programmes</t>
        </is>
      </c>
      <c r="C9" s="168">
        <f>IF(LEFT('📅 Calendrier'!$D4,2)="S4",MID('📅 Calendrier'!$D4,SEARCH("séance",'📅 Calendrier'!$D4)+7,2),"")</f>
        <v/>
      </c>
      <c r="D9" s="168">
        <f>IF(LEFT('📅 Calendrier'!$D5,2)="S4",MID('📅 Calendrier'!$D5,SEARCH("séance",'📅 Calendrier'!$D5)+7,2),"")</f>
        <v/>
      </c>
      <c r="E9" s="168">
        <f>IF(LEFT('📅 Calendrier'!$D6,2)="S4",MID('📅 Calendrier'!$D6,SEARCH("séance",'📅 Calendrier'!$D6)+7,2),"")</f>
        <v/>
      </c>
      <c r="F9" s="168">
        <f>IF(LEFT('📅 Calendrier'!$D7,2)="S4",MID('📅 Calendrier'!$D7,SEARCH("séance",'📅 Calendrier'!$D7)+7,2),"")</f>
        <v/>
      </c>
      <c r="G9" s="168">
        <f>IF(LEFT('📅 Calendrier'!$D8,2)="S4",MID('📅 Calendrier'!$D8,SEARCH("séance",'📅 Calendrier'!$D8)+7,2),"")</f>
        <v/>
      </c>
      <c r="H9" s="168">
        <f>IF(LEFT('📅 Calendrier'!$D9,2)="S4",MID('📅 Calendrier'!$D9,SEARCH("séance",'📅 Calendrier'!$D9)+7,2),"")</f>
        <v/>
      </c>
      <c r="I9" s="168">
        <f>IF(LEFT('📅 Calendrier'!$D10,2)="S4",MID('📅 Calendrier'!$D10,SEARCH("séance",'📅 Calendrier'!$D10)+7,2),"")</f>
        <v/>
      </c>
      <c r="J9" s="168">
        <f>IF(LEFT('📅 Calendrier'!$D11,2)="S4",MID('📅 Calendrier'!$D11,SEARCH("séance",'📅 Calendrier'!$D11)+7,2),"")</f>
        <v/>
      </c>
      <c r="K9" s="168">
        <f>IF(LEFT('📅 Calendrier'!$D13,2)="S4",MID('📅 Calendrier'!$D13,SEARCH("séance",'📅 Calendrier'!$D13)+7,2),"")</f>
        <v/>
      </c>
      <c r="L9" s="168">
        <f>IF(LEFT('📅 Calendrier'!$D14,2)="S4",MID('📅 Calendrier'!$D14,SEARCH("séance",'📅 Calendrier'!$D14)+7,2),"")</f>
        <v/>
      </c>
      <c r="M9" s="168">
        <f>IF(LEFT('📅 Calendrier'!$D15,2)="S4",MID('📅 Calendrier'!$D15,SEARCH("séance",'📅 Calendrier'!$D15)+7,2),"")</f>
        <v/>
      </c>
      <c r="N9" s="168">
        <f>IF(LEFT('📅 Calendrier'!$D16,2)="S4",MID('📅 Calendrier'!$D16,SEARCH("séance",'📅 Calendrier'!$D16)+7,2),"")</f>
        <v/>
      </c>
      <c r="O9" s="168">
        <f>IF(LEFT('📅 Calendrier'!$D17,2)="S4",MID('📅 Calendrier'!$D17,SEARCH("séance",'📅 Calendrier'!$D17)+7,2),"")</f>
        <v/>
      </c>
      <c r="P9" s="168">
        <f>IF(LEFT('📅 Calendrier'!$D18,2)="S4",MID('📅 Calendrier'!$D18,SEARCH("séance",'📅 Calendrier'!$D18)+7,2),"")</f>
        <v/>
      </c>
      <c r="Q9" s="168">
        <f>IF(LEFT('📅 Calendrier'!$D19,2)="S4",MID('📅 Calendrier'!$D19,SEARCH("séance",'📅 Calendrier'!$D19)+7,2),"")</f>
        <v/>
      </c>
      <c r="R9" s="168">
        <f>IF(LEFT('📅 Calendrier'!$D21,2)="S4",MID('📅 Calendrier'!$D21,SEARCH("séance",'📅 Calendrier'!$D21)+7,2),"")</f>
        <v/>
      </c>
      <c r="S9" s="168">
        <f>IF(LEFT('📅 Calendrier'!$D22,2)="S4",MID('📅 Calendrier'!$D22,SEARCH("séance",'📅 Calendrier'!$D22)+7,2),"")</f>
        <v/>
      </c>
      <c r="T9" s="168">
        <f>IF(LEFT('📅 Calendrier'!$D23,2)="S4",MID('📅 Calendrier'!$D23,SEARCH("séance",'📅 Calendrier'!$D23)+7,2),"")</f>
        <v/>
      </c>
      <c r="U9" s="168">
        <f>IF(LEFT('📅 Calendrier'!$D24,2)="S4",MID('📅 Calendrier'!$D24,SEARCH("séance",'📅 Calendrier'!$D24)+7,2),"")</f>
        <v/>
      </c>
      <c r="V9" s="168">
        <f>IF(LEFT('📅 Calendrier'!$D25,2)="S4",MID('📅 Calendrier'!$D25,SEARCH("séance",'📅 Calendrier'!$D25)+7,2),"")</f>
        <v/>
      </c>
      <c r="W9" s="168">
        <f>IF(LEFT('📅 Calendrier'!$D27,2)="S4",MID('📅 Calendrier'!$D27,SEARCH("séance",'📅 Calendrier'!$D27)+7,2),"")</f>
        <v/>
      </c>
      <c r="X9" s="168">
        <f>IF(LEFT('📅 Calendrier'!$D28,2)="S4",MID('📅 Calendrier'!$D28,SEARCH("séance",'📅 Calendrier'!$D28)+7,2),"")</f>
        <v/>
      </c>
      <c r="Y9" s="168">
        <f>IF(LEFT('📅 Calendrier'!$D29,2)="S4",MID('📅 Calendrier'!$D29,SEARCH("séance",'📅 Calendrier'!$D29)+7,2),"")</f>
        <v/>
      </c>
      <c r="Z9" s="168">
        <f>IF(LEFT('📅 Calendrier'!$D30,2)="S4",MID('📅 Calendrier'!$D30,SEARCH("séance",'📅 Calendrier'!$D30)+7,2),"")</f>
        <v/>
      </c>
      <c r="AA9" s="168">
        <f>IF(LEFT('📅 Calendrier'!$D31,2)="S4",MID('📅 Calendrier'!$D31,SEARCH("séance",'📅 Calendrier'!$D31)+7,2),"")</f>
        <v/>
      </c>
      <c r="AB9" s="168">
        <f>IF(LEFT('📅 Calendrier'!$D32,2)="S4",MID('📅 Calendrier'!$D32,SEARCH("séance",'📅 Calendrier'!$D32)+7,2),"")</f>
        <v/>
      </c>
      <c r="AC9" s="168">
        <f>IF(LEFT('📅 Calendrier'!$D33,2)="S4",MID('📅 Calendrier'!$D33,SEARCH("séance",'📅 Calendrier'!$D33)+7,2),"")</f>
        <v/>
      </c>
      <c r="AD9" s="168">
        <f>IF(LEFT('📅 Calendrier'!$D34,2)="S4",MID('📅 Calendrier'!$D34,SEARCH("séance",'📅 Calendrier'!$D34)+7,2),"")</f>
        <v/>
      </c>
      <c r="AE9" s="168">
        <f>IF(LEFT('📅 Calendrier'!$D36,2)="S4",MID('📅 Calendrier'!$D36,SEARCH("séance",'📅 Calendrier'!$D36)+7,2),"")</f>
        <v/>
      </c>
      <c r="AF9" s="168">
        <f>IF(LEFT('📅 Calendrier'!$D37,2)="S4",MID('📅 Calendrier'!$D37,SEARCH("séance",'📅 Calendrier'!$D37)+7,2),"")</f>
        <v/>
      </c>
      <c r="AG9" s="168">
        <f>IF(LEFT('📅 Calendrier'!$D38,2)="S4",MID('📅 Calendrier'!$D38,SEARCH("séance",'📅 Calendrier'!$D38)+7,2),"")</f>
        <v/>
      </c>
      <c r="AH9" s="168">
        <f>IF(LEFT('📅 Calendrier'!$D39,2)="S4",MID('📅 Calendrier'!$D39,SEARCH("séance",'📅 Calendrier'!$D39)+7,2),"")</f>
        <v/>
      </c>
      <c r="AI9" s="168">
        <f>IF(LEFT('📅 Calendrier'!$D40,2)="S4",MID('📅 Calendrier'!$D40,SEARCH("séance",'📅 Calendrier'!$D40)+7,2),"")</f>
        <v/>
      </c>
      <c r="AJ9" s="168">
        <f>IF(LEFT('📅 Calendrier'!$D41,2)="S4",MID('📅 Calendrier'!$D41,SEARCH("séance",'📅 Calendrier'!$D41)+7,2),"")</f>
        <v/>
      </c>
      <c r="AK9" s="168">
        <f>IF(LEFT('📅 Calendrier'!$D42,2)="S4",MID('📅 Calendrier'!$D42,SEARCH("séance",'📅 Calendrier'!$D42)+7,2),"")</f>
        <v/>
      </c>
      <c r="AL9" s="168">
        <f>IF(LEFT('📅 Calendrier'!$D43,2)="S4",MID('📅 Calendrier'!$D43,SEARCH("séance",'📅 Calendrier'!$D43)+7,2),"")</f>
        <v/>
      </c>
      <c r="AM9" s="168">
        <f>IF(LEFT('📅 Calendrier'!$D44,2)="S4",MID('📅 Calendrier'!$D44,SEARCH("séance",'📅 Calendrier'!$D44)+7,2),"")</f>
        <v/>
      </c>
    </row>
    <row r="10" ht="15" customHeight="1" s="105">
      <c r="B10" s="169" t="inlineStr">
        <is>
          <t>S5 · Lampadaire (2) : réseau local</t>
        </is>
      </c>
      <c r="C10" s="168">
        <f>IF(LEFT('📅 Calendrier'!$D4,2)="S5",MID('📅 Calendrier'!$D4,SEARCH("séance",'📅 Calendrier'!$D4)+7,2),"")</f>
        <v/>
      </c>
      <c r="D10" s="168">
        <f>IF(LEFT('📅 Calendrier'!$D5,2)="S5",MID('📅 Calendrier'!$D5,SEARCH("séance",'📅 Calendrier'!$D5)+7,2),"")</f>
        <v/>
      </c>
      <c r="E10" s="168">
        <f>IF(LEFT('📅 Calendrier'!$D6,2)="S5",MID('📅 Calendrier'!$D6,SEARCH("séance",'📅 Calendrier'!$D6)+7,2),"")</f>
        <v/>
      </c>
      <c r="F10" s="168">
        <f>IF(LEFT('📅 Calendrier'!$D7,2)="S5",MID('📅 Calendrier'!$D7,SEARCH("séance",'📅 Calendrier'!$D7)+7,2),"")</f>
        <v/>
      </c>
      <c r="G10" s="168">
        <f>IF(LEFT('📅 Calendrier'!$D8,2)="S5",MID('📅 Calendrier'!$D8,SEARCH("séance",'📅 Calendrier'!$D8)+7,2),"")</f>
        <v/>
      </c>
      <c r="H10" s="168">
        <f>IF(LEFT('📅 Calendrier'!$D9,2)="S5",MID('📅 Calendrier'!$D9,SEARCH("séance",'📅 Calendrier'!$D9)+7,2),"")</f>
        <v/>
      </c>
      <c r="I10" s="168">
        <f>IF(LEFT('📅 Calendrier'!$D10,2)="S5",MID('📅 Calendrier'!$D10,SEARCH("séance",'📅 Calendrier'!$D10)+7,2),"")</f>
        <v/>
      </c>
      <c r="J10" s="168">
        <f>IF(LEFT('📅 Calendrier'!$D11,2)="S5",MID('📅 Calendrier'!$D11,SEARCH("séance",'📅 Calendrier'!$D11)+7,2),"")</f>
        <v/>
      </c>
      <c r="K10" s="168">
        <f>IF(LEFT('📅 Calendrier'!$D13,2)="S5",MID('📅 Calendrier'!$D13,SEARCH("séance",'📅 Calendrier'!$D13)+7,2),"")</f>
        <v/>
      </c>
      <c r="L10" s="168">
        <f>IF(LEFT('📅 Calendrier'!$D14,2)="S5",MID('📅 Calendrier'!$D14,SEARCH("séance",'📅 Calendrier'!$D14)+7,2),"")</f>
        <v/>
      </c>
      <c r="M10" s="168">
        <f>IF(LEFT('📅 Calendrier'!$D15,2)="S5",MID('📅 Calendrier'!$D15,SEARCH("séance",'📅 Calendrier'!$D15)+7,2),"")</f>
        <v/>
      </c>
      <c r="N10" s="168">
        <f>IF(LEFT('📅 Calendrier'!$D16,2)="S5",MID('📅 Calendrier'!$D16,SEARCH("séance",'📅 Calendrier'!$D16)+7,2),"")</f>
        <v/>
      </c>
      <c r="O10" s="168">
        <f>IF(LEFT('📅 Calendrier'!$D17,2)="S5",MID('📅 Calendrier'!$D17,SEARCH("séance",'📅 Calendrier'!$D17)+7,2),"")</f>
        <v/>
      </c>
      <c r="P10" s="168">
        <f>IF(LEFT('📅 Calendrier'!$D18,2)="S5",MID('📅 Calendrier'!$D18,SEARCH("séance",'📅 Calendrier'!$D18)+7,2),"")</f>
        <v/>
      </c>
      <c r="Q10" s="168">
        <f>IF(LEFT('📅 Calendrier'!$D19,2)="S5",MID('📅 Calendrier'!$D19,SEARCH("séance",'📅 Calendrier'!$D19)+7,2),"")</f>
        <v/>
      </c>
      <c r="R10" s="168">
        <f>IF(LEFT('📅 Calendrier'!$D21,2)="S5",MID('📅 Calendrier'!$D21,SEARCH("séance",'📅 Calendrier'!$D21)+7,2),"")</f>
        <v/>
      </c>
      <c r="S10" s="168">
        <f>IF(LEFT('📅 Calendrier'!$D22,2)="S5",MID('📅 Calendrier'!$D22,SEARCH("séance",'📅 Calendrier'!$D22)+7,2),"")</f>
        <v/>
      </c>
      <c r="T10" s="168">
        <f>IF(LEFT('📅 Calendrier'!$D23,2)="S5",MID('📅 Calendrier'!$D23,SEARCH("séance",'📅 Calendrier'!$D23)+7,2),"")</f>
        <v/>
      </c>
      <c r="U10" s="168">
        <f>IF(LEFT('📅 Calendrier'!$D24,2)="S5",MID('📅 Calendrier'!$D24,SEARCH("séance",'📅 Calendrier'!$D24)+7,2),"")</f>
        <v/>
      </c>
      <c r="V10" s="168">
        <f>IF(LEFT('📅 Calendrier'!$D25,2)="S5",MID('📅 Calendrier'!$D25,SEARCH("séance",'📅 Calendrier'!$D25)+7,2),"")</f>
        <v/>
      </c>
      <c r="W10" s="168">
        <f>IF(LEFT('📅 Calendrier'!$D27,2)="S5",MID('📅 Calendrier'!$D27,SEARCH("séance",'📅 Calendrier'!$D27)+7,2),"")</f>
        <v/>
      </c>
      <c r="X10" s="168">
        <f>IF(LEFT('📅 Calendrier'!$D28,2)="S5",MID('📅 Calendrier'!$D28,SEARCH("séance",'📅 Calendrier'!$D28)+7,2),"")</f>
        <v/>
      </c>
      <c r="Y10" s="168">
        <f>IF(LEFT('📅 Calendrier'!$D29,2)="S5",MID('📅 Calendrier'!$D29,SEARCH("séance",'📅 Calendrier'!$D29)+7,2),"")</f>
        <v/>
      </c>
      <c r="Z10" s="168">
        <f>IF(LEFT('📅 Calendrier'!$D30,2)="S5",MID('📅 Calendrier'!$D30,SEARCH("séance",'📅 Calendrier'!$D30)+7,2),"")</f>
        <v/>
      </c>
      <c r="AA10" s="168">
        <f>IF(LEFT('📅 Calendrier'!$D31,2)="S5",MID('📅 Calendrier'!$D31,SEARCH("séance",'📅 Calendrier'!$D31)+7,2),"")</f>
        <v/>
      </c>
      <c r="AB10" s="168">
        <f>IF(LEFT('📅 Calendrier'!$D32,2)="S5",MID('📅 Calendrier'!$D32,SEARCH("séance",'📅 Calendrier'!$D32)+7,2),"")</f>
        <v/>
      </c>
      <c r="AC10" s="168">
        <f>IF(LEFT('📅 Calendrier'!$D33,2)="S5",MID('📅 Calendrier'!$D33,SEARCH("séance",'📅 Calendrier'!$D33)+7,2),"")</f>
        <v/>
      </c>
      <c r="AD10" s="168">
        <f>IF(LEFT('📅 Calendrier'!$D34,2)="S5",MID('📅 Calendrier'!$D34,SEARCH("séance",'📅 Calendrier'!$D34)+7,2),"")</f>
        <v/>
      </c>
      <c r="AE10" s="168">
        <f>IF(LEFT('📅 Calendrier'!$D36,2)="S5",MID('📅 Calendrier'!$D36,SEARCH("séance",'📅 Calendrier'!$D36)+7,2),"")</f>
        <v/>
      </c>
      <c r="AF10" s="168">
        <f>IF(LEFT('📅 Calendrier'!$D37,2)="S5",MID('📅 Calendrier'!$D37,SEARCH("séance",'📅 Calendrier'!$D37)+7,2),"")</f>
        <v/>
      </c>
      <c r="AG10" s="168">
        <f>IF(LEFT('📅 Calendrier'!$D38,2)="S5",MID('📅 Calendrier'!$D38,SEARCH("séance",'📅 Calendrier'!$D38)+7,2),"")</f>
        <v/>
      </c>
      <c r="AH10" s="168">
        <f>IF(LEFT('📅 Calendrier'!$D39,2)="S5",MID('📅 Calendrier'!$D39,SEARCH("séance",'📅 Calendrier'!$D39)+7,2),"")</f>
        <v/>
      </c>
      <c r="AI10" s="168">
        <f>IF(LEFT('📅 Calendrier'!$D40,2)="S5",MID('📅 Calendrier'!$D40,SEARCH("séance",'📅 Calendrier'!$D40)+7,2),"")</f>
        <v/>
      </c>
      <c r="AJ10" s="168">
        <f>IF(LEFT('📅 Calendrier'!$D41,2)="S5",MID('📅 Calendrier'!$D41,SEARCH("séance",'📅 Calendrier'!$D41)+7,2),"")</f>
        <v/>
      </c>
      <c r="AK10" s="168">
        <f>IF(LEFT('📅 Calendrier'!$D42,2)="S5",MID('📅 Calendrier'!$D42,SEARCH("séance",'📅 Calendrier'!$D42)+7,2),"")</f>
        <v/>
      </c>
      <c r="AL10" s="168">
        <f>IF(LEFT('📅 Calendrier'!$D43,2)="S5",MID('📅 Calendrier'!$D43,SEARCH("séance",'📅 Calendrier'!$D43)+7,2),"")</f>
        <v/>
      </c>
      <c r="AM10" s="168">
        <f>IF(LEFT('📅 Calendrier'!$D44,2)="S5",MID('📅 Calendrier'!$D44,SEARCH("séance",'📅 Calendrier'!$D44)+7,2),"")</f>
        <v/>
      </c>
    </row>
    <row r="11" ht="15" customHeight="1" s="105">
      <c r="B11" s="169" t="inlineStr">
        <is>
          <t>S6 · SOS panne</t>
        </is>
      </c>
      <c r="C11" s="168">
        <f>IF(LEFT('📅 Calendrier'!$D4,2)="S6",MID('📅 Calendrier'!$D4,SEARCH("séance",'📅 Calendrier'!$D4)+7,2),"")</f>
        <v/>
      </c>
      <c r="D11" s="168">
        <f>IF(LEFT('📅 Calendrier'!$D5,2)="S6",MID('📅 Calendrier'!$D5,SEARCH("séance",'📅 Calendrier'!$D5)+7,2),"")</f>
        <v/>
      </c>
      <c r="E11" s="168">
        <f>IF(LEFT('📅 Calendrier'!$D6,2)="S6",MID('📅 Calendrier'!$D6,SEARCH("séance",'📅 Calendrier'!$D6)+7,2),"")</f>
        <v/>
      </c>
      <c r="F11" s="168">
        <f>IF(LEFT('📅 Calendrier'!$D7,2)="S6",MID('📅 Calendrier'!$D7,SEARCH("séance",'📅 Calendrier'!$D7)+7,2),"")</f>
        <v/>
      </c>
      <c r="G11" s="168">
        <f>IF(LEFT('📅 Calendrier'!$D8,2)="S6",MID('📅 Calendrier'!$D8,SEARCH("séance",'📅 Calendrier'!$D8)+7,2),"")</f>
        <v/>
      </c>
      <c r="H11" s="168">
        <f>IF(LEFT('📅 Calendrier'!$D9,2)="S6",MID('📅 Calendrier'!$D9,SEARCH("séance",'📅 Calendrier'!$D9)+7,2),"")</f>
        <v/>
      </c>
      <c r="I11" s="168">
        <f>IF(LEFT('📅 Calendrier'!$D10,2)="S6",MID('📅 Calendrier'!$D10,SEARCH("séance",'📅 Calendrier'!$D10)+7,2),"")</f>
        <v/>
      </c>
      <c r="J11" s="168">
        <f>IF(LEFT('📅 Calendrier'!$D11,2)="S6",MID('📅 Calendrier'!$D11,SEARCH("séance",'📅 Calendrier'!$D11)+7,2),"")</f>
        <v/>
      </c>
      <c r="K11" s="168">
        <f>IF(LEFT('📅 Calendrier'!$D13,2)="S6",MID('📅 Calendrier'!$D13,SEARCH("séance",'📅 Calendrier'!$D13)+7,2),"")</f>
        <v/>
      </c>
      <c r="L11" s="168">
        <f>IF(LEFT('📅 Calendrier'!$D14,2)="S6",MID('📅 Calendrier'!$D14,SEARCH("séance",'📅 Calendrier'!$D14)+7,2),"")</f>
        <v/>
      </c>
      <c r="M11" s="168">
        <f>IF(LEFT('📅 Calendrier'!$D15,2)="S6",MID('📅 Calendrier'!$D15,SEARCH("séance",'📅 Calendrier'!$D15)+7,2),"")</f>
        <v/>
      </c>
      <c r="N11" s="168">
        <f>IF(LEFT('📅 Calendrier'!$D16,2)="S6",MID('📅 Calendrier'!$D16,SEARCH("séance",'📅 Calendrier'!$D16)+7,2),"")</f>
        <v/>
      </c>
      <c r="O11" s="168">
        <f>IF(LEFT('📅 Calendrier'!$D17,2)="S6",MID('📅 Calendrier'!$D17,SEARCH("séance",'📅 Calendrier'!$D17)+7,2),"")</f>
        <v/>
      </c>
      <c r="P11" s="168">
        <f>IF(LEFT('📅 Calendrier'!$D18,2)="S6",MID('📅 Calendrier'!$D18,SEARCH("séance",'📅 Calendrier'!$D18)+7,2),"")</f>
        <v/>
      </c>
      <c r="Q11" s="168">
        <f>IF(LEFT('📅 Calendrier'!$D19,2)="S6",MID('📅 Calendrier'!$D19,SEARCH("séance",'📅 Calendrier'!$D19)+7,2),"")</f>
        <v/>
      </c>
      <c r="R11" s="168">
        <f>IF(LEFT('📅 Calendrier'!$D21,2)="S6",MID('📅 Calendrier'!$D21,SEARCH("séance",'📅 Calendrier'!$D21)+7,2),"")</f>
        <v/>
      </c>
      <c r="S11" s="168">
        <f>IF(LEFT('📅 Calendrier'!$D22,2)="S6",MID('📅 Calendrier'!$D22,SEARCH("séance",'📅 Calendrier'!$D22)+7,2),"")</f>
        <v/>
      </c>
      <c r="T11" s="168">
        <f>IF(LEFT('📅 Calendrier'!$D23,2)="S6",MID('📅 Calendrier'!$D23,SEARCH("séance",'📅 Calendrier'!$D23)+7,2),"")</f>
        <v/>
      </c>
      <c r="U11" s="168">
        <f>IF(LEFT('📅 Calendrier'!$D24,2)="S6",MID('📅 Calendrier'!$D24,SEARCH("séance",'📅 Calendrier'!$D24)+7,2),"")</f>
        <v/>
      </c>
      <c r="V11" s="168">
        <f>IF(LEFT('📅 Calendrier'!$D25,2)="S6",MID('📅 Calendrier'!$D25,SEARCH("séance",'📅 Calendrier'!$D25)+7,2),"")</f>
        <v/>
      </c>
      <c r="W11" s="168">
        <f>IF(LEFT('📅 Calendrier'!$D27,2)="S6",MID('📅 Calendrier'!$D27,SEARCH("séance",'📅 Calendrier'!$D27)+7,2),"")</f>
        <v/>
      </c>
      <c r="X11" s="168">
        <f>IF(LEFT('📅 Calendrier'!$D28,2)="S6",MID('📅 Calendrier'!$D28,SEARCH("séance",'📅 Calendrier'!$D28)+7,2),"")</f>
        <v/>
      </c>
      <c r="Y11" s="168">
        <f>IF(LEFT('📅 Calendrier'!$D29,2)="S6",MID('📅 Calendrier'!$D29,SEARCH("séance",'📅 Calendrier'!$D29)+7,2),"")</f>
        <v/>
      </c>
      <c r="Z11" s="168">
        <f>IF(LEFT('📅 Calendrier'!$D30,2)="S6",MID('📅 Calendrier'!$D30,SEARCH("séance",'📅 Calendrier'!$D30)+7,2),"")</f>
        <v/>
      </c>
      <c r="AA11" s="168">
        <f>IF(LEFT('📅 Calendrier'!$D31,2)="S6",MID('📅 Calendrier'!$D31,SEARCH("séance",'📅 Calendrier'!$D31)+7,2),"")</f>
        <v/>
      </c>
      <c r="AB11" s="168">
        <f>IF(LEFT('📅 Calendrier'!$D32,2)="S6",MID('📅 Calendrier'!$D32,SEARCH("séance",'📅 Calendrier'!$D32)+7,2),"")</f>
        <v/>
      </c>
      <c r="AC11" s="168">
        <f>IF(LEFT('📅 Calendrier'!$D33,2)="S6",MID('📅 Calendrier'!$D33,SEARCH("séance",'📅 Calendrier'!$D33)+7,2),"")</f>
        <v/>
      </c>
      <c r="AD11" s="168">
        <f>IF(LEFT('📅 Calendrier'!$D34,2)="S6",MID('📅 Calendrier'!$D34,SEARCH("séance",'📅 Calendrier'!$D34)+7,2),"")</f>
        <v/>
      </c>
      <c r="AE11" s="168">
        <f>IF(LEFT('📅 Calendrier'!$D36,2)="S6",MID('📅 Calendrier'!$D36,SEARCH("séance",'📅 Calendrier'!$D36)+7,2),"")</f>
        <v/>
      </c>
      <c r="AF11" s="168">
        <f>IF(LEFT('📅 Calendrier'!$D37,2)="S6",MID('📅 Calendrier'!$D37,SEARCH("séance",'📅 Calendrier'!$D37)+7,2),"")</f>
        <v/>
      </c>
      <c r="AG11" s="168">
        <f>IF(LEFT('📅 Calendrier'!$D38,2)="S6",MID('📅 Calendrier'!$D38,SEARCH("séance",'📅 Calendrier'!$D38)+7,2),"")</f>
        <v/>
      </c>
      <c r="AH11" s="168">
        <f>IF(LEFT('📅 Calendrier'!$D39,2)="S6",MID('📅 Calendrier'!$D39,SEARCH("séance",'📅 Calendrier'!$D39)+7,2),"")</f>
        <v/>
      </c>
      <c r="AI11" s="168">
        <f>IF(LEFT('📅 Calendrier'!$D40,2)="S6",MID('📅 Calendrier'!$D40,SEARCH("séance",'📅 Calendrier'!$D40)+7,2),"")</f>
        <v/>
      </c>
      <c r="AJ11" s="168">
        <f>IF(LEFT('📅 Calendrier'!$D41,2)="S6",MID('📅 Calendrier'!$D41,SEARCH("séance",'📅 Calendrier'!$D41)+7,2),"")</f>
        <v/>
      </c>
      <c r="AK11" s="168">
        <f>IF(LEFT('📅 Calendrier'!$D42,2)="S6",MID('📅 Calendrier'!$D42,SEARCH("séance",'📅 Calendrier'!$D42)+7,2),"")</f>
        <v/>
      </c>
      <c r="AL11" s="168">
        <f>IF(LEFT('📅 Calendrier'!$D43,2)="S6",MID('📅 Calendrier'!$D43,SEARCH("séance",'📅 Calendrier'!$D43)+7,2),"")</f>
        <v/>
      </c>
      <c r="AM11" s="168">
        <f>IF(LEFT('📅 Calendrier'!$D44,2)="S6",MID('📅 Calendrier'!$D44,SEARCH("séance",'📅 Calendrier'!$D44)+7,2),"")</f>
        <v/>
      </c>
    </row>
    <row r="12" ht="15" customHeight="1" s="105">
      <c r="B12" s="170" t="inlineStr">
        <is>
          <t>S7 · Mini-projet</t>
        </is>
      </c>
      <c r="C12" s="168">
        <f>IF(LEFT('📅 Calendrier'!$D4,2)="S7",MID('📅 Calendrier'!$D4,SEARCH("séance",'📅 Calendrier'!$D4)+7,2),"")</f>
        <v/>
      </c>
      <c r="D12" s="168">
        <f>IF(LEFT('📅 Calendrier'!$D5,2)="S7",MID('📅 Calendrier'!$D5,SEARCH("séance",'📅 Calendrier'!$D5)+7,2),"")</f>
        <v/>
      </c>
      <c r="E12" s="168">
        <f>IF(LEFT('📅 Calendrier'!$D6,2)="S7",MID('📅 Calendrier'!$D6,SEARCH("séance",'📅 Calendrier'!$D6)+7,2),"")</f>
        <v/>
      </c>
      <c r="F12" s="168">
        <f>IF(LEFT('📅 Calendrier'!$D7,2)="S7",MID('📅 Calendrier'!$D7,SEARCH("séance",'📅 Calendrier'!$D7)+7,2),"")</f>
        <v/>
      </c>
      <c r="G12" s="168">
        <f>IF(LEFT('📅 Calendrier'!$D8,2)="S7",MID('📅 Calendrier'!$D8,SEARCH("séance",'📅 Calendrier'!$D8)+7,2),"")</f>
        <v/>
      </c>
      <c r="H12" s="168">
        <f>IF(LEFT('📅 Calendrier'!$D9,2)="S7",MID('📅 Calendrier'!$D9,SEARCH("séance",'📅 Calendrier'!$D9)+7,2),"")</f>
        <v/>
      </c>
      <c r="I12" s="168">
        <f>IF(LEFT('📅 Calendrier'!$D10,2)="S7",MID('📅 Calendrier'!$D10,SEARCH("séance",'📅 Calendrier'!$D10)+7,2),"")</f>
        <v/>
      </c>
      <c r="J12" s="168">
        <f>IF(LEFT('📅 Calendrier'!$D11,2)="S7",MID('📅 Calendrier'!$D11,SEARCH("séance",'📅 Calendrier'!$D11)+7,2),"")</f>
        <v/>
      </c>
      <c r="K12" s="168">
        <f>IF(LEFT('📅 Calendrier'!$D13,2)="S7",MID('📅 Calendrier'!$D13,SEARCH("séance",'📅 Calendrier'!$D13)+7,2),"")</f>
        <v/>
      </c>
      <c r="L12" s="168">
        <f>IF(LEFT('📅 Calendrier'!$D14,2)="S7",MID('📅 Calendrier'!$D14,SEARCH("séance",'📅 Calendrier'!$D14)+7,2),"")</f>
        <v/>
      </c>
      <c r="M12" s="168">
        <f>IF(LEFT('📅 Calendrier'!$D15,2)="S7",MID('📅 Calendrier'!$D15,SEARCH("séance",'📅 Calendrier'!$D15)+7,2),"")</f>
        <v/>
      </c>
      <c r="N12" s="168">
        <f>IF(LEFT('📅 Calendrier'!$D16,2)="S7",MID('📅 Calendrier'!$D16,SEARCH("séance",'📅 Calendrier'!$D16)+7,2),"")</f>
        <v/>
      </c>
      <c r="O12" s="168">
        <f>IF(LEFT('📅 Calendrier'!$D17,2)="S7",MID('📅 Calendrier'!$D17,SEARCH("séance",'📅 Calendrier'!$D17)+7,2),"")</f>
        <v/>
      </c>
      <c r="P12" s="168">
        <f>IF(LEFT('📅 Calendrier'!$D18,2)="S7",MID('📅 Calendrier'!$D18,SEARCH("séance",'📅 Calendrier'!$D18)+7,2),"")</f>
        <v/>
      </c>
      <c r="Q12" s="168">
        <f>IF(LEFT('📅 Calendrier'!$D19,2)="S7",MID('📅 Calendrier'!$D19,SEARCH("séance",'📅 Calendrier'!$D19)+7,2),"")</f>
        <v/>
      </c>
      <c r="R12" s="168">
        <f>IF(LEFT('📅 Calendrier'!$D21,2)="S7",MID('📅 Calendrier'!$D21,SEARCH("séance",'📅 Calendrier'!$D21)+7,2),"")</f>
        <v/>
      </c>
      <c r="S12" s="168">
        <f>IF(LEFT('📅 Calendrier'!$D22,2)="S7",MID('📅 Calendrier'!$D22,SEARCH("séance",'📅 Calendrier'!$D22)+7,2),"")</f>
        <v/>
      </c>
      <c r="T12" s="168">
        <f>IF(LEFT('📅 Calendrier'!$D23,2)="S7",MID('📅 Calendrier'!$D23,SEARCH("séance",'📅 Calendrier'!$D23)+7,2),"")</f>
        <v/>
      </c>
      <c r="U12" s="168">
        <f>IF(LEFT('📅 Calendrier'!$D24,2)="S7",MID('📅 Calendrier'!$D24,SEARCH("séance",'📅 Calendrier'!$D24)+7,2),"")</f>
        <v/>
      </c>
      <c r="V12" s="168">
        <f>IF(LEFT('📅 Calendrier'!$D25,2)="S7",MID('📅 Calendrier'!$D25,SEARCH("séance",'📅 Calendrier'!$D25)+7,2),"")</f>
        <v/>
      </c>
      <c r="W12" s="168">
        <f>IF(LEFT('📅 Calendrier'!$D27,2)="S7",MID('📅 Calendrier'!$D27,SEARCH("séance",'📅 Calendrier'!$D27)+7,2),"")</f>
        <v/>
      </c>
      <c r="X12" s="168">
        <f>IF(LEFT('📅 Calendrier'!$D28,2)="S7",MID('📅 Calendrier'!$D28,SEARCH("séance",'📅 Calendrier'!$D28)+7,2),"")</f>
        <v/>
      </c>
      <c r="Y12" s="168">
        <f>IF(LEFT('📅 Calendrier'!$D29,2)="S7",MID('📅 Calendrier'!$D29,SEARCH("séance",'📅 Calendrier'!$D29)+7,2),"")</f>
        <v/>
      </c>
      <c r="Z12" s="168">
        <f>IF(LEFT('📅 Calendrier'!$D30,2)="S7",MID('📅 Calendrier'!$D30,SEARCH("séance",'📅 Calendrier'!$D30)+7,2),"")</f>
        <v/>
      </c>
      <c r="AA12" s="168">
        <f>IF(LEFT('📅 Calendrier'!$D31,2)="S7",MID('📅 Calendrier'!$D31,SEARCH("séance",'📅 Calendrier'!$D31)+7,2),"")</f>
        <v/>
      </c>
      <c r="AB12" s="168">
        <f>IF(LEFT('📅 Calendrier'!$D32,2)="S7",MID('📅 Calendrier'!$D32,SEARCH("séance",'📅 Calendrier'!$D32)+7,2),"")</f>
        <v/>
      </c>
      <c r="AC12" s="168">
        <f>IF(LEFT('📅 Calendrier'!$D33,2)="S7",MID('📅 Calendrier'!$D33,SEARCH("séance",'📅 Calendrier'!$D33)+7,2),"")</f>
        <v/>
      </c>
      <c r="AD12" s="168">
        <f>IF(LEFT('📅 Calendrier'!$D34,2)="S7",MID('📅 Calendrier'!$D34,SEARCH("séance",'📅 Calendrier'!$D34)+7,2),"")</f>
        <v/>
      </c>
      <c r="AE12" s="168">
        <f>IF(LEFT('📅 Calendrier'!$D36,2)="S7",MID('📅 Calendrier'!$D36,SEARCH("séance",'📅 Calendrier'!$D36)+7,2),"")</f>
        <v/>
      </c>
      <c r="AF12" s="168">
        <f>IF(LEFT('📅 Calendrier'!$D37,2)="S7",MID('📅 Calendrier'!$D37,SEARCH("séance",'📅 Calendrier'!$D37)+7,2),"")</f>
        <v/>
      </c>
      <c r="AG12" s="168">
        <f>IF(LEFT('📅 Calendrier'!$D38,2)="S7",MID('📅 Calendrier'!$D38,SEARCH("séance",'📅 Calendrier'!$D38)+7,2),"")</f>
        <v/>
      </c>
      <c r="AH12" s="168">
        <f>IF(LEFT('📅 Calendrier'!$D39,2)="S7",MID('📅 Calendrier'!$D39,SEARCH("séance",'📅 Calendrier'!$D39)+7,2),"")</f>
        <v/>
      </c>
      <c r="AI12" s="168">
        <f>IF(LEFT('📅 Calendrier'!$D40,2)="S7",MID('📅 Calendrier'!$D40,SEARCH("séance",'📅 Calendrier'!$D40)+7,2),"")</f>
        <v/>
      </c>
      <c r="AJ12" s="168">
        <f>IF(LEFT('📅 Calendrier'!$D41,2)="S7",MID('📅 Calendrier'!$D41,SEARCH("séance",'📅 Calendrier'!$D41)+7,2),"")</f>
        <v/>
      </c>
      <c r="AK12" s="168">
        <f>IF(LEFT('📅 Calendrier'!$D42,2)="S7",MID('📅 Calendrier'!$D42,SEARCH("séance",'📅 Calendrier'!$D42)+7,2),"")</f>
        <v/>
      </c>
      <c r="AL12" s="168">
        <f>IF(LEFT('📅 Calendrier'!$D43,2)="S7",MID('📅 Calendrier'!$D43,SEARCH("séance",'📅 Calendrier'!$D43)+7,2),"")</f>
        <v/>
      </c>
      <c r="AM12" s="168">
        <f>IF(LEFT('📅 Calendrier'!$D44,2)="S7",MID('📅 Calendrier'!$D44,SEARCH("séance",'📅 Calendrier'!$D44)+7,2),"")</f>
        <v/>
      </c>
    </row>
    <row r="13" ht="15" customHeight="1" s="105">
      <c r="B13" s="171" t="inlineStr">
        <is>
          <t>⏳ Tampons (rattrapage)</t>
        </is>
      </c>
      <c r="C13" s="172">
        <f>IF(LEFT('📅 Calendrier'!$D4,1)="⏳","⏳","")</f>
        <v/>
      </c>
      <c r="D13" s="172">
        <f>IF(LEFT('📅 Calendrier'!$D5,1)="⏳","⏳","")</f>
        <v/>
      </c>
      <c r="E13" s="172">
        <f>IF(LEFT('📅 Calendrier'!$D6,1)="⏳","⏳","")</f>
        <v/>
      </c>
      <c r="F13" s="172">
        <f>IF(LEFT('📅 Calendrier'!$D7,1)="⏳","⏳","")</f>
        <v/>
      </c>
      <c r="G13" s="172">
        <f>IF(LEFT('📅 Calendrier'!$D8,1)="⏳","⏳","")</f>
        <v/>
      </c>
      <c r="H13" s="172">
        <f>IF(LEFT('📅 Calendrier'!$D9,1)="⏳","⏳","")</f>
        <v/>
      </c>
      <c r="I13" s="172">
        <f>IF(LEFT('📅 Calendrier'!$D10,1)="⏳","⏳","")</f>
        <v/>
      </c>
      <c r="J13" s="172">
        <f>IF(LEFT('📅 Calendrier'!$D11,1)="⏳","⏳","")</f>
        <v/>
      </c>
      <c r="K13" s="172">
        <f>IF(LEFT('📅 Calendrier'!$D13,1)="⏳","⏳","")</f>
        <v/>
      </c>
      <c r="L13" s="172">
        <f>IF(LEFT('📅 Calendrier'!$D14,1)="⏳","⏳","")</f>
        <v/>
      </c>
      <c r="M13" s="172">
        <f>IF(LEFT('📅 Calendrier'!$D15,1)="⏳","⏳","")</f>
        <v/>
      </c>
      <c r="N13" s="172">
        <f>IF(LEFT('📅 Calendrier'!$D16,1)="⏳","⏳","")</f>
        <v/>
      </c>
      <c r="O13" s="172">
        <f>IF(LEFT('📅 Calendrier'!$D17,1)="⏳","⏳","")</f>
        <v/>
      </c>
      <c r="P13" s="172">
        <f>IF(LEFT('📅 Calendrier'!$D18,1)="⏳","⏳","")</f>
        <v/>
      </c>
      <c r="Q13" s="172">
        <f>IF(LEFT('📅 Calendrier'!$D19,1)="⏳","⏳","")</f>
        <v/>
      </c>
      <c r="R13" s="172">
        <f>IF(LEFT('📅 Calendrier'!$D21,1)="⏳","⏳","")</f>
        <v/>
      </c>
      <c r="S13" s="172">
        <f>IF(LEFT('📅 Calendrier'!$D22,1)="⏳","⏳","")</f>
        <v/>
      </c>
      <c r="T13" s="172">
        <f>IF(LEFT('📅 Calendrier'!$D23,1)="⏳","⏳","")</f>
        <v/>
      </c>
      <c r="U13" s="172">
        <f>IF(LEFT('📅 Calendrier'!$D24,1)="⏳","⏳","")</f>
        <v/>
      </c>
      <c r="V13" s="172">
        <f>IF(LEFT('📅 Calendrier'!$D25,1)="⏳","⏳","")</f>
        <v/>
      </c>
      <c r="W13" s="172">
        <f>IF(LEFT('📅 Calendrier'!$D27,1)="⏳","⏳","")</f>
        <v/>
      </c>
      <c r="X13" s="172">
        <f>IF(LEFT('📅 Calendrier'!$D28,1)="⏳","⏳","")</f>
        <v/>
      </c>
      <c r="Y13" s="172">
        <f>IF(LEFT('📅 Calendrier'!$D29,1)="⏳","⏳","")</f>
        <v/>
      </c>
      <c r="Z13" s="172">
        <f>IF(LEFT('📅 Calendrier'!$D30,1)="⏳","⏳","")</f>
        <v/>
      </c>
      <c r="AA13" s="172">
        <f>IF(LEFT('📅 Calendrier'!$D31,1)="⏳","⏳","")</f>
        <v/>
      </c>
      <c r="AB13" s="172">
        <f>IF(LEFT('📅 Calendrier'!$D32,1)="⏳","⏳","")</f>
        <v/>
      </c>
      <c r="AC13" s="172">
        <f>IF(LEFT('📅 Calendrier'!$D33,1)="⏳","⏳","")</f>
        <v/>
      </c>
      <c r="AD13" s="172">
        <f>IF(LEFT('📅 Calendrier'!$D34,1)="⏳","⏳","")</f>
        <v/>
      </c>
      <c r="AE13" s="172">
        <f>IF(LEFT('📅 Calendrier'!$D36,1)="⏳","⏳","")</f>
        <v/>
      </c>
      <c r="AF13" s="172">
        <f>IF(LEFT('📅 Calendrier'!$D37,1)="⏳","⏳","")</f>
        <v/>
      </c>
      <c r="AG13" s="172">
        <f>IF(LEFT('📅 Calendrier'!$D38,1)="⏳","⏳","")</f>
        <v/>
      </c>
      <c r="AH13" s="172">
        <f>IF(LEFT('📅 Calendrier'!$D39,1)="⏳","⏳","")</f>
        <v/>
      </c>
      <c r="AI13" s="172">
        <f>IF(LEFT('📅 Calendrier'!$D40,1)="⏳","⏳","")</f>
        <v/>
      </c>
      <c r="AJ13" s="172">
        <f>IF(LEFT('📅 Calendrier'!$D41,1)="⏳","⏳","")</f>
        <v/>
      </c>
      <c r="AK13" s="172">
        <f>IF(LEFT('📅 Calendrier'!$D42,1)="⏳","⏳","")</f>
        <v/>
      </c>
      <c r="AL13" s="172">
        <f>IF(LEFT('📅 Calendrier'!$D43,1)="⏳","⏳","")</f>
        <v/>
      </c>
      <c r="AM13" s="172">
        <f>IF(LEFT('📅 Calendrier'!$D44,1)="⏳","⏳","")</f>
        <v/>
      </c>
    </row>
    <row r="14" ht="15" customHeight="1" s="105">
      <c r="B14" s="173" t="inlineStr">
        <is>
          <t>⚠ Imprévus (saisis au Calendrier)</t>
        </is>
      </c>
      <c r="C14" s="174">
        <f>IF('📅 Calendrier'!$G4&lt;&gt;"","⚠","")</f>
        <v/>
      </c>
      <c r="D14" s="174">
        <f>IF('📅 Calendrier'!$G5&lt;&gt;"","⚠","")</f>
        <v/>
      </c>
      <c r="E14" s="174">
        <f>IF('📅 Calendrier'!$G6&lt;&gt;"","⚠","")</f>
        <v/>
      </c>
      <c r="F14" s="174">
        <f>IF('📅 Calendrier'!$G7&lt;&gt;"","⚠","")</f>
        <v/>
      </c>
      <c r="G14" s="174">
        <f>IF('📅 Calendrier'!$G8&lt;&gt;"","⚠","")</f>
        <v/>
      </c>
      <c r="H14" s="174">
        <f>IF('📅 Calendrier'!$G9&lt;&gt;"","⚠","")</f>
        <v/>
      </c>
      <c r="I14" s="174">
        <f>IF('📅 Calendrier'!$G10&lt;&gt;"","⚠","")</f>
        <v/>
      </c>
      <c r="J14" s="174">
        <f>IF('📅 Calendrier'!$G11&lt;&gt;"","⚠","")</f>
        <v/>
      </c>
      <c r="K14" s="174">
        <f>IF('📅 Calendrier'!$G13&lt;&gt;"","⚠","")</f>
        <v/>
      </c>
      <c r="L14" s="174">
        <f>IF('📅 Calendrier'!$G14&lt;&gt;"","⚠","")</f>
        <v/>
      </c>
      <c r="M14" s="174">
        <f>IF('📅 Calendrier'!$G15&lt;&gt;"","⚠","")</f>
        <v/>
      </c>
      <c r="N14" s="174">
        <f>IF('📅 Calendrier'!$G16&lt;&gt;"","⚠","")</f>
        <v/>
      </c>
      <c r="O14" s="174">
        <f>IF('📅 Calendrier'!$G17&lt;&gt;"","⚠","")</f>
        <v/>
      </c>
      <c r="P14" s="174">
        <f>IF('📅 Calendrier'!$G18&lt;&gt;"","⚠","")</f>
        <v/>
      </c>
      <c r="Q14" s="174">
        <f>IF('📅 Calendrier'!$G19&lt;&gt;"","⚠","")</f>
        <v/>
      </c>
      <c r="R14" s="174">
        <f>IF('📅 Calendrier'!$G21&lt;&gt;"","⚠","")</f>
        <v/>
      </c>
      <c r="S14" s="174">
        <f>IF('📅 Calendrier'!$G22&lt;&gt;"","⚠","")</f>
        <v/>
      </c>
      <c r="T14" s="174">
        <f>IF('📅 Calendrier'!$G23&lt;&gt;"","⚠","")</f>
        <v/>
      </c>
      <c r="U14" s="174">
        <f>IF('📅 Calendrier'!$G24&lt;&gt;"","⚠","")</f>
        <v/>
      </c>
      <c r="V14" s="174">
        <f>IF('📅 Calendrier'!$G25&lt;&gt;"","⚠","")</f>
        <v/>
      </c>
      <c r="W14" s="174">
        <f>IF('📅 Calendrier'!$G27&lt;&gt;"","⚠","")</f>
        <v/>
      </c>
      <c r="X14" s="174">
        <f>IF('📅 Calendrier'!$G28&lt;&gt;"","⚠","")</f>
        <v/>
      </c>
      <c r="Y14" s="174">
        <f>IF('📅 Calendrier'!$G29&lt;&gt;"","⚠","")</f>
        <v/>
      </c>
      <c r="Z14" s="174">
        <f>IF('📅 Calendrier'!$G30&lt;&gt;"","⚠","")</f>
        <v/>
      </c>
      <c r="AA14" s="174">
        <f>IF('📅 Calendrier'!$G31&lt;&gt;"","⚠","")</f>
        <v/>
      </c>
      <c r="AB14" s="174">
        <f>IF('📅 Calendrier'!$G32&lt;&gt;"","⚠","")</f>
        <v/>
      </c>
      <c r="AC14" s="174">
        <f>IF('📅 Calendrier'!$G33&lt;&gt;"","⚠","")</f>
        <v/>
      </c>
      <c r="AD14" s="174">
        <f>IF('📅 Calendrier'!$G34&lt;&gt;"","⚠","")</f>
        <v/>
      </c>
      <c r="AE14" s="174">
        <f>IF('📅 Calendrier'!$G36&lt;&gt;"","⚠","")</f>
        <v/>
      </c>
      <c r="AF14" s="174">
        <f>IF('📅 Calendrier'!$G37&lt;&gt;"","⚠","")</f>
        <v/>
      </c>
      <c r="AG14" s="174">
        <f>IF('📅 Calendrier'!$G38&lt;&gt;"","⚠","")</f>
        <v/>
      </c>
      <c r="AH14" s="174">
        <f>IF('📅 Calendrier'!$G39&lt;&gt;"","⚠","")</f>
        <v/>
      </c>
      <c r="AI14" s="174">
        <f>IF('📅 Calendrier'!$G40&lt;&gt;"","⚠","")</f>
        <v/>
      </c>
      <c r="AJ14" s="174">
        <f>IF('📅 Calendrier'!$G41&lt;&gt;"","⚠","")</f>
        <v/>
      </c>
      <c r="AK14" s="174">
        <f>IF('📅 Calendrier'!$G42&lt;&gt;"","⚠","")</f>
        <v/>
      </c>
      <c r="AL14" s="174">
        <f>IF('📅 Calendrier'!$G43&lt;&gt;"","⚠","")</f>
        <v/>
      </c>
      <c r="AM14" s="174">
        <f>IF('📅 Calendrier'!$G44&lt;&gt;"","⚠","")</f>
        <v/>
      </c>
    </row>
    <row r="16" ht="39.75" customHeight="1" s="105">
      <c r="B16" s="175" t="inlineStr">
        <is>
          <t>Une case = 1 semaine (1 séance de 1 h 30) ; le numéro = n° de séance dans la séquence. Pour insérer un imprévu : onglet 📅 Calendrier, colonne « ⚠ Imprévu ? », choisir dans le menu de la semaine concernée — la frise et la progression se recalculent immédiatement. Cliquer sur un titre de séquence ouvre son générateur.</t>
        </is>
      </c>
    </row>
  </sheetData>
  <mergeCells count="9">
    <mergeCell ref="C3:J3"/>
    <mergeCell ref="A1:AM1"/>
    <mergeCell ref="B2:N2"/>
    <mergeCell ref="K3:Q3"/>
    <mergeCell ref="R3:V3"/>
    <mergeCell ref="B16:X16"/>
    <mergeCell ref="P2:T2"/>
    <mergeCell ref="W3:AD3"/>
    <mergeCell ref="AE3:AM3"/>
  </mergeCells>
  <conditionalFormatting sqref="C6:AM6">
    <cfRule type="expression" rank="0" priority="2" equalAverage="0" aboveAverage="0" dxfId="2" text="" percent="0" bottom="0">
      <formula>C6&lt;&gt;""</formula>
    </cfRule>
  </conditionalFormatting>
  <conditionalFormatting sqref="C7:AM7">
    <cfRule type="expression" rank="0" priority="3" equalAverage="0" aboveAverage="0" dxfId="2" text="" percent="0" bottom="0">
      <formula>C7&lt;&gt;""</formula>
    </cfRule>
  </conditionalFormatting>
  <conditionalFormatting sqref="C8:AM8">
    <cfRule type="expression" rank="0" priority="4" equalAverage="0" aboveAverage="0" dxfId="2" text="" percent="0" bottom="0">
      <formula>C8&lt;&gt;""</formula>
    </cfRule>
  </conditionalFormatting>
  <conditionalFormatting sqref="C9:AM9">
    <cfRule type="expression" rank="0" priority="5" equalAverage="0" aboveAverage="0" dxfId="3" text="" percent="0" bottom="0">
      <formula>C9&lt;&gt;""</formula>
    </cfRule>
  </conditionalFormatting>
  <conditionalFormatting sqref="C10:AM10">
    <cfRule type="expression" rank="0" priority="6" equalAverage="0" aboveAverage="0" dxfId="3" text="" percent="0" bottom="0">
      <formula>C10&lt;&gt;""</formula>
    </cfRule>
  </conditionalFormatting>
  <conditionalFormatting sqref="C11:AM11">
    <cfRule type="expression" rank="0" priority="7" equalAverage="0" aboveAverage="0" dxfId="3" text="" percent="0" bottom="0">
      <formula>C11&lt;&gt;""</formula>
    </cfRule>
  </conditionalFormatting>
  <conditionalFormatting sqref="C12:AM12">
    <cfRule type="expression" rank="0" priority="8" equalAverage="0" aboveAverage="0" dxfId="4" text="" percent="0" bottom="0">
      <formula>C12&lt;&gt;""</formula>
    </cfRule>
  </conditionalFormatting>
  <conditionalFormatting sqref="C13:AM13">
    <cfRule type="expression" rank="0" priority="9" equalAverage="0" aboveAverage="0" dxfId="5" text="" percent="0" bottom="0">
      <formula>C13&lt;&gt;""</formula>
    </cfRule>
  </conditionalFormatting>
  <conditionalFormatting sqref="C14:AM14">
    <cfRule type="expression" rank="0" priority="10" equalAverage="0" aboveAverage="0" dxfId="6" text="" percent="0" bottom="0">
      <formula>C14&lt;&gt;""</formula>
    </cfRule>
  </conditionalFormatting>
  <hyperlinks>
    <hyperlink xmlns:r="http://schemas.openxmlformats.org/officeDocument/2006/relationships" ref="P2" location="'🏠%20Accueil'!A1" display="◀ Accueil" r:id="rId1"/>
    <hyperlink xmlns:r="http://schemas.openxmlformats.org/officeDocument/2006/relationships" ref="B6" location="'S1'!A1" display="S1 · Environnement numérique" r:id="rId2"/>
    <hyperlink xmlns:r="http://schemas.openxmlformats.org/officeDocument/2006/relationships" ref="B7" location="'S2'!A1" display="S2 · Comparer pour choisir" r:id="rId3"/>
    <hyperlink xmlns:r="http://schemas.openxmlformats.org/officeDocument/2006/relationships" ref="B8" location="'S3'!A1" display="S3 · Chaîne d'énergie" r:id="rId4"/>
    <hyperlink xmlns:r="http://schemas.openxmlformats.org/officeDocument/2006/relationships" ref="B9" location="'S4'!A1" display="S4 · Lampadaire (1) : information &amp; programmes" r:id="rId5"/>
    <hyperlink xmlns:r="http://schemas.openxmlformats.org/officeDocument/2006/relationships" ref="B10" location="'S5'!A1" display="S5 · Lampadaire (2) : réseau local" r:id="rId6"/>
    <hyperlink xmlns:r="http://schemas.openxmlformats.org/officeDocument/2006/relationships" ref="B11" location="'S6'!A1" display="S6 · SOS panne" r:id="rId7"/>
    <hyperlink xmlns:r="http://schemas.openxmlformats.org/officeDocument/2006/relationships" ref="B12" location="'S7'!A1" display="S7 · Mini-projet" r:id="rId8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7030A0"/>
    <outlinePr summaryBelow="1" summaryRight="1"/>
    <pageSetUpPr fitToPage="1"/>
  </sheetPr>
  <dimension ref="A1:F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04" min="1" max="1"/>
    <col width="8" customWidth="1" style="104" min="2" max="2"/>
    <col width="78" customWidth="1" style="104" min="3" max="3"/>
    <col width="12" customWidth="1" style="104" min="4" max="4"/>
    <col width="16" customWidth="1" style="104" min="5" max="5"/>
    <col width="11" customWidth="1" style="104" min="6" max="6"/>
  </cols>
  <sheetData>
    <row r="1" ht="18" customHeight="1" s="105">
      <c r="A1" s="154" t="inlineStr">
        <is>
          <t>RÉFÉRENTIEL DE COMPÉTENCES — TECHNOLOGIE CYCLE 4</t>
        </is>
      </c>
    </row>
    <row r="2" ht="15" customHeight="1" s="105">
      <c r="A2" s="131" t="inlineStr">
        <is>
          <t>9 compétences × 3 niveaux (5e / 4e / 3e) — programme 2024 · vision complète du cycle pour situer la 5e</t>
        </is>
      </c>
    </row>
    <row r="3" ht="15" customHeight="1" s="105">
      <c r="F3" s="134" t="inlineStr">
        <is>
          <t>◀ Accueil</t>
        </is>
      </c>
    </row>
    <row r="4" ht="15" customHeight="1" s="105">
      <c r="A4" s="135" t="inlineStr">
        <is>
          <t>Code</t>
        </is>
      </c>
      <c r="B4" s="135" t="inlineStr">
        <is>
          <t>Niveau</t>
        </is>
      </c>
      <c r="C4" s="135" t="inlineStr">
        <is>
          <t>Compétence / sous-compétence (intitulé officiel 2024)</t>
        </is>
      </c>
      <c r="D4" s="135" t="inlineStr">
        <is>
          <t>Thème</t>
        </is>
      </c>
      <c r="E4" s="135" t="inlineStr">
        <is>
          <t>Domaine(s) socle</t>
        </is>
      </c>
      <c r="F4" s="135" t="inlineStr">
        <is>
          <t>Évaluable</t>
        </is>
      </c>
    </row>
    <row r="5" ht="30" customHeight="1" s="105">
      <c r="A5" s="176" t="inlineStr">
        <is>
          <t>C1</t>
        </is>
      </c>
      <c r="B5" s="176" t="inlineStr">
        <is>
          <t>—</t>
        </is>
      </c>
      <c r="C5" s="176" t="inlineStr">
        <is>
          <t>Décrire les liens entre usages et évolutions technologiques des objets et des systèmes techniques</t>
        </is>
      </c>
      <c r="D5" s="176" t="inlineStr">
        <is>
          <t>Thème 1 : Les objets et les systèmes techniques : leurs usages et leurs interactions à découvrir et à analyser</t>
        </is>
      </c>
      <c r="E5" s="176" t="inlineStr">
        <is>
          <t>D2, D3, D4, D5</t>
        </is>
      </c>
      <c r="F5" s="176" t="inlineStr">
        <is>
          <t>Oui</t>
        </is>
      </c>
    </row>
    <row r="6" ht="25.5" customHeight="1" s="105">
      <c r="A6" s="177" t="inlineStr">
        <is>
          <t>5e_C1.1</t>
        </is>
      </c>
      <c r="B6" s="140" t="inlineStr">
        <is>
          <t>5e</t>
        </is>
      </c>
      <c r="C6" s="140" t="inlineStr">
        <is>
          <t>Collecter, trier et analyser des données.</t>
        </is>
      </c>
      <c r="D6" s="140" t="inlineStr">
        <is>
          <t>Thème 1</t>
        </is>
      </c>
      <c r="E6" s="140" t="inlineStr">
        <is>
          <t>D2, D4</t>
        </is>
      </c>
      <c r="F6" s="140" t="inlineStr">
        <is>
          <t>Oui</t>
        </is>
      </c>
    </row>
    <row r="7" ht="25.5" customHeight="1" s="105">
      <c r="A7" s="177" t="inlineStr">
        <is>
          <t>5e_C1.2</t>
        </is>
      </c>
      <c r="B7" s="140" t="inlineStr">
        <is>
          <t>5e</t>
        </is>
      </c>
      <c r="C7" s="140" t="inlineStr">
        <is>
          <t>Comparer des principes techniques pour une même fonction technique.</t>
        </is>
      </c>
      <c r="D7" s="140" t="inlineStr">
        <is>
          <t>Thème 1</t>
        </is>
      </c>
      <c r="E7" s="140" t="inlineStr">
        <is>
          <t>D2, D4</t>
        </is>
      </c>
      <c r="F7" s="140" t="inlineStr">
        <is>
          <t>Oui</t>
        </is>
      </c>
    </row>
    <row r="8" ht="25.5" customHeight="1" s="105">
      <c r="A8" s="177" t="inlineStr">
        <is>
          <t>5e_C1.3</t>
        </is>
      </c>
      <c r="B8" s="140" t="inlineStr">
        <is>
          <t>5e</t>
        </is>
      </c>
      <c r="C8" s="140" t="inlineStr">
        <is>
          <t>Décrire le rôle des systèmes d’information dans le partage d’information.</t>
        </is>
      </c>
      <c r="D8" s="140" t="inlineStr">
        <is>
          <t>Thème 1</t>
        </is>
      </c>
      <c r="E8" s="140" t="inlineStr">
        <is>
          <t>D2, D5</t>
        </is>
      </c>
      <c r="F8" s="140" t="inlineStr">
        <is>
          <t>Oui</t>
        </is>
      </c>
    </row>
    <row r="9" ht="25.5" customHeight="1" s="105">
      <c r="A9" s="177" t="inlineStr">
        <is>
          <t>5e_C1.4</t>
        </is>
      </c>
      <c r="B9" s="140" t="inlineStr">
        <is>
          <t>5e</t>
        </is>
      </c>
      <c r="C9" s="140" t="inlineStr">
        <is>
          <t>Recenser des données, les identifier, les classer, les représenter, les stocker, les retrouver dans une arborescence.</t>
        </is>
      </c>
      <c r="D9" s="140" t="inlineStr">
        <is>
          <t>Thème 1</t>
        </is>
      </c>
      <c r="E9" s="140" t="inlineStr">
        <is>
          <t>D2</t>
        </is>
      </c>
      <c r="F9" s="140" t="inlineStr">
        <is>
          <t>Oui</t>
        </is>
      </c>
    </row>
    <row r="10" ht="25.5" customHeight="1" s="105">
      <c r="A10" s="177" t="inlineStr">
        <is>
          <t>5e_C1.5</t>
        </is>
      </c>
      <c r="B10" s="140" t="inlineStr">
        <is>
          <t>5e</t>
        </is>
      </c>
      <c r="C10" s="140" t="inlineStr">
        <is>
          <t>Identifier des règles permettant de sécuriser un environnement numérique (bases de la cybersécurité) et des règles de respect de la propriété intellectuelle.</t>
        </is>
      </c>
      <c r="D10" s="140" t="inlineStr">
        <is>
          <t>Thème 1</t>
        </is>
      </c>
      <c r="E10" s="140" t="inlineStr">
        <is>
          <t>D3</t>
        </is>
      </c>
      <c r="F10" s="140" t="inlineStr">
        <is>
          <t>Oui</t>
        </is>
      </c>
    </row>
    <row r="11" ht="25.5" customHeight="1" s="105">
      <c r="A11" s="177" t="inlineStr">
        <is>
          <t>5e_C1.6</t>
        </is>
      </c>
      <c r="B11" s="140" t="inlineStr">
        <is>
          <t>5e</t>
        </is>
      </c>
      <c r="C11" s="140" t="inlineStr">
        <is>
          <t>Appréhender la responsabilité de chacun dans les dérives (cyberviolence, atteinte à la vie privée, aux données personnelles, usurpation d’identité).</t>
        </is>
      </c>
      <c r="D11" s="140" t="inlineStr">
        <is>
          <t>Thème 1</t>
        </is>
      </c>
      <c r="E11" s="140" t="inlineStr">
        <is>
          <t>D3</t>
        </is>
      </c>
      <c r="F11" s="140" t="inlineStr">
        <is>
          <t>Oui</t>
        </is>
      </c>
    </row>
    <row r="12" ht="25.5" customHeight="1" s="105">
      <c r="A12" s="177" t="inlineStr">
        <is>
          <t>4e_C1.1</t>
        </is>
      </c>
      <c r="B12" s="140" t="inlineStr">
        <is>
          <t>4e</t>
        </is>
      </c>
      <c r="C12" s="140" t="inlineStr">
        <is>
          <t>Mettre en relation les OST avec leurs usages.</t>
        </is>
      </c>
      <c r="D12" s="140" t="inlineStr">
        <is>
          <t>Thème 1</t>
        </is>
      </c>
      <c r="E12" s="140" t="inlineStr">
        <is>
          <t>D4, D5</t>
        </is>
      </c>
      <c r="F12" s="140" t="inlineStr">
        <is>
          <t>Oui</t>
        </is>
      </c>
    </row>
    <row r="13" ht="25.5" customHeight="1" s="105">
      <c r="A13" s="177" t="inlineStr">
        <is>
          <t>4e_C1.2</t>
        </is>
      </c>
      <c r="B13" s="140" t="inlineStr">
        <is>
          <t>4e</t>
        </is>
      </c>
      <c r="C13" s="140" t="inlineStr">
        <is>
          <t>Identifier les avantages et les inconvénients associés aux évolutions technologiques et informatiques.</t>
        </is>
      </c>
      <c r="D13" s="140" t="inlineStr">
        <is>
          <t>Thème 1</t>
        </is>
      </c>
      <c r="E13" s="140" t="inlineStr">
        <is>
          <t>D3, D4, D5</t>
        </is>
      </c>
      <c r="F13" s="140" t="inlineStr">
        <is>
          <t>Oui</t>
        </is>
      </c>
    </row>
    <row r="14" ht="25.5" customHeight="1" s="105">
      <c r="A14" s="177" t="inlineStr">
        <is>
          <t>4e_C1.3</t>
        </is>
      </c>
      <c r="B14" s="140" t="inlineStr">
        <is>
          <t>4e</t>
        </is>
      </c>
      <c r="C14" s="140" t="inlineStr">
        <is>
          <t>Justifier l’évolution d’un OST pour répondre à l’évolution des besoins.</t>
        </is>
      </c>
      <c r="D14" s="140" t="inlineStr">
        <is>
          <t>Thème 1</t>
        </is>
      </c>
      <c r="E14" s="140" t="inlineStr">
        <is>
          <t>D3, D4, D5</t>
        </is>
      </c>
      <c r="F14" s="140" t="inlineStr">
        <is>
          <t>Oui</t>
        </is>
      </c>
    </row>
    <row r="15" ht="39" customHeight="1" s="105">
      <c r="A15" s="177" t="inlineStr">
        <is>
          <t>4e_C1.4</t>
        </is>
      </c>
      <c r="B15" s="140" t="inlineStr">
        <is>
          <t>4e</t>
        </is>
      </c>
      <c r="C15" s="140" t="inlineStr">
        <is>
          <t>Identifier et appliquer les règles pour un usage raisonné des objets communicants et des environnements numériques (propriété intellectuelle, identité numérique, témoins de connexion, géolocalisation).</t>
        </is>
      </c>
      <c r="D15" s="140" t="inlineStr">
        <is>
          <t>Thème 1</t>
        </is>
      </c>
      <c r="E15" s="140" t="inlineStr">
        <is>
          <t>D1.3, D2, D3, D4</t>
        </is>
      </c>
      <c r="F15" s="140" t="inlineStr">
        <is>
          <t>Oui</t>
        </is>
      </c>
    </row>
    <row r="16" ht="25.5" customHeight="1" s="105">
      <c r="A16" s="177" t="inlineStr">
        <is>
          <t>3e_C1.1</t>
        </is>
      </c>
      <c r="B16" s="140" t="inlineStr">
        <is>
          <t>3e</t>
        </is>
      </c>
      <c r="C16" s="140" t="inlineStr">
        <is>
          <t>Identifier les innovations de rupture qui sont attachées à l’évolution d’un OST.</t>
        </is>
      </c>
      <c r="D16" s="140" t="inlineStr">
        <is>
          <t>Thème 1</t>
        </is>
      </c>
      <c r="E16" s="140" t="inlineStr">
        <is>
          <t>D3, D4, D5</t>
        </is>
      </c>
      <c r="F16" s="140" t="inlineStr">
        <is>
          <t>Oui</t>
        </is>
      </c>
    </row>
    <row r="17" ht="25.5" customHeight="1" s="105">
      <c r="A17" s="177" t="inlineStr">
        <is>
          <t>3e_C1.2</t>
        </is>
      </c>
      <c r="B17" s="140" t="inlineStr">
        <is>
          <t>3e</t>
        </is>
      </c>
      <c r="C17" s="140" t="inlineStr">
        <is>
          <t>Mettre en relation une découverte scientifique avec ses développements technologiques et leurs effets sur la société.</t>
        </is>
      </c>
      <c r="D17" s="140" t="inlineStr">
        <is>
          <t>Thème 1</t>
        </is>
      </c>
      <c r="E17" s="140" t="inlineStr">
        <is>
          <t>D3, D4, D5</t>
        </is>
      </c>
      <c r="F17" s="140" t="inlineStr">
        <is>
          <t>Oui</t>
        </is>
      </c>
    </row>
    <row r="18" ht="25.5" customHeight="1" s="105">
      <c r="A18" s="177" t="inlineStr">
        <is>
          <t>3e_C1.3</t>
        </is>
      </c>
      <c r="B18" s="140" t="inlineStr">
        <is>
          <t>3e</t>
        </is>
      </c>
      <c r="C18" s="140" t="inlineStr">
        <is>
          <t>Exprimer dans un argumentaire court l’incidence d’un OST sur la société.</t>
        </is>
      </c>
      <c r="D18" s="140" t="inlineStr">
        <is>
          <t>Thème 1</t>
        </is>
      </c>
      <c r="E18" s="140" t="inlineStr">
        <is>
          <t>D3, D4, D5</t>
        </is>
      </c>
      <c r="F18" s="140" t="inlineStr">
        <is>
          <t>Oui</t>
        </is>
      </c>
    </row>
    <row r="19" ht="25.5" customHeight="1" s="105">
      <c r="A19" s="177" t="inlineStr">
        <is>
          <t>3e_C1.4</t>
        </is>
      </c>
      <c r="B19" s="140" t="inlineStr">
        <is>
          <t>3e</t>
        </is>
      </c>
      <c r="C19" s="140" t="inlineStr">
        <is>
          <t>Exprimer dans un argumentaire court l’incidence des contraintes sociétales sur les OST.</t>
        </is>
      </c>
      <c r="D19" s="140" t="inlineStr">
        <is>
          <t>Thème 1</t>
        </is>
      </c>
      <c r="E19" s="140" t="inlineStr">
        <is>
          <t>D3, D4, D5</t>
        </is>
      </c>
      <c r="F19" s="140" t="inlineStr">
        <is>
          <t>Oui</t>
        </is>
      </c>
    </row>
    <row r="20" ht="25.5" customHeight="1" s="105">
      <c r="A20" s="177" t="inlineStr">
        <is>
          <t>3e_C1.5</t>
        </is>
      </c>
      <c r="B20" s="140" t="inlineStr">
        <is>
          <t>3e</t>
        </is>
      </c>
      <c r="C20" s="140" t="inlineStr">
        <is>
          <t>Exprimer dans un argumentaire court le rôle du développement stratégique du numérique au sein de la société et des environnements professionnels (ou des métiers).</t>
        </is>
      </c>
      <c r="D20" s="140" t="inlineStr">
        <is>
          <t>Thème 1</t>
        </is>
      </c>
      <c r="E20" s="140" t="inlineStr">
        <is>
          <t>D1.3, D2, D3</t>
        </is>
      </c>
      <c r="F20" s="140" t="inlineStr">
        <is>
          <t>Oui</t>
        </is>
      </c>
    </row>
    <row r="21" ht="30" customHeight="1" s="105">
      <c r="A21" s="176" t="inlineStr">
        <is>
          <t>C2</t>
        </is>
      </c>
      <c r="B21" s="176" t="inlineStr">
        <is>
          <t>—</t>
        </is>
      </c>
      <c r="C21" s="176" t="inlineStr">
        <is>
          <t>Décrire les interactions entre un objet ou un système technique, son environnement et les utilisateurs</t>
        </is>
      </c>
      <c r="D21" s="176" t="inlineStr">
        <is>
          <t>Thème 1</t>
        </is>
      </c>
      <c r="E21" s="176" t="inlineStr">
        <is>
          <t>D4, D5</t>
        </is>
      </c>
      <c r="F21" s="176" t="inlineStr">
        <is>
          <t>Oui</t>
        </is>
      </c>
    </row>
    <row r="22" ht="25.5" customHeight="1" s="105">
      <c r="A22" s="177" t="inlineStr">
        <is>
          <t>5e_C2.1</t>
        </is>
      </c>
      <c r="B22" s="140" t="inlineStr">
        <is>
          <t>5e</t>
        </is>
      </c>
      <c r="C22" s="140" t="inlineStr">
        <is>
          <t>Faire la liste des interacteurs extérieurs d’un OST.</t>
        </is>
      </c>
      <c r="D22" s="140" t="inlineStr">
        <is>
          <t>Thème 1</t>
        </is>
      </c>
      <c r="E22" s="140" t="inlineStr">
        <is>
          <t>D4</t>
        </is>
      </c>
      <c r="F22" s="140" t="inlineStr">
        <is>
          <t>Oui</t>
        </is>
      </c>
    </row>
    <row r="23" ht="25.5" customHeight="1" s="105">
      <c r="A23" s="177" t="inlineStr">
        <is>
          <t>5e_C2.2</t>
        </is>
      </c>
      <c r="B23" s="140" t="inlineStr">
        <is>
          <t>5e</t>
        </is>
      </c>
      <c r="C23" s="140" t="inlineStr">
        <is>
          <t>Repérer et expliquer les choix de conception dans les domaines de l’ergonomie et de la sécurité ou en lien avec des objectifs de développement durable.</t>
        </is>
      </c>
      <c r="D23" s="140" t="inlineStr">
        <is>
          <t>Thème 1</t>
        </is>
      </c>
      <c r="E23" s="140" t="inlineStr">
        <is>
          <t>D4, D5</t>
        </is>
      </c>
      <c r="F23" s="140" t="inlineStr">
        <is>
          <t>Oui</t>
        </is>
      </c>
    </row>
    <row r="24" ht="39" customHeight="1" s="105">
      <c r="A24" s="177" t="inlineStr">
        <is>
          <t>4e_C2.1</t>
        </is>
      </c>
      <c r="B24" s="140" t="inlineStr">
        <is>
          <t>4e</t>
        </is>
      </c>
      <c r="C24" s="140" t="inlineStr">
        <is>
          <t>Décrire l’expérience de l’utilisateur (ressenti et facilité d’usage) d’un OST en partant du langage naturel (texte, croquis) pour aboutir aux schémas, graphiques, algorithmes.</t>
        </is>
      </c>
      <c r="D24" s="140" t="inlineStr">
        <is>
          <t>Thème 1</t>
        </is>
      </c>
      <c r="E24" s="140" t="inlineStr">
        <is>
          <t>D1.3, D4, D5</t>
        </is>
      </c>
      <c r="F24" s="140" t="inlineStr">
        <is>
          <t>Oui</t>
        </is>
      </c>
    </row>
    <row r="25" ht="39" customHeight="1" s="105">
      <c r="A25" s="177" t="inlineStr">
        <is>
          <t>4e_C2.2</t>
        </is>
      </c>
      <c r="B25" s="140" t="inlineStr">
        <is>
          <t>4e</t>
        </is>
      </c>
      <c r="C25" s="140" t="inlineStr">
        <is>
          <t>Repérer et expliquer les contraintes, exigences prises en compte (sécurité, incidences environnementales, formes et fonctions, ergonomie, qualité, fiabilité) pour répondre aux attentes des utilisateurs.</t>
        </is>
      </c>
      <c r="D25" s="140" t="inlineStr">
        <is>
          <t>Thème 1</t>
        </is>
      </c>
      <c r="E25" s="140" t="inlineStr">
        <is>
          <t>D3, D4, D5</t>
        </is>
      </c>
      <c r="F25" s="140" t="inlineStr">
        <is>
          <t>Oui</t>
        </is>
      </c>
    </row>
    <row r="26" ht="25.5" customHeight="1" s="105">
      <c r="A26" s="177" t="inlineStr">
        <is>
          <t>3e_C2.1</t>
        </is>
      </c>
      <c r="B26" s="140" t="inlineStr">
        <is>
          <t>3e</t>
        </is>
      </c>
      <c r="C26" s="140" t="inlineStr">
        <is>
          <t>Décrire l’expérience de l’utilisateur d’un OST à l’aide de modes de représentation choisis.</t>
        </is>
      </c>
      <c r="D26" s="140" t="inlineStr">
        <is>
          <t>Thème 1</t>
        </is>
      </c>
      <c r="E26" s="140" t="inlineStr">
        <is>
          <t>D1.3, D4, D5</t>
        </is>
      </c>
      <c r="F26" s="140" t="inlineStr">
        <is>
          <t>Oui</t>
        </is>
      </c>
    </row>
    <row r="27" ht="30" customHeight="1" s="105">
      <c r="A27" s="176" t="inlineStr">
        <is>
          <t>C3</t>
        </is>
      </c>
      <c r="B27" s="176" t="inlineStr">
        <is>
          <t>—</t>
        </is>
      </c>
      <c r="C27" s="176" t="inlineStr">
        <is>
          <t>Caractériser et choisir un objet ou un système technique selon différents critères</t>
        </is>
      </c>
      <c r="D27" s="176" t="inlineStr">
        <is>
          <t>Thème 1</t>
        </is>
      </c>
      <c r="E27" s="176" t="inlineStr">
        <is>
          <t>D1.3, D2, D3, D4, D5</t>
        </is>
      </c>
      <c r="F27" s="176" t="inlineStr">
        <is>
          <t>Oui</t>
        </is>
      </c>
    </row>
    <row r="28" ht="25.5" customHeight="1" s="105">
      <c r="A28" s="177" t="inlineStr">
        <is>
          <t>5e_C3.1</t>
        </is>
      </c>
      <c r="B28" s="140" t="inlineStr">
        <is>
          <t>5e</t>
        </is>
      </c>
      <c r="C28" s="140" t="inlineStr">
        <is>
          <t>Repérer pour un OST les matériaux, les sources et les formes d’énergies, le traitement de l’information.</t>
        </is>
      </c>
      <c r="D28" s="140" t="inlineStr">
        <is>
          <t>Thème 1</t>
        </is>
      </c>
      <c r="E28" s="140" t="inlineStr">
        <is>
          <t>D2, D4</t>
        </is>
      </c>
      <c r="F28" s="140" t="inlineStr">
        <is>
          <t>Oui</t>
        </is>
      </c>
    </row>
    <row r="29" ht="25.5" customHeight="1" s="105">
      <c r="A29" s="177" t="inlineStr">
        <is>
          <t>5e_C3.2</t>
        </is>
      </c>
      <c r="B29" s="140" t="inlineStr">
        <is>
          <t>5e</t>
        </is>
      </c>
      <c r="C29" s="140" t="inlineStr">
        <is>
          <t>Identifier les étapes du cycle de vie d’un OST influencées par les choix de matériaux et d’énergie.</t>
        </is>
      </c>
      <c r="D29" s="140" t="inlineStr">
        <is>
          <t>Thème 1</t>
        </is>
      </c>
      <c r="E29" s="140" t="inlineStr">
        <is>
          <t>D3, D4, D5</t>
        </is>
      </c>
      <c r="F29" s="140" t="inlineStr">
        <is>
          <t>Oui</t>
        </is>
      </c>
    </row>
    <row r="30" ht="25.5" customHeight="1" s="105">
      <c r="A30" s="177" t="inlineStr">
        <is>
          <t>5e_C3.3</t>
        </is>
      </c>
      <c r="B30" s="140" t="inlineStr">
        <is>
          <t>5e</t>
        </is>
      </c>
      <c r="C30" s="140" t="inlineStr">
        <is>
          <t>Choisir un OST parmi plusieurs propositions en vue de répondre à un besoin.</t>
        </is>
      </c>
      <c r="D30" s="140" t="inlineStr">
        <is>
          <t>Thème 1</t>
        </is>
      </c>
      <c r="E30" s="140" t="inlineStr">
        <is>
          <t>D3, D4, D5</t>
        </is>
      </c>
      <c r="F30" s="140" t="inlineStr">
        <is>
          <t>Oui</t>
        </is>
      </c>
    </row>
    <row r="31" ht="25.5" customHeight="1" s="105">
      <c r="A31" s="177" t="inlineStr">
        <is>
          <t>5e_C3.4</t>
        </is>
      </c>
      <c r="B31" s="140" t="inlineStr">
        <is>
          <t>5e</t>
        </is>
      </c>
      <c r="C31" s="140" t="inlineStr">
        <is>
          <t>Mesurer et comparer une performance d’un OST à partir d’un protocole fourni.</t>
        </is>
      </c>
      <c r="D31" s="140" t="inlineStr">
        <is>
          <t>Thème 1</t>
        </is>
      </c>
      <c r="E31" s="140" t="inlineStr">
        <is>
          <t>D1.3, D2, D4</t>
        </is>
      </c>
      <c r="F31" s="140" t="inlineStr">
        <is>
          <t>Oui</t>
        </is>
      </c>
    </row>
    <row r="32" ht="25.5" customHeight="1" s="105">
      <c r="A32" s="177" t="inlineStr">
        <is>
          <t>4e_C3.1</t>
        </is>
      </c>
      <c r="B32" s="140" t="inlineStr">
        <is>
          <t>4e</t>
        </is>
      </c>
      <c r="C32" s="140" t="inlineStr">
        <is>
          <t>Identifier les caractéristiques à prendre en compte dans le choix d’un OST en vue de répondre à un besoin.</t>
        </is>
      </c>
      <c r="D32" s="140" t="inlineStr">
        <is>
          <t>Thème 1</t>
        </is>
      </c>
      <c r="E32" s="140" t="inlineStr">
        <is>
          <t>D3, D4, D5</t>
        </is>
      </c>
      <c r="F32" s="140" t="inlineStr">
        <is>
          <t>Oui</t>
        </is>
      </c>
    </row>
    <row r="33" ht="39" customHeight="1" s="105">
      <c r="A33" s="177" t="inlineStr">
        <is>
          <t>4e_C3.2</t>
        </is>
      </c>
      <c r="B33" s="140" t="inlineStr">
        <is>
          <t>4e</t>
        </is>
      </c>
      <c r="C33" s="140" t="inlineStr">
        <is>
          <t>Comparer qualitativement et/ou quantitativement (incidences environnementales, bilan carbone, efficacité énergétique) plusieurs OST répondant au même besoin et arrêter un choix.</t>
        </is>
      </c>
      <c r="D33" s="140" t="inlineStr">
        <is>
          <t>Thème 1</t>
        </is>
      </c>
      <c r="E33" s="140" t="inlineStr">
        <is>
          <t>D1.3, D2, D3, D4, D5</t>
        </is>
      </c>
      <c r="F33" s="140" t="inlineStr">
        <is>
          <t>Oui</t>
        </is>
      </c>
    </row>
    <row r="34" ht="25.5" customHeight="1" s="105">
      <c r="A34" s="177" t="inlineStr">
        <is>
          <t>4e_C3.3</t>
        </is>
      </c>
      <c r="B34" s="140" t="inlineStr">
        <is>
          <t>4e</t>
        </is>
      </c>
      <c r="C34" s="140" t="inlineStr">
        <is>
          <t>Choisir les appareils de mesure à utiliser pour mesurer une performance d’un OST à partir d’un protocole donné.</t>
        </is>
      </c>
      <c r="D34" s="140" t="inlineStr">
        <is>
          <t>Thème 1</t>
        </is>
      </c>
      <c r="E34" s="140" t="inlineStr">
        <is>
          <t>D1.3, D2, D4</t>
        </is>
      </c>
      <c r="F34" s="140" t="inlineStr">
        <is>
          <t>Oui</t>
        </is>
      </c>
    </row>
    <row r="35" ht="25.5" customHeight="1" s="105">
      <c r="A35" s="177" t="inlineStr">
        <is>
          <t>3e_C3.1</t>
        </is>
      </c>
      <c r="B35" s="140" t="inlineStr">
        <is>
          <t>3e</t>
        </is>
      </c>
      <c r="C35" s="140" t="inlineStr">
        <is>
          <t>Établir une liste d’OST possibles en vue de répondre à un besoin.</t>
        </is>
      </c>
      <c r="D35" s="140" t="inlineStr">
        <is>
          <t>Thème 1</t>
        </is>
      </c>
      <c r="E35" s="140" t="inlineStr">
        <is>
          <t>D3, D4, D5</t>
        </is>
      </c>
      <c r="F35" s="140" t="inlineStr">
        <is>
          <t>Oui</t>
        </is>
      </c>
    </row>
    <row r="36" ht="25.5" customHeight="1" s="105">
      <c r="A36" s="177" t="inlineStr">
        <is>
          <t>3e_C3.2</t>
        </is>
      </c>
      <c r="B36" s="140" t="inlineStr">
        <is>
          <t>3e</t>
        </is>
      </c>
      <c r="C36" s="140" t="inlineStr">
        <is>
          <t>Choisir un OST et argumenter ce choix en prenant en compte son cycle de vie et les trois piliers du développement durable.</t>
        </is>
      </c>
      <c r="D36" s="140" t="inlineStr">
        <is>
          <t>Thème 1</t>
        </is>
      </c>
      <c r="E36" s="140" t="inlineStr">
        <is>
          <t>D3, D4, D5</t>
        </is>
      </c>
      <c r="F36" s="140" t="inlineStr">
        <is>
          <t>Oui</t>
        </is>
      </c>
    </row>
    <row r="37" ht="25.5" customHeight="1" s="105">
      <c r="A37" s="177" t="inlineStr">
        <is>
          <t>3e_C3.3</t>
        </is>
      </c>
      <c r="B37" s="140" t="inlineStr">
        <is>
          <t>3e</t>
        </is>
      </c>
      <c r="C37" s="140" t="inlineStr">
        <is>
          <t>Évaluer les OST selon des exigences ou des critères identifiés (caractéristiques, performances, coût, indice de réparabilité).</t>
        </is>
      </c>
      <c r="D37" s="140" t="inlineStr">
        <is>
          <t>Thème 1</t>
        </is>
      </c>
      <c r="E37" s="140" t="inlineStr">
        <is>
          <t>D3, D4, D5</t>
        </is>
      </c>
      <c r="F37" s="140" t="inlineStr">
        <is>
          <t>Oui</t>
        </is>
      </c>
    </row>
    <row r="38" ht="25.5" customHeight="1" s="105">
      <c r="A38" s="177" t="inlineStr">
        <is>
          <t>3e_C3.4</t>
        </is>
      </c>
      <c r="B38" s="140" t="inlineStr">
        <is>
          <t>3e</t>
        </is>
      </c>
      <c r="C38" s="140" t="inlineStr">
        <is>
          <t>Définir et mettre en œuvre un protocole pour mesurer une caractéristique, une performance d’un OST.</t>
        </is>
      </c>
      <c r="D38" s="140" t="inlineStr">
        <is>
          <t>Thème 1</t>
        </is>
      </c>
      <c r="E38" s="140" t="inlineStr">
        <is>
          <t>D1.3, D2, D4</t>
        </is>
      </c>
      <c r="F38" s="140" t="inlineStr">
        <is>
          <t>Oui</t>
        </is>
      </c>
    </row>
    <row r="39" ht="30" customHeight="1" s="105">
      <c r="A39" s="176" t="inlineStr">
        <is>
          <t>C4</t>
        </is>
      </c>
      <c r="B39" s="176" t="inlineStr">
        <is>
          <t>—</t>
        </is>
      </c>
      <c r="C39" s="176" t="inlineStr">
        <is>
          <t>Décrire et caractériser l’organisation interne d’un objet ou d’un système technique et ses échanges avec son environnement (énergies, données)</t>
        </is>
      </c>
      <c r="D39" s="176" t="inlineStr">
        <is>
          <t>Thème 2 : Structure, fonctionnement, comportement : des objets et des systèmes techniques à comprendre</t>
        </is>
      </c>
      <c r="E39" s="176" t="inlineStr">
        <is>
          <t>D1.3, D1.4, D2, D4, D5</t>
        </is>
      </c>
      <c r="F39" s="176" t="inlineStr">
        <is>
          <t>Oui</t>
        </is>
      </c>
    </row>
    <row r="40" ht="25.5" customHeight="1" s="105">
      <c r="A40" s="177" t="inlineStr">
        <is>
          <t>5e_C4.1</t>
        </is>
      </c>
      <c r="B40" s="140" t="inlineStr">
        <is>
          <t>5e</t>
        </is>
      </c>
      <c r="C40" s="140" t="inlineStr">
        <is>
          <t>Associer des solutions techniques à une ou des fonctions techniques.</t>
        </is>
      </c>
      <c r="D40" s="140" t="inlineStr">
        <is>
          <t>Thème 2</t>
        </is>
      </c>
      <c r="E40" s="140" t="inlineStr">
        <is>
          <t>D2, D4, D5</t>
        </is>
      </c>
      <c r="F40" s="140" t="inlineStr">
        <is>
          <t>Oui</t>
        </is>
      </c>
    </row>
    <row r="41" ht="25.5" customHeight="1" s="105">
      <c r="A41" s="177" t="inlineStr">
        <is>
          <t>5e_C4.2</t>
        </is>
      </c>
      <c r="B41" s="140" t="inlineStr">
        <is>
          <t>5e</t>
        </is>
      </c>
      <c r="C41" s="140" t="inlineStr">
        <is>
          <t>Identifier des constituants de la chaîne d’énergie d’un objet technique (l’organisation de la chaîne d’énergie étant fournie).</t>
        </is>
      </c>
      <c r="D41" s="140" t="inlineStr">
        <is>
          <t>Thème 2</t>
        </is>
      </c>
      <c r="E41" s="140" t="inlineStr">
        <is>
          <t>D1.3, D2, D4</t>
        </is>
      </c>
      <c r="F41" s="140" t="inlineStr">
        <is>
          <t>Oui</t>
        </is>
      </c>
    </row>
    <row r="42" ht="25.5" customHeight="1" s="105">
      <c r="A42" s="177" t="inlineStr">
        <is>
          <t>5e_C4.3</t>
        </is>
      </c>
      <c r="B42" s="140" t="inlineStr">
        <is>
          <t>5e</t>
        </is>
      </c>
      <c r="C42" s="140" t="inlineStr">
        <is>
          <t>Indiquer la nature des énergies en entrée et en sortie des constituants de la chaîne d’énergie.</t>
        </is>
      </c>
      <c r="D42" s="140" t="inlineStr">
        <is>
          <t>Thème 2</t>
        </is>
      </c>
      <c r="E42" s="140" t="inlineStr">
        <is>
          <t>D1.3, D4</t>
        </is>
      </c>
      <c r="F42" s="140" t="inlineStr">
        <is>
          <t>Oui</t>
        </is>
      </c>
    </row>
    <row r="43" ht="25.5" customHeight="1" s="105">
      <c r="A43" s="177" t="inlineStr">
        <is>
          <t>5e_C4.4</t>
        </is>
      </c>
      <c r="B43" s="140" t="inlineStr">
        <is>
          <t>5e</t>
        </is>
      </c>
      <c r="C43" s="140" t="inlineStr">
        <is>
          <t>Identifier les principaux matériaux constitutifs d’un OST.</t>
        </is>
      </c>
      <c r="D43" s="140" t="inlineStr">
        <is>
          <t>Thème 2</t>
        </is>
      </c>
      <c r="E43" s="140" t="inlineStr">
        <is>
          <t>D3, D4, D5</t>
        </is>
      </c>
      <c r="F43" s="140" t="inlineStr">
        <is>
          <t>Oui</t>
        </is>
      </c>
    </row>
    <row r="44" ht="25.5" customHeight="1" s="105">
      <c r="A44" s="177" t="inlineStr">
        <is>
          <t>5e_C4.5</t>
        </is>
      </c>
      <c r="B44" s="140" t="inlineStr">
        <is>
          <t>5e</t>
        </is>
      </c>
      <c r="C44" s="140" t="inlineStr">
        <is>
          <t>Identifier des constituants de la chaîne d’information d’un OST (l’organisation de la chaîne d’information étant fournie).</t>
        </is>
      </c>
      <c r="D44" s="140" t="inlineStr">
        <is>
          <t>Thème 2</t>
        </is>
      </c>
      <c r="E44" s="140" t="inlineStr">
        <is>
          <t>D1.3, D2, D4</t>
        </is>
      </c>
      <c r="F44" s="140" t="inlineStr">
        <is>
          <t>Oui</t>
        </is>
      </c>
    </row>
    <row r="45" ht="25.5" customHeight="1" s="105">
      <c r="A45" s="177" t="inlineStr">
        <is>
          <t>5e_C4.6</t>
        </is>
      </c>
      <c r="B45" s="140" t="inlineStr">
        <is>
          <t>5e</t>
        </is>
      </c>
      <c r="C45" s="140" t="inlineStr">
        <is>
          <t>Déterminer des descripteurs permettant de décrire des objets sous forme de données en précisant leurs types et leurs formats.</t>
        </is>
      </c>
      <c r="D45" s="140" t="inlineStr">
        <is>
          <t>Thème 2</t>
        </is>
      </c>
      <c r="E45" s="140" t="inlineStr">
        <is>
          <t>D1.3, D2, D4</t>
        </is>
      </c>
      <c r="F45" s="140" t="inlineStr">
        <is>
          <t>Oui</t>
        </is>
      </c>
    </row>
    <row r="46" ht="25.5" customHeight="1" s="105">
      <c r="A46" s="177" t="inlineStr">
        <is>
          <t>5e_C4.7</t>
        </is>
      </c>
      <c r="B46" s="140" t="inlineStr">
        <is>
          <t>5e</t>
        </is>
      </c>
      <c r="C46" s="140" t="inlineStr">
        <is>
          <t>Identifier les composants qui constituent un réseau local (terminaux, commutateurs, liaisons filaires et sans fil (WiFi)) et sa topologie.</t>
        </is>
      </c>
      <c r="D46" s="140" t="inlineStr">
        <is>
          <t>Thème 2</t>
        </is>
      </c>
      <c r="E46" s="140" t="inlineStr">
        <is>
          <t>D2, D4</t>
        </is>
      </c>
      <c r="F46" s="140" t="inlineStr">
        <is>
          <t>Oui</t>
        </is>
      </c>
    </row>
    <row r="47" ht="25.5" customHeight="1" s="105">
      <c r="A47" s="177" t="inlineStr">
        <is>
          <t>5e_C4.8</t>
        </is>
      </c>
      <c r="B47" s="140" t="inlineStr">
        <is>
          <t>5e</t>
        </is>
      </c>
      <c r="C47" s="140" t="inlineStr">
        <is>
          <t>Justifier la nécessité d’identifier les terminaux pour communiquer sur un réseau local (activité débranchée et vérification par un outil de simulation).</t>
        </is>
      </c>
      <c r="D47" s="140" t="inlineStr">
        <is>
          <t>Thème 2</t>
        </is>
      </c>
      <c r="E47" s="140" t="inlineStr">
        <is>
          <t>D2, D4</t>
        </is>
      </c>
      <c r="F47" s="140" t="inlineStr">
        <is>
          <t>Oui</t>
        </is>
      </c>
    </row>
    <row r="48" ht="25.5" customHeight="1" s="105">
      <c r="A48" s="177" t="inlineStr">
        <is>
          <t>4e_C4.1</t>
        </is>
      </c>
      <c r="B48" s="140" t="inlineStr">
        <is>
          <t>4e</t>
        </is>
      </c>
      <c r="C48" s="140" t="inlineStr">
        <is>
          <t>Identifier les constituants d’une chaîne d’énergie et les associer à leurs fonctions.</t>
        </is>
      </c>
      <c r="D48" s="140" t="inlineStr">
        <is>
          <t>Thème 2</t>
        </is>
      </c>
      <c r="E48" s="140" t="inlineStr">
        <is>
          <t>D2, D4, D5</t>
        </is>
      </c>
      <c r="F48" s="140" t="inlineStr">
        <is>
          <t>Oui</t>
        </is>
      </c>
    </row>
    <row r="49" ht="25.5" customHeight="1" s="105">
      <c r="A49" s="177" t="inlineStr">
        <is>
          <t>4e_C4.2</t>
        </is>
      </c>
      <c r="B49" s="140" t="inlineStr">
        <is>
          <t>4e</t>
        </is>
      </c>
      <c r="C49" s="140" t="inlineStr">
        <is>
          <t>Repérer les transformations d’énergie et les flux d’énergie au sein de l’OST.</t>
        </is>
      </c>
      <c r="D49" s="140" t="inlineStr">
        <is>
          <t>Thème 2</t>
        </is>
      </c>
      <c r="E49" s="140" t="inlineStr">
        <is>
          <t>D1.3, D2, D4</t>
        </is>
      </c>
      <c r="F49" s="140" t="inlineStr">
        <is>
          <t>Oui</t>
        </is>
      </c>
    </row>
    <row r="50" ht="25.5" customHeight="1" s="105">
      <c r="A50" s="177" t="inlineStr">
        <is>
          <t>4e_C4.3</t>
        </is>
      </c>
      <c r="B50" s="140" t="inlineStr">
        <is>
          <t>4e</t>
        </is>
      </c>
      <c r="C50" s="140" t="inlineStr">
        <is>
          <t>Mettre en relation la forme d’une pièce avec le procédé de réalisation.</t>
        </is>
      </c>
      <c r="D50" s="140" t="inlineStr">
        <is>
          <t>Thème 2</t>
        </is>
      </c>
      <c r="E50" s="140" t="inlineStr">
        <is>
          <t>D3, D4, D5</t>
        </is>
      </c>
      <c r="F50" s="140" t="inlineStr">
        <is>
          <t>Oui</t>
        </is>
      </c>
    </row>
    <row r="51" ht="25.5" customHeight="1" s="105">
      <c r="A51" s="177" t="inlineStr">
        <is>
          <t>4e_C4.4</t>
        </is>
      </c>
      <c r="B51" s="140" t="inlineStr">
        <is>
          <t>4e</t>
        </is>
      </c>
      <c r="C51" s="140" t="inlineStr">
        <is>
          <t>Identifier les constituants de la chaîne d’information d’un objet réel et les associer à leur fonction.</t>
        </is>
      </c>
      <c r="D51" s="140" t="inlineStr">
        <is>
          <t>Thème 2</t>
        </is>
      </c>
      <c r="E51" s="140" t="inlineStr">
        <is>
          <t>D1.3, D2, D4</t>
        </is>
      </c>
      <c r="F51" s="140" t="inlineStr">
        <is>
          <t>Oui</t>
        </is>
      </c>
    </row>
    <row r="52" ht="25.5" customHeight="1" s="105">
      <c r="A52" s="177" t="inlineStr">
        <is>
          <t>4e_C4.5</t>
        </is>
      </c>
      <c r="B52" s="140" t="inlineStr">
        <is>
          <t>4e</t>
        </is>
      </c>
      <c r="C52" s="140" t="inlineStr">
        <is>
          <t>Décrire et analyser la transformation des données téléversées ou issues d’un OST.</t>
        </is>
      </c>
      <c r="D52" s="140" t="inlineStr">
        <is>
          <t>Thème 2</t>
        </is>
      </c>
      <c r="E52" s="140" t="inlineStr">
        <is>
          <t>D1.3, D2, D4</t>
        </is>
      </c>
      <c r="F52" s="140" t="inlineStr">
        <is>
          <t>Oui</t>
        </is>
      </c>
    </row>
    <row r="53" ht="25.5" customHeight="1" s="105">
      <c r="A53" s="177" t="inlineStr">
        <is>
          <t>4e_C4.6</t>
        </is>
      </c>
      <c r="B53" s="140" t="inlineStr">
        <is>
          <t>4e</t>
        </is>
      </c>
      <c r="C53" s="140" t="inlineStr">
        <is>
          <t>Décrire et analyser la structuration d’une table de données qui permet une exploitation et une interprétation du comportement d’un OST.</t>
        </is>
      </c>
      <c r="D53" s="140" t="inlineStr">
        <is>
          <t>Thème 2</t>
        </is>
      </c>
      <c r="E53" s="140" t="inlineStr">
        <is>
          <t>D1.3, D2, D4</t>
        </is>
      </c>
      <c r="F53" s="140" t="inlineStr">
        <is>
          <t>Oui</t>
        </is>
      </c>
    </row>
    <row r="54" ht="25.5" customHeight="1" s="105">
      <c r="A54" s="177" t="inlineStr">
        <is>
          <t>4e_C4.7</t>
        </is>
      </c>
      <c r="B54" s="140" t="inlineStr">
        <is>
          <t>4e</t>
        </is>
      </c>
      <c r="C54" s="140" t="inlineStr">
        <is>
          <t>Paramétrer une adresse IP fixe pour ajouter un objet connecté à un réseau local.</t>
        </is>
      </c>
      <c r="D54" s="140" t="inlineStr">
        <is>
          <t>Thème 2</t>
        </is>
      </c>
      <c r="E54" s="140" t="inlineStr">
        <is>
          <t>D2, D4</t>
        </is>
      </c>
      <c r="F54" s="140" t="inlineStr">
        <is>
          <t>Oui</t>
        </is>
      </c>
    </row>
    <row r="55" ht="39" customHeight="1" s="105">
      <c r="A55" s="177" t="inlineStr">
        <is>
          <t>4e_C4.8</t>
        </is>
      </c>
      <c r="B55" s="140" t="inlineStr">
        <is>
          <t>4e</t>
        </is>
      </c>
      <c r="C55" s="140" t="inlineStr">
        <is>
          <t>Résoudre des problèmes pour assurer la communication entre les différents terminaux dans un réseau informatique (simulation ou réseau local déconnecté du réseau pédagogique).</t>
        </is>
      </c>
      <c r="D55" s="140" t="inlineStr">
        <is>
          <t>Thème 2</t>
        </is>
      </c>
      <c r="E55" s="140" t="inlineStr">
        <is>
          <t>D2, D4</t>
        </is>
      </c>
      <c r="F55" s="140" t="inlineStr">
        <is>
          <t>Oui</t>
        </is>
      </c>
    </row>
    <row r="56" ht="25.5" customHeight="1" s="105">
      <c r="A56" s="177" t="inlineStr">
        <is>
          <t>4e_C4.9</t>
        </is>
      </c>
      <c r="B56" s="140" t="inlineStr">
        <is>
          <t>4e</t>
        </is>
      </c>
      <c r="C56" s="140" t="inlineStr">
        <is>
          <t>Compléter une simulation fournie pour valider le comportement d’un réseau informatique.</t>
        </is>
      </c>
      <c r="D56" s="140" t="inlineStr">
        <is>
          <t>Thème 2</t>
        </is>
      </c>
      <c r="E56" s="140" t="inlineStr">
        <is>
          <t>D2, D4</t>
        </is>
      </c>
      <c r="F56" s="140" t="inlineStr">
        <is>
          <t>Oui</t>
        </is>
      </c>
    </row>
    <row r="57" ht="25.5" customHeight="1" s="105">
      <c r="A57" s="177" t="inlineStr">
        <is>
          <t>3e_C4.1</t>
        </is>
      </c>
      <c r="B57" s="140" t="inlineStr">
        <is>
          <t>3e</t>
        </is>
      </c>
      <c r="C57" s="140" t="inlineStr">
        <is>
          <t>Élaborer, à l’aide d’un schéma bloc, la chaîne d’énergie d’un OST.</t>
        </is>
      </c>
      <c r="D57" s="140" t="inlineStr">
        <is>
          <t>Thème 2</t>
        </is>
      </c>
      <c r="E57" s="140" t="inlineStr">
        <is>
          <t>D1.3, D2, D4</t>
        </is>
      </c>
      <c r="F57" s="140" t="inlineStr">
        <is>
          <t>Oui</t>
        </is>
      </c>
    </row>
    <row r="58" ht="25.5" customHeight="1" s="105">
      <c r="A58" s="177" t="inlineStr">
        <is>
          <t>3e_C4.2</t>
        </is>
      </c>
      <c r="B58" s="140" t="inlineStr">
        <is>
          <t>3e</t>
        </is>
      </c>
      <c r="C58" s="140" t="inlineStr">
        <is>
          <t>Justifier le choix d’un matériau et de son procédé de mise en forme au regard des contraintes techniques et environnementales.</t>
        </is>
      </c>
      <c r="D58" s="140" t="inlineStr">
        <is>
          <t>Thème 2</t>
        </is>
      </c>
      <c r="E58" s="140" t="inlineStr">
        <is>
          <t>D3, D4, D5</t>
        </is>
      </c>
      <c r="F58" s="140" t="inlineStr">
        <is>
          <t>Oui</t>
        </is>
      </c>
    </row>
    <row r="59" ht="25.5" customHeight="1" s="105">
      <c r="A59" s="177" t="inlineStr">
        <is>
          <t>3e_C4.3</t>
        </is>
      </c>
      <c r="B59" s="140" t="inlineStr">
        <is>
          <t>3e</t>
        </is>
      </c>
      <c r="C59" s="140" t="inlineStr">
        <is>
          <t>Décrire un OST en caractérisant sa chaîne d’information.</t>
        </is>
      </c>
      <c r="D59" s="140" t="inlineStr">
        <is>
          <t>Thème 2</t>
        </is>
      </c>
      <c r="E59" s="140" t="inlineStr">
        <is>
          <t>D1.3, D2, D4</t>
        </is>
      </c>
      <c r="F59" s="140" t="inlineStr">
        <is>
          <t>Oui</t>
        </is>
      </c>
    </row>
    <row r="60" ht="25.5" customHeight="1" s="105">
      <c r="A60" s="177" t="inlineStr">
        <is>
          <t>3e_C4.4</t>
        </is>
      </c>
      <c r="B60" s="140" t="inlineStr">
        <is>
          <t>3e</t>
        </is>
      </c>
      <c r="C60" s="140" t="inlineStr">
        <is>
          <t>Associer des grandeurs analogiques issues d’un OST à des données exploitables.</t>
        </is>
      </c>
      <c r="D60" s="140" t="inlineStr">
        <is>
          <t>Thème 2</t>
        </is>
      </c>
      <c r="E60" s="140" t="inlineStr">
        <is>
          <t>D1.3, D2, D4</t>
        </is>
      </c>
      <c r="F60" s="140" t="inlineStr">
        <is>
          <t>Oui</t>
        </is>
      </c>
    </row>
    <row r="61" ht="25.5" customHeight="1" s="105">
      <c r="A61" s="177" t="inlineStr">
        <is>
          <t>3e_C4.5</t>
        </is>
      </c>
      <c r="B61" s="140" t="inlineStr">
        <is>
          <t>3e</t>
        </is>
      </c>
      <c r="C61" s="140" t="inlineStr">
        <is>
          <t>Représenter sous forme de données les informations de diverses natures utilisées par un OST.</t>
        </is>
      </c>
      <c r="D61" s="140" t="inlineStr">
        <is>
          <t>Thème 2</t>
        </is>
      </c>
      <c r="E61" s="140" t="inlineStr">
        <is>
          <t>D1.3, D2, D4</t>
        </is>
      </c>
      <c r="F61" s="140" t="inlineStr">
        <is>
          <t>Oui</t>
        </is>
      </c>
    </row>
    <row r="62" ht="25.5" customHeight="1" s="105">
      <c r="A62" s="177" t="inlineStr">
        <is>
          <t>3e_C4.6</t>
        </is>
      </c>
      <c r="B62" s="140" t="inlineStr">
        <is>
          <t>3e</t>
        </is>
      </c>
      <c r="C62" s="140" t="inlineStr">
        <is>
          <t>Identifier, selon les cas, leur mise en forme, leur transmission ou leur stockage dans des fichiers (texte, image, nombre) afin de comprendre le fonctionnement de l’OST.</t>
        </is>
      </c>
      <c r="D62" s="140" t="inlineStr">
        <is>
          <t>Thème 2</t>
        </is>
      </c>
      <c r="E62" s="140" t="inlineStr">
        <is>
          <t>D1.3, D2, D4</t>
        </is>
      </c>
      <c r="F62" s="140" t="inlineStr">
        <is>
          <t>Oui</t>
        </is>
      </c>
    </row>
    <row r="63" ht="25.5" customHeight="1" s="105">
      <c r="A63" s="177" t="inlineStr">
        <is>
          <t>3e_C4.7</t>
        </is>
      </c>
      <c r="B63" s="140" t="inlineStr">
        <is>
          <t>3e</t>
        </is>
      </c>
      <c r="C63" s="140" t="inlineStr">
        <is>
          <t>Identifier et représenter la circulation d’une information dans le réseau Internet.</t>
        </is>
      </c>
      <c r="D63" s="140" t="inlineStr">
        <is>
          <t>Thème 2</t>
        </is>
      </c>
      <c r="E63" s="140" t="inlineStr">
        <is>
          <t>D2, D4</t>
        </is>
      </c>
      <c r="F63" s="140" t="inlineStr">
        <is>
          <t>Oui</t>
        </is>
      </c>
    </row>
    <row r="64" ht="25.5" customHeight="1" s="105">
      <c r="A64" s="177" t="inlineStr">
        <is>
          <t>3e_C4.8</t>
        </is>
      </c>
      <c r="B64" s="140" t="inlineStr">
        <is>
          <t>3e</t>
        </is>
      </c>
      <c r="C64" s="140" t="inlineStr">
        <is>
          <t>Justifier la nécessité d’un protocole de routage pour faire communiquer plusieurs réseaux (activité débranchée, table de routage donnée).</t>
        </is>
      </c>
      <c r="D64" s="140" t="inlineStr">
        <is>
          <t>Thème 2</t>
        </is>
      </c>
      <c r="E64" s="140" t="inlineStr">
        <is>
          <t>D2, D4</t>
        </is>
      </c>
      <c r="F64" s="140" t="inlineStr">
        <is>
          <t>Oui</t>
        </is>
      </c>
    </row>
    <row r="65" ht="30" customHeight="1" s="105">
      <c r="A65" s="176" t="inlineStr">
        <is>
          <t>C5</t>
        </is>
      </c>
      <c r="B65" s="176" t="inlineStr">
        <is>
          <t>—</t>
        </is>
      </c>
      <c r="C65" s="176" t="inlineStr">
        <is>
          <t>Identifier un dysfonctionnement d’un objet technique et y remédier</t>
        </is>
      </c>
      <c r="D65" s="176" t="inlineStr">
        <is>
          <t>Thème 2</t>
        </is>
      </c>
      <c r="E65" s="176" t="inlineStr">
        <is>
          <t>D1.3, D2, D3, D4, D5</t>
        </is>
      </c>
      <c r="F65" s="176" t="inlineStr">
        <is>
          <t>Oui</t>
        </is>
      </c>
    </row>
    <row r="66" ht="25.5" customHeight="1" s="105">
      <c r="A66" s="177" t="inlineStr">
        <is>
          <t>5e_C5.1</t>
        </is>
      </c>
      <c r="B66" s="140" t="inlineStr">
        <is>
          <t>5e</t>
        </is>
      </c>
      <c r="C66" s="140" t="inlineStr">
        <is>
          <t>Repérer visuellement une pièce défectueuse.</t>
        </is>
      </c>
      <c r="D66" s="140" t="inlineStr">
        <is>
          <t>Thème 2</t>
        </is>
      </c>
      <c r="E66" s="140" t="inlineStr">
        <is>
          <t>D1.3, D2, D4</t>
        </is>
      </c>
      <c r="F66" s="140" t="inlineStr">
        <is>
          <t>Oui</t>
        </is>
      </c>
    </row>
    <row r="67" ht="25.5" customHeight="1" s="105">
      <c r="A67" s="177" t="inlineStr">
        <is>
          <t>5e_C5.2</t>
        </is>
      </c>
      <c r="B67" s="140" t="inlineStr">
        <is>
          <t>5e</t>
        </is>
      </c>
      <c r="C67" s="140" t="inlineStr">
        <is>
          <t>Réaliser une réparation en suivant un protocole fourni.</t>
        </is>
      </c>
      <c r="D67" s="140" t="inlineStr">
        <is>
          <t>Thème 2</t>
        </is>
      </c>
      <c r="E67" s="140" t="inlineStr">
        <is>
          <t>D2, D3, D4</t>
        </is>
      </c>
      <c r="F67" s="140" t="inlineStr">
        <is>
          <t>Oui</t>
        </is>
      </c>
    </row>
    <row r="68" ht="25.5" customHeight="1" s="105">
      <c r="A68" s="177" t="inlineStr">
        <is>
          <t>5e_C5.3</t>
        </is>
      </c>
      <c r="B68" s="140" t="inlineStr">
        <is>
          <t>5e</t>
        </is>
      </c>
      <c r="C68" s="140" t="inlineStr">
        <is>
          <t>Découvrir les procédés de réalisation présents dans un atelier de fabrication collaboratif.</t>
        </is>
      </c>
      <c r="D68" s="140" t="inlineStr">
        <is>
          <t>Thème 2</t>
        </is>
      </c>
      <c r="E68" s="140" t="inlineStr">
        <is>
          <t>D2, D3, D4, D5</t>
        </is>
      </c>
      <c r="F68" s="140" t="inlineStr">
        <is>
          <t>Oui</t>
        </is>
      </c>
    </row>
    <row r="69" ht="25.5" customHeight="1" s="105">
      <c r="A69" s="177" t="inlineStr">
        <is>
          <t>4e_C5.1</t>
        </is>
      </c>
      <c r="B69" s="140" t="inlineStr">
        <is>
          <t>4e</t>
        </is>
      </c>
      <c r="C69" s="140" t="inlineStr">
        <is>
          <t>Proposer un protocole permettant de vérifier l’origine d’un dysfonctionnement.</t>
        </is>
      </c>
      <c r="D69" s="140" t="inlineStr">
        <is>
          <t>Thème 2</t>
        </is>
      </c>
      <c r="E69" s="140" t="inlineStr">
        <is>
          <t>D1.3, D2, D4</t>
        </is>
      </c>
      <c r="F69" s="140" t="inlineStr">
        <is>
          <t>Oui</t>
        </is>
      </c>
    </row>
    <row r="70" ht="25.5" customHeight="1" s="105">
      <c r="A70" s="177" t="inlineStr">
        <is>
          <t>4e_C5.2</t>
        </is>
      </c>
      <c r="B70" s="140" t="inlineStr">
        <is>
          <t>4e</t>
        </is>
      </c>
      <c r="C70" s="140" t="inlineStr">
        <is>
          <t>Remplacer une pièce défectueuse sans protocole fourni (la pièce de remplacement étant fournie).</t>
        </is>
      </c>
      <c r="D70" s="140" t="inlineStr">
        <is>
          <t>Thème 2</t>
        </is>
      </c>
      <c r="E70" s="140" t="inlineStr">
        <is>
          <t>D2, D3, D4</t>
        </is>
      </c>
      <c r="F70" s="140" t="inlineStr">
        <is>
          <t>Oui</t>
        </is>
      </c>
    </row>
    <row r="71" ht="25.5" customHeight="1" s="105">
      <c r="A71" s="177" t="inlineStr">
        <is>
          <t>4e_C5.3</t>
        </is>
      </c>
      <c r="B71" s="140" t="inlineStr">
        <is>
          <t>4e</t>
        </is>
      </c>
      <c r="C71" s="140" t="inlineStr">
        <is>
          <t>Choisir les procédés de réalisation et les mettre en œuvre.</t>
        </is>
      </c>
      <c r="D71" s="140" t="inlineStr">
        <is>
          <t>Thème 2</t>
        </is>
      </c>
      <c r="E71" s="140" t="inlineStr">
        <is>
          <t>D2, D3, D4</t>
        </is>
      </c>
      <c r="F71" s="140" t="inlineStr">
        <is>
          <t>Oui</t>
        </is>
      </c>
    </row>
    <row r="72" ht="25.5" customHeight="1" s="105">
      <c r="A72" s="177" t="inlineStr">
        <is>
          <t>3e_C5.1</t>
        </is>
      </c>
      <c r="B72" s="140" t="inlineStr">
        <is>
          <t>3e</t>
        </is>
      </c>
      <c r="C72" s="140" t="inlineStr">
        <is>
          <t>Formuler des hypothèses expliquant le dysfonctionnement d’un objet technique.</t>
        </is>
      </c>
      <c r="D72" s="140" t="inlineStr">
        <is>
          <t>Thème 2</t>
        </is>
      </c>
      <c r="E72" s="140" t="inlineStr">
        <is>
          <t>D1.3, D2, D4</t>
        </is>
      </c>
      <c r="F72" s="140" t="inlineStr">
        <is>
          <t>Oui</t>
        </is>
      </c>
    </row>
    <row r="73" ht="25.5" customHeight="1" s="105">
      <c r="A73" s="177" t="inlineStr">
        <is>
          <t>3e_C5.2</t>
        </is>
      </c>
      <c r="B73" s="140" t="inlineStr">
        <is>
          <t>3e</t>
        </is>
      </c>
      <c r="C73" s="140" t="inlineStr">
        <is>
          <t>Proposer un protocole de dépannage puis de réparation.</t>
        </is>
      </c>
      <c r="D73" s="140" t="inlineStr">
        <is>
          <t>Thème 2</t>
        </is>
      </c>
      <c r="E73" s="140" t="inlineStr">
        <is>
          <t>D1.3, D2, D4</t>
        </is>
      </c>
      <c r="F73" s="140" t="inlineStr">
        <is>
          <t>Oui</t>
        </is>
      </c>
    </row>
    <row r="74" ht="25.5" customHeight="1" s="105">
      <c r="A74" s="177" t="inlineStr">
        <is>
          <t>3e_C5.3</t>
        </is>
      </c>
      <c r="B74" s="140" t="inlineStr">
        <is>
          <t>3e</t>
        </is>
      </c>
      <c r="C74" s="140" t="inlineStr">
        <is>
          <t>Réaliser le dépannage ou la réparation d’un système défectueux.</t>
        </is>
      </c>
      <c r="D74" s="140" t="inlineStr">
        <is>
          <t>Thème 2</t>
        </is>
      </c>
      <c r="E74" s="140" t="inlineStr">
        <is>
          <t>D2, D3, D4</t>
        </is>
      </c>
      <c r="F74" s="140" t="inlineStr">
        <is>
          <t>Oui</t>
        </is>
      </c>
    </row>
    <row r="75" ht="25.5" customHeight="1" s="105">
      <c r="A75" s="177" t="inlineStr">
        <is>
          <t>3e_C5.4</t>
        </is>
      </c>
      <c r="B75" s="140" t="inlineStr">
        <is>
          <t>3e</t>
        </is>
      </c>
      <c r="C75" s="140" t="inlineStr">
        <is>
          <t>Réaliser une pièce sur mesure pour réparer un objet technique.</t>
        </is>
      </c>
      <c r="D75" s="140" t="inlineStr">
        <is>
          <t>Thème 2</t>
        </is>
      </c>
      <c r="E75" s="140" t="inlineStr">
        <is>
          <t>D2, D3, D4</t>
        </is>
      </c>
      <c r="F75" s="140" t="inlineStr">
        <is>
          <t>Oui</t>
        </is>
      </c>
    </row>
    <row r="76" ht="30" customHeight="1" s="105">
      <c r="A76" s="176" t="inlineStr">
        <is>
          <t>C6</t>
        </is>
      </c>
      <c r="B76" s="176" t="inlineStr">
        <is>
          <t>—</t>
        </is>
      </c>
      <c r="C76" s="176" t="inlineStr">
        <is>
          <t>Comprendre et modifier un programme associé à une fonctionnalité d’un objet ou d’un système technique</t>
        </is>
      </c>
      <c r="D76" s="176" t="inlineStr">
        <is>
          <t>Thème 2</t>
        </is>
      </c>
      <c r="E76" s="176" t="inlineStr">
        <is>
          <t>D1.3, D2, D4</t>
        </is>
      </c>
      <c r="F76" s="176" t="inlineStr">
        <is>
          <t>Oui</t>
        </is>
      </c>
    </row>
    <row r="77" ht="25.5" customHeight="1" s="105">
      <c r="A77" s="177" t="inlineStr">
        <is>
          <t>5e_C6.1</t>
        </is>
      </c>
      <c r="B77" s="140" t="inlineStr">
        <is>
          <t>5e</t>
        </is>
      </c>
      <c r="C77" s="140" t="inlineStr">
        <is>
          <t>Identifier les données utilisées et produites par le programme associé à une fonctionnalité d’un OST (à partir d’un programme existant).</t>
        </is>
      </c>
      <c r="D77" s="140" t="inlineStr">
        <is>
          <t>Thème 2</t>
        </is>
      </c>
      <c r="E77" s="140" t="inlineStr">
        <is>
          <t>D1.3, D2, D4</t>
        </is>
      </c>
      <c r="F77" s="140" t="inlineStr">
        <is>
          <t>Oui</t>
        </is>
      </c>
    </row>
    <row r="78" ht="25.5" customHeight="1" s="105">
      <c r="A78" s="177" t="inlineStr">
        <is>
          <t>5e_C6.2</t>
        </is>
      </c>
      <c r="B78" s="140" t="inlineStr">
        <is>
          <t>5e</t>
        </is>
      </c>
      <c r="C78" s="140" t="inlineStr">
        <is>
          <t>Comprendre et traduire en un algorithme en langage naturel le programme associé à une fonctionnalité d’un OST.</t>
        </is>
      </c>
      <c r="D78" s="140" t="inlineStr">
        <is>
          <t>Thème 2</t>
        </is>
      </c>
      <c r="E78" s="140" t="inlineStr">
        <is>
          <t>D1.3, D4</t>
        </is>
      </c>
      <c r="F78" s="140" t="inlineStr">
        <is>
          <t>Oui</t>
        </is>
      </c>
    </row>
    <row r="79" ht="25.5" customHeight="1" s="105">
      <c r="A79" s="177" t="inlineStr">
        <is>
          <t>5e_C6.3</t>
        </is>
      </c>
      <c r="B79" s="140" t="inlineStr">
        <is>
          <t>5e</t>
        </is>
      </c>
      <c r="C79" s="140" t="inlineStr">
        <is>
          <t>Modifier les paramètres d’un programme et identifier ou évaluer ses effets en termes de fonctionnalité.</t>
        </is>
      </c>
      <c r="D79" s="140" t="inlineStr">
        <is>
          <t>Thème 2</t>
        </is>
      </c>
      <c r="E79" s="140" t="inlineStr">
        <is>
          <t>D1.3, D4</t>
        </is>
      </c>
      <c r="F79" s="140" t="inlineStr">
        <is>
          <t>Oui</t>
        </is>
      </c>
    </row>
    <row r="80" ht="25.5" customHeight="1" s="105">
      <c r="A80" s="177" t="inlineStr">
        <is>
          <t>4e_C6.1</t>
        </is>
      </c>
      <c r="B80" s="140" t="inlineStr">
        <is>
          <t>4e</t>
        </is>
      </c>
      <c r="C80" s="140" t="inlineStr">
        <is>
          <t>Analyser les données et en déduire des modifications à apporter au programme.</t>
        </is>
      </c>
      <c r="D80" s="140" t="inlineStr">
        <is>
          <t>Thème 2</t>
        </is>
      </c>
      <c r="E80" s="140" t="inlineStr">
        <is>
          <t>D1.3, D2, D4</t>
        </is>
      </c>
      <c r="F80" s="140" t="inlineStr">
        <is>
          <t>Oui</t>
        </is>
      </c>
    </row>
    <row r="81" ht="25.5" customHeight="1" s="105">
      <c r="A81" s="177" t="inlineStr">
        <is>
          <t>4e_C6.2</t>
        </is>
      </c>
      <c r="B81" s="140" t="inlineStr">
        <is>
          <t>4e</t>
        </is>
      </c>
      <c r="C81" s="140" t="inlineStr">
        <is>
          <t>Compléter un programme pour répondre à une fonctionnalité d’un OST.</t>
        </is>
      </c>
      <c r="D81" s="140" t="inlineStr">
        <is>
          <t>Thème 2</t>
        </is>
      </c>
      <c r="E81" s="140" t="inlineStr">
        <is>
          <t>D1.3, D2, D4</t>
        </is>
      </c>
      <c r="F81" s="140" t="inlineStr">
        <is>
          <t>Oui</t>
        </is>
      </c>
    </row>
    <row r="82" ht="25.5" customHeight="1" s="105">
      <c r="A82" s="177" t="inlineStr">
        <is>
          <t>4e_C6.3</t>
        </is>
      </c>
      <c r="B82" s="140" t="inlineStr">
        <is>
          <t>4e</t>
        </is>
      </c>
      <c r="C82" s="140" t="inlineStr">
        <is>
          <t>Tester et valider, dans un environnement simulé ou réel, une modification du programme.</t>
        </is>
      </c>
      <c r="D82" s="140" t="inlineStr">
        <is>
          <t>Thème 2</t>
        </is>
      </c>
      <c r="E82" s="140" t="inlineStr">
        <is>
          <t>D1.3, D2, D4</t>
        </is>
      </c>
      <c r="F82" s="140" t="inlineStr">
        <is>
          <t>Oui</t>
        </is>
      </c>
    </row>
    <row r="83" ht="25.5" customHeight="1" s="105">
      <c r="A83" s="177" t="inlineStr">
        <is>
          <t>3e_C6.1</t>
        </is>
      </c>
      <c r="B83" s="140" t="inlineStr">
        <is>
          <t>3e</t>
        </is>
      </c>
      <c r="C83" s="140" t="inlineStr">
        <is>
          <t>Déterminer les données utilisées et produites par un programme associé à une fonctionnalité en vue de le modifier.</t>
        </is>
      </c>
      <c r="D83" s="140" t="inlineStr">
        <is>
          <t>Thème 2</t>
        </is>
      </c>
      <c r="E83" s="140" t="inlineStr">
        <is>
          <t>D1.3, D2, D4</t>
        </is>
      </c>
      <c r="F83" s="140" t="inlineStr">
        <is>
          <t>Oui</t>
        </is>
      </c>
    </row>
    <row r="84" ht="25.5" customHeight="1" s="105">
      <c r="A84" s="177" t="inlineStr">
        <is>
          <t>3e_C6.2</t>
        </is>
      </c>
      <c r="B84" s="140" t="inlineStr">
        <is>
          <t>3e</t>
        </is>
      </c>
      <c r="C84" s="140" t="inlineStr">
        <is>
          <t>Programmer un algorithme lié à une nouvelle fonctionnalité.</t>
        </is>
      </c>
      <c r="D84" s="140" t="inlineStr">
        <is>
          <t>Thème 2</t>
        </is>
      </c>
      <c r="E84" s="140" t="inlineStr">
        <is>
          <t>D1.3, D2, D4</t>
        </is>
      </c>
      <c r="F84" s="140" t="inlineStr">
        <is>
          <t>Oui</t>
        </is>
      </c>
    </row>
    <row r="85" ht="25.5" customHeight="1" s="105">
      <c r="A85" s="177" t="inlineStr">
        <is>
          <t>3e_C6.3</t>
        </is>
      </c>
      <c r="B85" s="140" t="inlineStr">
        <is>
          <t>3e</t>
        </is>
      </c>
      <c r="C85" s="140" t="inlineStr">
        <is>
          <t>Modifier et tester le programme associé à une nouvelle fonctionnalité d’un OST.</t>
        </is>
      </c>
      <c r="D85" s="140" t="inlineStr">
        <is>
          <t>Thème 2</t>
        </is>
      </c>
      <c r="E85" s="140" t="inlineStr">
        <is>
          <t>D1.3, D2, D4</t>
        </is>
      </c>
      <c r="F85" s="140" t="inlineStr">
        <is>
          <t>Oui</t>
        </is>
      </c>
    </row>
    <row r="86" ht="30" customHeight="1" s="105">
      <c r="A86" s="176" t="inlineStr">
        <is>
          <t>C7</t>
        </is>
      </c>
      <c r="B86" s="176" t="inlineStr">
        <is>
          <t>—</t>
        </is>
      </c>
      <c r="C86" s="176" t="inlineStr">
        <is>
          <t>Imaginer, concevoir et réaliser une ou des solutions en réponse à un besoin, à des exigences (de développement durable, par exemple) ou à la nécessité d’améliorations dans une démarche de créativité</t>
        </is>
      </c>
      <c r="D86" s="176" t="inlineStr">
        <is>
          <t>Thème 3 : Création, conception, réalisation, innovations : des objets à concevoir et à réaliser</t>
        </is>
      </c>
      <c r="E86" s="176" t="inlineStr">
        <is>
          <t>D2, D3, D4, D5</t>
        </is>
      </c>
      <c r="F86" s="176" t="inlineStr">
        <is>
          <t>Oui</t>
        </is>
      </c>
    </row>
    <row r="87" ht="25.5" customHeight="1" s="105">
      <c r="A87" s="177" t="inlineStr">
        <is>
          <t>5e_C7.1</t>
        </is>
      </c>
      <c r="B87" s="140" t="inlineStr">
        <is>
          <t>5e</t>
        </is>
      </c>
      <c r="C87" s="140" t="inlineStr">
        <is>
          <t>Suivre un processus de conception et de réalisation dans une durée, avec des tâches identifiées.</t>
        </is>
      </c>
      <c r="D87" s="140" t="inlineStr">
        <is>
          <t>Thème 3</t>
        </is>
      </c>
      <c r="E87" s="140" t="inlineStr">
        <is>
          <t>D2, D4, D5</t>
        </is>
      </c>
      <c r="F87" s="140" t="inlineStr">
        <is>
          <t>Oui</t>
        </is>
      </c>
    </row>
    <row r="88" ht="25.5" customHeight="1" s="105">
      <c r="A88" s="177" t="inlineStr">
        <is>
          <t>5e_C7.2</t>
        </is>
      </c>
      <c r="B88" s="140" t="inlineStr">
        <is>
          <t>5e</t>
        </is>
      </c>
      <c r="C88" s="140" t="inlineStr">
        <is>
          <t>Fabriquer une solution pour améliorer un OST existant.</t>
        </is>
      </c>
      <c r="D88" s="140" t="inlineStr">
        <is>
          <t>Thème 3</t>
        </is>
      </c>
      <c r="E88" s="140" t="inlineStr">
        <is>
          <t>D2, D3, D4</t>
        </is>
      </c>
      <c r="F88" s="140" t="inlineStr">
        <is>
          <t>Oui</t>
        </is>
      </c>
    </row>
    <row r="89" ht="25.5" customHeight="1" s="105">
      <c r="A89" s="177" t="inlineStr">
        <is>
          <t>5e_C7.3</t>
        </is>
      </c>
      <c r="B89" s="140" t="inlineStr">
        <is>
          <t>5e</t>
        </is>
      </c>
      <c r="C89" s="140" t="inlineStr">
        <is>
          <t>Choisir un matériau parmi plusieurs proposés en fonction de leurs caractéristiques.</t>
        </is>
      </c>
      <c r="D89" s="140" t="inlineStr">
        <is>
          <t>Thème 3</t>
        </is>
      </c>
      <c r="E89" s="140" t="inlineStr">
        <is>
          <t>D3, D4, D5</t>
        </is>
      </c>
      <c r="F89" s="140" t="inlineStr">
        <is>
          <t>Oui</t>
        </is>
      </c>
    </row>
    <row r="90" ht="25.5" customHeight="1" s="105">
      <c r="A90" s="177" t="inlineStr">
        <is>
          <t>5e_C7.4</t>
        </is>
      </c>
      <c r="B90" s="140" t="inlineStr">
        <is>
          <t>5e</t>
        </is>
      </c>
      <c r="C90" s="140" t="inlineStr">
        <is>
          <t>Choisir une source d’énergie parmi plusieurs proposées et une forme d’énergie possible.</t>
        </is>
      </c>
      <c r="D90" s="140" t="inlineStr">
        <is>
          <t>Thème 3</t>
        </is>
      </c>
      <c r="E90" s="140" t="inlineStr">
        <is>
          <t>D3, D4, D5</t>
        </is>
      </c>
      <c r="F90" s="140" t="inlineStr">
        <is>
          <t>Oui</t>
        </is>
      </c>
    </row>
    <row r="91" ht="25.5" customHeight="1" s="105">
      <c r="A91" s="177" t="inlineStr">
        <is>
          <t>5e_C7.5</t>
        </is>
      </c>
      <c r="B91" s="140" t="inlineStr">
        <is>
          <t>5e</t>
        </is>
      </c>
      <c r="C91" s="140" t="inlineStr">
        <is>
          <t>Assembler les constituants fournis pour réaliser un prototype.</t>
        </is>
      </c>
      <c r="D91" s="140" t="inlineStr">
        <is>
          <t>Thème 3</t>
        </is>
      </c>
      <c r="E91" s="140" t="inlineStr">
        <is>
          <t>D2, D3, D4</t>
        </is>
      </c>
      <c r="F91" s="140" t="inlineStr">
        <is>
          <t>Oui</t>
        </is>
      </c>
    </row>
    <row r="92" ht="25.5" customHeight="1" s="105">
      <c r="A92" s="177" t="inlineStr">
        <is>
          <t>5e_C7.6</t>
        </is>
      </c>
      <c r="B92" s="140" t="inlineStr">
        <is>
          <t>5e</t>
        </is>
      </c>
      <c r="C92" s="140" t="inlineStr">
        <is>
          <t>Mettre en œuvre les moyens pour réaliser une forme selon une procédure fournie.</t>
        </is>
      </c>
      <c r="D92" s="140" t="inlineStr">
        <is>
          <t>Thème 3</t>
        </is>
      </c>
      <c r="E92" s="140" t="inlineStr">
        <is>
          <t>D2, D3, D4</t>
        </is>
      </c>
      <c r="F92" s="140" t="inlineStr">
        <is>
          <t>Oui</t>
        </is>
      </c>
    </row>
    <row r="93" ht="25.5" customHeight="1" s="105">
      <c r="A93" s="177" t="inlineStr">
        <is>
          <t>4e_C7.1</t>
        </is>
      </c>
      <c r="B93" s="140" t="inlineStr">
        <is>
          <t>4e</t>
        </is>
      </c>
      <c r="C93" s="140" t="inlineStr">
        <is>
          <t>Organiser un processus de conception et de réalisation dans une durée, avec des tâches identifiées.</t>
        </is>
      </c>
      <c r="D93" s="140" t="inlineStr">
        <is>
          <t>Thème 3</t>
        </is>
      </c>
      <c r="E93" s="140" t="inlineStr">
        <is>
          <t>D2, D4, D5</t>
        </is>
      </c>
      <c r="F93" s="140" t="inlineStr">
        <is>
          <t>Oui</t>
        </is>
      </c>
    </row>
    <row r="94" ht="25.5" customHeight="1" s="105">
      <c r="A94" s="177" t="inlineStr">
        <is>
          <t>4e_C7.2</t>
        </is>
      </c>
      <c r="B94" s="140" t="inlineStr">
        <is>
          <t>4e</t>
        </is>
      </c>
      <c r="C94" s="140" t="inlineStr">
        <is>
          <t>Proposer et fabriquer une solution pour ajouter une nouvelle fonction à un OST (croquis, schéma, graphique, algorithme, modélisation).</t>
        </is>
      </c>
      <c r="D94" s="140" t="inlineStr">
        <is>
          <t>Thème 3</t>
        </is>
      </c>
      <c r="E94" s="140" t="inlineStr">
        <is>
          <t>D2, D3, D4</t>
        </is>
      </c>
      <c r="F94" s="140" t="inlineStr">
        <is>
          <t>Oui</t>
        </is>
      </c>
    </row>
    <row r="95" ht="25.5" customHeight="1" s="105">
      <c r="A95" s="177" t="inlineStr">
        <is>
          <t>4e_C7.3</t>
        </is>
      </c>
      <c r="B95" s="140" t="inlineStr">
        <is>
          <t>4e</t>
        </is>
      </c>
      <c r="C95" s="140" t="inlineStr">
        <is>
          <t>Comparer différents matériaux pour choisir le plus adapté.</t>
        </is>
      </c>
      <c r="D95" s="140" t="inlineStr">
        <is>
          <t>Thème 3</t>
        </is>
      </c>
      <c r="E95" s="140" t="inlineStr">
        <is>
          <t>D3, D4, D5</t>
        </is>
      </c>
      <c r="F95" s="140" t="inlineStr">
        <is>
          <t>Oui</t>
        </is>
      </c>
    </row>
    <row r="96" ht="25.5" customHeight="1" s="105">
      <c r="A96" s="177" t="inlineStr">
        <is>
          <t>4e_C7.4</t>
        </is>
      </c>
      <c r="B96" s="140" t="inlineStr">
        <is>
          <t>4e</t>
        </is>
      </c>
      <c r="C96" s="140" t="inlineStr">
        <is>
          <t>Comparer différentes sources d’énergie pour choisir la plus adaptée.</t>
        </is>
      </c>
      <c r="D96" s="140" t="inlineStr">
        <is>
          <t>Thème 3</t>
        </is>
      </c>
      <c r="E96" s="140" t="inlineStr">
        <is>
          <t>D3, D4, D5</t>
        </is>
      </c>
      <c r="F96" s="140" t="inlineStr">
        <is>
          <t>Oui</t>
        </is>
      </c>
    </row>
    <row r="97" ht="25.5" customHeight="1" s="105">
      <c r="A97" s="177" t="inlineStr">
        <is>
          <t>4e_C7.5</t>
        </is>
      </c>
      <c r="B97" s="140" t="inlineStr">
        <is>
          <t>4e</t>
        </is>
      </c>
      <c r="C97" s="140" t="inlineStr">
        <is>
          <t>Identifier les constituants manquants dans un prototype et le compléter.</t>
        </is>
      </c>
      <c r="D97" s="140" t="inlineStr">
        <is>
          <t>Thème 3</t>
        </is>
      </c>
      <c r="E97" s="140" t="inlineStr">
        <is>
          <t>D2, D3, D4</t>
        </is>
      </c>
      <c r="F97" s="140" t="inlineStr">
        <is>
          <t>Oui</t>
        </is>
      </c>
    </row>
    <row r="98" ht="25.5" customHeight="1" s="105">
      <c r="A98" s="177" t="inlineStr">
        <is>
          <t>4e_C7.6</t>
        </is>
      </c>
      <c r="B98" s="140" t="inlineStr">
        <is>
          <t>4e</t>
        </is>
      </c>
      <c r="C98" s="140" t="inlineStr">
        <is>
          <t>Modifier une forme à l’aide d’une modélisation.</t>
        </is>
      </c>
      <c r="D98" s="140" t="inlineStr">
        <is>
          <t>Thème 3</t>
        </is>
      </c>
      <c r="E98" s="140" t="inlineStr">
        <is>
          <t>D2, D3, D4</t>
        </is>
      </c>
      <c r="F98" s="140" t="inlineStr">
        <is>
          <t>Oui</t>
        </is>
      </c>
    </row>
    <row r="99" ht="25.5" customHeight="1" s="105">
      <c r="A99" s="177" t="inlineStr">
        <is>
          <t>4e_C7.7</t>
        </is>
      </c>
      <c r="B99" s="140" t="inlineStr">
        <is>
          <t>4e</t>
        </is>
      </c>
      <c r="C99" s="140" t="inlineStr">
        <is>
          <t>Choisir les moyens et produire la forme voulue.</t>
        </is>
      </c>
      <c r="D99" s="140" t="inlineStr">
        <is>
          <t>Thème 3</t>
        </is>
      </c>
      <c r="E99" s="140" t="inlineStr">
        <is>
          <t>D2, D3, D4</t>
        </is>
      </c>
      <c r="F99" s="140" t="inlineStr">
        <is>
          <t>Oui</t>
        </is>
      </c>
    </row>
    <row r="100" ht="25.5" customHeight="1" s="105">
      <c r="A100" s="177" t="inlineStr">
        <is>
          <t>4e_C7.8</t>
        </is>
      </c>
      <c r="B100" s="140" t="inlineStr">
        <is>
          <t>4e</t>
        </is>
      </c>
      <c r="C100" s="140" t="inlineStr">
        <is>
          <t>Interfacer un objet technique avec un réseau.</t>
        </is>
      </c>
      <c r="D100" s="140" t="inlineStr">
        <is>
          <t>Thème 3</t>
        </is>
      </c>
      <c r="E100" s="140" t="inlineStr">
        <is>
          <t>D2, D3, D4</t>
        </is>
      </c>
      <c r="F100" s="140" t="inlineStr">
        <is>
          <t>Oui</t>
        </is>
      </c>
    </row>
    <row r="101" ht="25.5" customHeight="1" s="105">
      <c r="A101" s="177" t="inlineStr">
        <is>
          <t>3e_C7.1</t>
        </is>
      </c>
      <c r="B101" s="140" t="inlineStr">
        <is>
          <t>3e</t>
        </is>
      </c>
      <c r="C101" s="140" t="inlineStr">
        <is>
          <t>Élaborer un processus de conception et de réalisation dans une durée, avec des tâches identifiées.</t>
        </is>
      </c>
      <c r="D101" s="140" t="inlineStr">
        <is>
          <t>Thème 3</t>
        </is>
      </c>
      <c r="E101" s="140" t="inlineStr">
        <is>
          <t>D2, D4, D5</t>
        </is>
      </c>
      <c r="F101" s="140" t="inlineStr">
        <is>
          <t>Oui</t>
        </is>
      </c>
    </row>
    <row r="102" ht="25.5" customHeight="1" s="105">
      <c r="A102" s="177" t="inlineStr">
        <is>
          <t>3e_C7.2</t>
        </is>
      </c>
      <c r="B102" s="140" t="inlineStr">
        <is>
          <t>3e</t>
        </is>
      </c>
      <c r="C102" s="140" t="inlineStr">
        <is>
          <t>Proposer et fabriquer un ensemble de solutions pour produire un nouvel OST (croquis, schéma, graphique, algorithme, modélisation).</t>
        </is>
      </c>
      <c r="D102" s="140" t="inlineStr">
        <is>
          <t>Thème 3</t>
        </is>
      </c>
      <c r="E102" s="140" t="inlineStr">
        <is>
          <t>D2, D3, D4</t>
        </is>
      </c>
      <c r="F102" s="140" t="inlineStr">
        <is>
          <t>Oui</t>
        </is>
      </c>
    </row>
    <row r="103" ht="25.5" customHeight="1" s="105">
      <c r="A103" s="177" t="inlineStr">
        <is>
          <t>3e_C7.3</t>
        </is>
      </c>
      <c r="B103" s="140" t="inlineStr">
        <is>
          <t>3e</t>
        </is>
      </c>
      <c r="C103" s="140" t="inlineStr">
        <is>
          <t>Choisir un matériau constitutif d’un objet et/ou système technique.</t>
        </is>
      </c>
      <c r="D103" s="140" t="inlineStr">
        <is>
          <t>Thème 3</t>
        </is>
      </c>
      <c r="E103" s="140" t="inlineStr">
        <is>
          <t>D3, D4, D5</t>
        </is>
      </c>
      <c r="F103" s="140" t="inlineStr">
        <is>
          <t>Oui</t>
        </is>
      </c>
    </row>
    <row r="104" ht="25.5" customHeight="1" s="105">
      <c r="A104" s="177" t="inlineStr">
        <is>
          <t>3e_C7.4</t>
        </is>
      </c>
      <c r="B104" s="140" t="inlineStr">
        <is>
          <t>3e</t>
        </is>
      </c>
      <c r="C104" s="140" t="inlineStr">
        <is>
          <t>Choisir une source d’énergie pour un OST.</t>
        </is>
      </c>
      <c r="D104" s="140" t="inlineStr">
        <is>
          <t>Thème 3</t>
        </is>
      </c>
      <c r="E104" s="140" t="inlineStr">
        <is>
          <t>D3, D4, D5</t>
        </is>
      </c>
      <c r="F104" s="140" t="inlineStr">
        <is>
          <t>Oui</t>
        </is>
      </c>
    </row>
    <row r="105" ht="25.5" customHeight="1" s="105">
      <c r="A105" s="177" t="inlineStr">
        <is>
          <t>3e_C7.5</t>
        </is>
      </c>
      <c r="B105" s="140" t="inlineStr">
        <is>
          <t>3e</t>
        </is>
      </c>
      <c r="C105" s="140" t="inlineStr">
        <is>
          <t>Choisir les constituants et assembler un prototype.</t>
        </is>
      </c>
      <c r="D105" s="140" t="inlineStr">
        <is>
          <t>Thème 3</t>
        </is>
      </c>
      <c r="E105" s="140" t="inlineStr">
        <is>
          <t>D2, D3, D4</t>
        </is>
      </c>
      <c r="F105" s="140" t="inlineStr">
        <is>
          <t>Oui</t>
        </is>
      </c>
    </row>
    <row r="106" ht="25.5" customHeight="1" s="105">
      <c r="A106" s="177" t="inlineStr">
        <is>
          <t>3e_C7.6</t>
        </is>
      </c>
      <c r="B106" s="140" t="inlineStr">
        <is>
          <t>3e</t>
        </is>
      </c>
      <c r="C106" s="140" t="inlineStr">
        <is>
          <t>Modéliser une forme voulue.</t>
        </is>
      </c>
      <c r="D106" s="140" t="inlineStr">
        <is>
          <t>Thème 3</t>
        </is>
      </c>
      <c r="E106" s="140" t="inlineStr">
        <is>
          <t>D2, D3, D4</t>
        </is>
      </c>
      <c r="F106" s="140" t="inlineStr">
        <is>
          <t>Oui</t>
        </is>
      </c>
    </row>
    <row r="107" ht="25.5" customHeight="1" s="105">
      <c r="A107" s="177" t="inlineStr">
        <is>
          <t>3e_C7.7</t>
        </is>
      </c>
      <c r="B107" s="140" t="inlineStr">
        <is>
          <t>3e</t>
        </is>
      </c>
      <c r="C107" s="140" t="inlineStr">
        <is>
          <t>Choisir les moyens et produire la forme voulue.</t>
        </is>
      </c>
      <c r="D107" s="140" t="inlineStr">
        <is>
          <t>Thème 3</t>
        </is>
      </c>
      <c r="E107" s="140" t="inlineStr">
        <is>
          <t>D2, D3, D4</t>
        </is>
      </c>
      <c r="F107" s="140" t="inlineStr">
        <is>
          <t>Oui</t>
        </is>
      </c>
    </row>
    <row r="108" ht="25.5" customHeight="1" s="105">
      <c r="A108" s="177" t="inlineStr">
        <is>
          <t>3e_C7.8</t>
        </is>
      </c>
      <c r="B108" s="140" t="inlineStr">
        <is>
          <t>3e</t>
        </is>
      </c>
      <c r="C108" s="140" t="inlineStr">
        <is>
          <t>Interfacer deux objets techniques communicants.</t>
        </is>
      </c>
      <c r="D108" s="140" t="inlineStr">
        <is>
          <t>Thème 3</t>
        </is>
      </c>
      <c r="E108" s="140" t="inlineStr">
        <is>
          <t>D2, D3, D4</t>
        </is>
      </c>
      <c r="F108" s="140" t="inlineStr">
        <is>
          <t>Oui</t>
        </is>
      </c>
    </row>
    <row r="109" ht="30" customHeight="1" s="105">
      <c r="A109" s="176" t="inlineStr">
        <is>
          <t>C8</t>
        </is>
      </c>
      <c r="B109" s="176" t="inlineStr">
        <is>
          <t>—</t>
        </is>
      </c>
      <c r="C109" s="176" t="inlineStr">
        <is>
          <t>Valider les solutions techniques par des simulations ou par des protocoles de tests</t>
        </is>
      </c>
      <c r="D109" s="176" t="inlineStr">
        <is>
          <t>Thème 3</t>
        </is>
      </c>
      <c r="E109" s="176" t="inlineStr">
        <is>
          <t>D1.3, D2, D3, D4, D5</t>
        </is>
      </c>
      <c r="F109" s="176" t="inlineStr">
        <is>
          <t>Oui</t>
        </is>
      </c>
    </row>
    <row r="110" ht="25.5" customHeight="1" s="105">
      <c r="A110" s="177" t="inlineStr">
        <is>
          <t>5e_C8.1</t>
        </is>
      </c>
      <c r="B110" s="140" t="inlineStr">
        <is>
          <t>5e</t>
        </is>
      </c>
      <c r="C110" s="140" t="inlineStr">
        <is>
          <t>Utiliser une simulation fournie pour valider la tenue mécanique d’un matériau.</t>
        </is>
      </c>
      <c r="D110" s="140" t="inlineStr">
        <is>
          <t>Thème 3</t>
        </is>
      </c>
      <c r="E110" s="140" t="inlineStr">
        <is>
          <t>D1.3, D2, D4</t>
        </is>
      </c>
      <c r="F110" s="140" t="inlineStr">
        <is>
          <t>Oui</t>
        </is>
      </c>
    </row>
    <row r="111" ht="25.5" customHeight="1" s="105">
      <c r="A111" s="177" t="inlineStr">
        <is>
          <t>5e_C8.2</t>
        </is>
      </c>
      <c r="B111" s="140" t="inlineStr">
        <is>
          <t>5e</t>
        </is>
      </c>
      <c r="C111" s="140" t="inlineStr">
        <is>
          <t>Mettre en œuvre un protocole de test fourni pour valider la tenue mécanique d’un matériau.</t>
        </is>
      </c>
      <c r="D111" s="140" t="inlineStr">
        <is>
          <t>Thème 3</t>
        </is>
      </c>
      <c r="E111" s="140" t="inlineStr">
        <is>
          <t>D1.3, D2, D3, D4</t>
        </is>
      </c>
      <c r="F111" s="140" t="inlineStr">
        <is>
          <t>Oui</t>
        </is>
      </c>
    </row>
    <row r="112" ht="25.5" customHeight="1" s="105">
      <c r="A112" s="177" t="inlineStr">
        <is>
          <t>5e_C8.3</t>
        </is>
      </c>
      <c r="B112" s="140" t="inlineStr">
        <is>
          <t>5e</t>
        </is>
      </c>
      <c r="C112" s="140" t="inlineStr">
        <is>
          <t>Vérifier le comportement et les performances d’un objet technique en suivant un protocole fourni.</t>
        </is>
      </c>
      <c r="D112" s="140" t="inlineStr">
        <is>
          <t>Thème 3</t>
        </is>
      </c>
      <c r="E112" s="140" t="inlineStr">
        <is>
          <t>D1.3, D2, D4, D5</t>
        </is>
      </c>
      <c r="F112" s="140" t="inlineStr">
        <is>
          <t>Oui</t>
        </is>
      </c>
    </row>
    <row r="113" ht="25.5" customHeight="1" s="105">
      <c r="A113" s="177" t="inlineStr">
        <is>
          <t>4e_C8.1</t>
        </is>
      </c>
      <c r="B113" s="140" t="inlineStr">
        <is>
          <t>4e</t>
        </is>
      </c>
      <c r="C113" s="140" t="inlineStr">
        <is>
          <t>Paramétrer une simulation fournie pour valider la tenue mécanique d’un matériau.</t>
        </is>
      </c>
      <c r="D113" s="140" t="inlineStr">
        <is>
          <t>Thème 3</t>
        </is>
      </c>
      <c r="E113" s="140" t="inlineStr">
        <is>
          <t>D1.3, D2, D4</t>
        </is>
      </c>
      <c r="F113" s="140" t="inlineStr">
        <is>
          <t>Oui</t>
        </is>
      </c>
    </row>
    <row r="114" ht="25.5" customHeight="1" s="105">
      <c r="A114" s="177" t="inlineStr">
        <is>
          <t>4e_C8.2</t>
        </is>
      </c>
      <c r="B114" s="140" t="inlineStr">
        <is>
          <t>4e</t>
        </is>
      </c>
      <c r="C114" s="140" t="inlineStr">
        <is>
          <t>Proposer un protocole de test pour valider la tenue mécanique d’un matériau.</t>
        </is>
      </c>
      <c r="D114" s="140" t="inlineStr">
        <is>
          <t>Thème 3</t>
        </is>
      </c>
      <c r="E114" s="140" t="inlineStr">
        <is>
          <t>D1.3, D2, D3, D4</t>
        </is>
      </c>
      <c r="F114" s="140" t="inlineStr">
        <is>
          <t>Oui</t>
        </is>
      </c>
    </row>
    <row r="115" ht="25.5" customHeight="1" s="105">
      <c r="A115" s="177" t="inlineStr">
        <is>
          <t>4e_C8.3</t>
        </is>
      </c>
      <c r="B115" s="140" t="inlineStr">
        <is>
          <t>4e</t>
        </is>
      </c>
      <c r="C115" s="140" t="inlineStr">
        <is>
          <t>Proposer un protocole de test pour valider le comportement et les performances d’un objet technique.</t>
        </is>
      </c>
      <c r="D115" s="140" t="inlineStr">
        <is>
          <t>Thème 3</t>
        </is>
      </c>
      <c r="E115" s="140" t="inlineStr">
        <is>
          <t>D1.3, D2, D3, D4, D5</t>
        </is>
      </c>
      <c r="F115" s="140" t="inlineStr">
        <is>
          <t>Oui</t>
        </is>
      </c>
    </row>
    <row r="116" ht="25.5" customHeight="1" s="105">
      <c r="A116" s="177" t="inlineStr">
        <is>
          <t>3e_C8.1</t>
        </is>
      </c>
      <c r="B116" s="140" t="inlineStr">
        <is>
          <t>3e</t>
        </is>
      </c>
      <c r="C116" s="140" t="inlineStr">
        <is>
          <t>Mettre en œuvre une simulation pour valider la tenue mécanique d’un matériau.</t>
        </is>
      </c>
      <c r="D116" s="140" t="inlineStr">
        <is>
          <t>Thème 3</t>
        </is>
      </c>
      <c r="E116" s="140" t="inlineStr">
        <is>
          <t>D1.3, D2, D4</t>
        </is>
      </c>
      <c r="F116" s="140" t="inlineStr">
        <is>
          <t>Oui</t>
        </is>
      </c>
    </row>
    <row r="117" ht="25.5" customHeight="1" s="105">
      <c r="A117" s="177" t="inlineStr">
        <is>
          <t>3e_C8.2</t>
        </is>
      </c>
      <c r="B117" s="140" t="inlineStr">
        <is>
          <t>3e</t>
        </is>
      </c>
      <c r="C117" s="140" t="inlineStr">
        <is>
          <t>Proposer un protocole de test pour valider la tenue mécanique d’un matériau.</t>
        </is>
      </c>
      <c r="D117" s="140" t="inlineStr">
        <is>
          <t>Thème 3</t>
        </is>
      </c>
      <c r="E117" s="140" t="inlineStr">
        <is>
          <t>D1.3, D2, D3, D4</t>
        </is>
      </c>
      <c r="F117" s="140" t="inlineStr">
        <is>
          <t>Oui</t>
        </is>
      </c>
    </row>
    <row r="118" ht="25.5" customHeight="1" s="105">
      <c r="A118" s="177" t="inlineStr">
        <is>
          <t>3e_C8.3</t>
        </is>
      </c>
      <c r="B118" s="140" t="inlineStr">
        <is>
          <t>3e</t>
        </is>
      </c>
      <c r="C118" s="140" t="inlineStr">
        <is>
          <t>Proposer un protocole de test pour valider le comportement et les performances d’un objet technique.</t>
        </is>
      </c>
      <c r="D118" s="140" t="inlineStr">
        <is>
          <t>Thème 3</t>
        </is>
      </c>
      <c r="E118" s="140" t="inlineStr">
        <is>
          <t>D1.3, D2, D3, D4, D5</t>
        </is>
      </c>
      <c r="F118" s="140" t="inlineStr">
        <is>
          <t>Oui</t>
        </is>
      </c>
    </row>
    <row r="119" ht="30" customHeight="1" s="105">
      <c r="A119" s="176" t="inlineStr">
        <is>
          <t>C9</t>
        </is>
      </c>
      <c r="B119" s="176" t="inlineStr">
        <is>
          <t>—</t>
        </is>
      </c>
      <c r="C119" s="176" t="inlineStr">
        <is>
          <t>Concevoir, écrire, tester et mettre au point un programme</t>
        </is>
      </c>
      <c r="D119" s="176" t="inlineStr">
        <is>
          <t>Thème 3</t>
        </is>
      </c>
      <c r="E119" s="176" t="inlineStr">
        <is>
          <t>D1.3, D2, D4</t>
        </is>
      </c>
      <c r="F119" s="176" t="inlineStr">
        <is>
          <t>Oui</t>
        </is>
      </c>
    </row>
    <row r="120" ht="25.5" customHeight="1" s="105">
      <c r="A120" s="177" t="inlineStr">
        <is>
          <t>5e_C9.1</t>
        </is>
      </c>
      <c r="B120" s="140" t="inlineStr">
        <is>
          <t>5e</t>
        </is>
      </c>
      <c r="C120" s="140" t="inlineStr">
        <is>
          <t>Analyser un programme simple fourni et tester s’il répond au besoin ou au problème posé.</t>
        </is>
      </c>
      <c r="D120" s="140" t="inlineStr">
        <is>
          <t>Thème 3</t>
        </is>
      </c>
      <c r="E120" s="140" t="inlineStr">
        <is>
          <t>D1.3, D2, D4</t>
        </is>
      </c>
      <c r="F120" s="140" t="inlineStr">
        <is>
          <t>Oui</t>
        </is>
      </c>
    </row>
    <row r="121" ht="25.5" customHeight="1" s="105">
      <c r="A121" s="177" t="inlineStr">
        <is>
          <t>5e_C9.2</t>
        </is>
      </c>
      <c r="B121" s="140" t="inlineStr">
        <is>
          <t>5e</t>
        </is>
      </c>
      <c r="C121" s="140" t="inlineStr">
        <is>
          <t>Modifier un programme fourni pour répondre au besoin ou à un problème posé.</t>
        </is>
      </c>
      <c r="D121" s="140" t="inlineStr">
        <is>
          <t>Thème 3</t>
        </is>
      </c>
      <c r="E121" s="140" t="inlineStr">
        <is>
          <t>D1.3, D2, D4</t>
        </is>
      </c>
      <c r="F121" s="140" t="inlineStr">
        <is>
          <t>Oui</t>
        </is>
      </c>
    </row>
    <row r="122" ht="25.5" customHeight="1" s="105">
      <c r="A122" s="177" t="inlineStr">
        <is>
          <t>5e_C9.3</t>
        </is>
      </c>
      <c r="B122" s="140" t="inlineStr">
        <is>
          <t>5e</t>
        </is>
      </c>
      <c r="C122" s="140" t="inlineStr">
        <is>
          <t>Réaliser et mettre au point un programme simple commandant un OST.</t>
        </is>
      </c>
      <c r="D122" s="140" t="inlineStr">
        <is>
          <t>Thème 3</t>
        </is>
      </c>
      <c r="E122" s="140" t="inlineStr">
        <is>
          <t>D1.3, D2, D4</t>
        </is>
      </c>
      <c r="F122" s="140" t="inlineStr">
        <is>
          <t>Oui</t>
        </is>
      </c>
    </row>
    <row r="123" ht="25.5" customHeight="1" s="105">
      <c r="A123" s="177" t="inlineStr">
        <is>
          <t>4e_C9.1</t>
        </is>
      </c>
      <c r="B123" s="140" t="inlineStr">
        <is>
          <t>4e</t>
        </is>
      </c>
      <c r="C123" s="140" t="inlineStr">
        <is>
          <t>Modifier un algorithme permettant de répondre au besoin ou au problème posé.</t>
        </is>
      </c>
      <c r="D123" s="140" t="inlineStr">
        <is>
          <t>Thème 3</t>
        </is>
      </c>
      <c r="E123" s="140" t="inlineStr">
        <is>
          <t>D1.3, D2, D4</t>
        </is>
      </c>
      <c r="F123" s="140" t="inlineStr">
        <is>
          <t>Oui</t>
        </is>
      </c>
    </row>
    <row r="124" ht="25.5" customHeight="1" s="105">
      <c r="A124" s="177" t="inlineStr">
        <is>
          <t>4e_C9.2</t>
        </is>
      </c>
      <c r="B124" s="140" t="inlineStr">
        <is>
          <t>4e</t>
        </is>
      </c>
      <c r="C124" s="140" t="inlineStr">
        <is>
          <t>Traduire un algorithme permettant de répondre à un besoin ou à un problème simple en un programme.</t>
        </is>
      </c>
      <c r="D124" s="140" t="inlineStr">
        <is>
          <t>Thème 3</t>
        </is>
      </c>
      <c r="E124" s="140" t="inlineStr">
        <is>
          <t>D1.3, D2, D4</t>
        </is>
      </c>
      <c r="F124" s="140" t="inlineStr">
        <is>
          <t>Oui</t>
        </is>
      </c>
    </row>
    <row r="125" ht="25.5" customHeight="1" s="105">
      <c r="A125" s="177" t="inlineStr">
        <is>
          <t>4e_C9.3</t>
        </is>
      </c>
      <c r="B125" s="140" t="inlineStr">
        <is>
          <t>4e</t>
        </is>
      </c>
      <c r="C125" s="140" t="inlineStr">
        <is>
          <t>Réaliser et mettre au point un programme commandant un système réel incluant éventuellement une interaction entre un humain et une machine.</t>
        </is>
      </c>
      <c r="D125" s="140" t="inlineStr">
        <is>
          <t>Thème 3</t>
        </is>
      </c>
      <c r="E125" s="140" t="inlineStr">
        <is>
          <t>D1.3, D2, D4</t>
        </is>
      </c>
      <c r="F125" s="140" t="inlineStr">
        <is>
          <t>Oui</t>
        </is>
      </c>
    </row>
    <row r="126" ht="39" customHeight="1" s="105">
      <c r="A126" s="177" t="inlineStr">
        <is>
          <t>3e_C9.1</t>
        </is>
      </c>
      <c r="B126" s="140" t="inlineStr">
        <is>
          <t>3e</t>
        </is>
      </c>
      <c r="C126" s="140" t="inlineStr">
        <is>
          <t>Élaborer ou concevoir un algorithme permettant de répondre au besoin visé, puis le traduire en un programme structuré (appel de sous-programmes ou de fonctions), le tester et le mettre au point.</t>
        </is>
      </c>
      <c r="D126" s="140" t="inlineStr">
        <is>
          <t>Thème 3</t>
        </is>
      </c>
      <c r="E126" s="140" t="inlineStr">
        <is>
          <t>D1.3, D2, D4</t>
        </is>
      </c>
      <c r="F126" s="140" t="inlineStr">
        <is>
          <t>Oui</t>
        </is>
      </c>
    </row>
    <row r="127" ht="25.5" customHeight="1" s="105">
      <c r="A127" s="177" t="inlineStr">
        <is>
          <t>3e_C9.2</t>
        </is>
      </c>
      <c r="B127" s="140" t="inlineStr">
        <is>
          <t>3e</t>
        </is>
      </c>
      <c r="C127" s="140" t="inlineStr">
        <is>
          <t>Réaliser et mettre au point un programme commandant un système réel incluant une interaction entre un humain et une machine.</t>
        </is>
      </c>
      <c r="D127" s="140" t="inlineStr">
        <is>
          <t>Thème 3</t>
        </is>
      </c>
      <c r="E127" s="140" t="inlineStr">
        <is>
          <t>D1.3, D2, D4</t>
        </is>
      </c>
      <c r="F127" s="140" t="inlineStr">
        <is>
          <t>Oui</t>
        </is>
      </c>
    </row>
    <row r="129" ht="15" customHeight="1" s="105">
      <c r="A129" s="131" t="inlineStr">
        <is>
          <t>114 sous-compétences listées · Source : BO n°9 du 29/02/2024 (arrêté du 22/01/2024) · codes Nathan (éd. 2024).</t>
        </is>
      </c>
    </row>
  </sheetData>
  <mergeCells count="3">
    <mergeCell ref="A2:F2"/>
    <mergeCell ref="A1:F1"/>
    <mergeCell ref="A129:F129"/>
  </mergeCells>
  <hyperlinks>
    <hyperlink xmlns:r="http://schemas.openxmlformats.org/officeDocument/2006/relationships" ref="F3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7030A0"/>
    <outlinePr summaryBelow="1" summaryRight="1"/>
    <pageSetUpPr fitToPage="1"/>
  </sheetPr>
  <dimension ref="A1:F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04" min="1" max="1"/>
    <col width="8" customWidth="1" style="104" min="2" max="2"/>
    <col width="78" customWidth="1" style="104" min="3" max="3"/>
    <col width="12" customWidth="1" style="104" min="4" max="4"/>
    <col width="16" customWidth="1" style="104" min="5" max="5"/>
    <col width="11" customWidth="1" style="104" min="6" max="6"/>
  </cols>
  <sheetData>
    <row r="1" ht="18" customHeight="1" s="105">
      <c r="A1" s="154" t="inlineStr">
        <is>
          <t>RÉFÉRENTIEL DE COMPÉTENCES — TECHNOLOGIE 5e</t>
        </is>
      </c>
    </row>
    <row r="2" ht="15" customHeight="1" s="105">
      <c r="A2" s="131" t="inlineStr">
        <is>
          <t>Les compétences parentes C1 → C9 et leurs déclinaisons du niveau 5e — celles travaillées dans ce classeur</t>
        </is>
      </c>
    </row>
    <row r="3" ht="15" customHeight="1" s="105">
      <c r="F3" s="134" t="inlineStr">
        <is>
          <t>◀ Accueil</t>
        </is>
      </c>
    </row>
    <row r="4" ht="15" customHeight="1" s="105">
      <c r="A4" s="135" t="inlineStr">
        <is>
          <t>Code</t>
        </is>
      </c>
      <c r="B4" s="135" t="inlineStr">
        <is>
          <t>Niveau</t>
        </is>
      </c>
      <c r="C4" s="135" t="inlineStr">
        <is>
          <t>Compétence / sous-compétence (intitulé officiel 2024)</t>
        </is>
      </c>
      <c r="D4" s="135" t="inlineStr">
        <is>
          <t>Thème</t>
        </is>
      </c>
      <c r="E4" s="135" t="inlineStr">
        <is>
          <t>Domaine(s) socle</t>
        </is>
      </c>
      <c r="F4" s="135" t="inlineStr">
        <is>
          <t>Évaluable</t>
        </is>
      </c>
    </row>
    <row r="5" ht="30" customHeight="1" s="105">
      <c r="A5" s="176" t="inlineStr">
        <is>
          <t>C1</t>
        </is>
      </c>
      <c r="B5" s="176" t="inlineStr">
        <is>
          <t>—</t>
        </is>
      </c>
      <c r="C5" s="176" t="inlineStr">
        <is>
          <t>Décrire les liens entre usages et évolutions technologiques des objets et des systèmes techniques</t>
        </is>
      </c>
      <c r="D5" s="176" t="inlineStr">
        <is>
          <t>Thème 1 : Les objets et les systèmes techniques : leurs usages et leurs interactions à découvrir et à analyser</t>
        </is>
      </c>
      <c r="E5" s="176" t="inlineStr">
        <is>
          <t>D2, D3, D4, D5</t>
        </is>
      </c>
      <c r="F5" s="176" t="inlineStr">
        <is>
          <t>Oui</t>
        </is>
      </c>
    </row>
    <row r="6" ht="25.5" customHeight="1" s="105">
      <c r="A6" s="177" t="inlineStr">
        <is>
          <t>5e_C1.1</t>
        </is>
      </c>
      <c r="B6" s="140" t="inlineStr">
        <is>
          <t>5e</t>
        </is>
      </c>
      <c r="C6" s="140" t="inlineStr">
        <is>
          <t>Collecter, trier et analyser des données.</t>
        </is>
      </c>
      <c r="D6" s="140" t="inlineStr">
        <is>
          <t>Thème 1</t>
        </is>
      </c>
      <c r="E6" s="140" t="inlineStr">
        <is>
          <t>D2, D4</t>
        </is>
      </c>
      <c r="F6" s="140" t="inlineStr">
        <is>
          <t>Oui</t>
        </is>
      </c>
    </row>
    <row r="7" ht="25.5" customHeight="1" s="105">
      <c r="A7" s="177" t="inlineStr">
        <is>
          <t>5e_C1.2</t>
        </is>
      </c>
      <c r="B7" s="140" t="inlineStr">
        <is>
          <t>5e</t>
        </is>
      </c>
      <c r="C7" s="140" t="inlineStr">
        <is>
          <t>Comparer des principes techniques pour une même fonction technique.</t>
        </is>
      </c>
      <c r="D7" s="140" t="inlineStr">
        <is>
          <t>Thème 1</t>
        </is>
      </c>
      <c r="E7" s="140" t="inlineStr">
        <is>
          <t>D2, D4</t>
        </is>
      </c>
      <c r="F7" s="140" t="inlineStr">
        <is>
          <t>Oui</t>
        </is>
      </c>
    </row>
    <row r="8" ht="25.5" customHeight="1" s="105">
      <c r="A8" s="177" t="inlineStr">
        <is>
          <t>5e_C1.3</t>
        </is>
      </c>
      <c r="B8" s="140" t="inlineStr">
        <is>
          <t>5e</t>
        </is>
      </c>
      <c r="C8" s="140" t="inlineStr">
        <is>
          <t>Décrire le rôle des systèmes d’information dans le partage d’information.</t>
        </is>
      </c>
      <c r="D8" s="140" t="inlineStr">
        <is>
          <t>Thème 1</t>
        </is>
      </c>
      <c r="E8" s="140" t="inlineStr">
        <is>
          <t>D2, D5</t>
        </is>
      </c>
      <c r="F8" s="140" t="inlineStr">
        <is>
          <t>Oui</t>
        </is>
      </c>
    </row>
    <row r="9" ht="25.5" customHeight="1" s="105">
      <c r="A9" s="177" t="inlineStr">
        <is>
          <t>5e_C1.4</t>
        </is>
      </c>
      <c r="B9" s="140" t="inlineStr">
        <is>
          <t>5e</t>
        </is>
      </c>
      <c r="C9" s="140" t="inlineStr">
        <is>
          <t>Recenser des données, les identifier, les classer, les représenter, les stocker, les retrouver dans une arborescence.</t>
        </is>
      </c>
      <c r="D9" s="140" t="inlineStr">
        <is>
          <t>Thème 1</t>
        </is>
      </c>
      <c r="E9" s="140" t="inlineStr">
        <is>
          <t>D2</t>
        </is>
      </c>
      <c r="F9" s="140" t="inlineStr">
        <is>
          <t>Oui</t>
        </is>
      </c>
    </row>
    <row r="10" ht="25.5" customHeight="1" s="105">
      <c r="A10" s="177" t="inlineStr">
        <is>
          <t>5e_C1.5</t>
        </is>
      </c>
      <c r="B10" s="140" t="inlineStr">
        <is>
          <t>5e</t>
        </is>
      </c>
      <c r="C10" s="140" t="inlineStr">
        <is>
          <t>Identifier des règles permettant de sécuriser un environnement numérique (bases de la cybersécurité) et des règles de respect de la propriété intellectuelle.</t>
        </is>
      </c>
      <c r="D10" s="140" t="inlineStr">
        <is>
          <t>Thème 1</t>
        </is>
      </c>
      <c r="E10" s="140" t="inlineStr">
        <is>
          <t>D3</t>
        </is>
      </c>
      <c r="F10" s="140" t="inlineStr">
        <is>
          <t>Oui</t>
        </is>
      </c>
    </row>
    <row r="11" ht="25.5" customHeight="1" s="105">
      <c r="A11" s="177" t="inlineStr">
        <is>
          <t>5e_C1.6</t>
        </is>
      </c>
      <c r="B11" s="140" t="inlineStr">
        <is>
          <t>5e</t>
        </is>
      </c>
      <c r="C11" s="140" t="inlineStr">
        <is>
          <t>Appréhender la responsabilité de chacun dans les dérives (cyberviolence, atteinte à la vie privée, aux données personnelles, usurpation d’identité).</t>
        </is>
      </c>
      <c r="D11" s="140" t="inlineStr">
        <is>
          <t>Thème 1</t>
        </is>
      </c>
      <c r="E11" s="140" t="inlineStr">
        <is>
          <t>D3</t>
        </is>
      </c>
      <c r="F11" s="140" t="inlineStr">
        <is>
          <t>Oui</t>
        </is>
      </c>
    </row>
    <row r="12" ht="30" customHeight="1" s="105">
      <c r="A12" s="176" t="inlineStr">
        <is>
          <t>C2</t>
        </is>
      </c>
      <c r="B12" s="176" t="inlineStr">
        <is>
          <t>—</t>
        </is>
      </c>
      <c r="C12" s="176" t="inlineStr">
        <is>
          <t>Décrire les interactions entre un objet ou un système technique, son environnement et les utilisateurs</t>
        </is>
      </c>
      <c r="D12" s="176" t="inlineStr">
        <is>
          <t>Thème 1</t>
        </is>
      </c>
      <c r="E12" s="176" t="inlineStr">
        <is>
          <t>D4, D5</t>
        </is>
      </c>
      <c r="F12" s="176" t="inlineStr">
        <is>
          <t>Oui</t>
        </is>
      </c>
    </row>
    <row r="13" ht="25.5" customHeight="1" s="105">
      <c r="A13" s="177" t="inlineStr">
        <is>
          <t>5e_C2.1</t>
        </is>
      </c>
      <c r="B13" s="140" t="inlineStr">
        <is>
          <t>5e</t>
        </is>
      </c>
      <c r="C13" s="140" t="inlineStr">
        <is>
          <t>Faire la liste des interacteurs extérieurs d’un OST.</t>
        </is>
      </c>
      <c r="D13" s="140" t="inlineStr">
        <is>
          <t>Thème 1</t>
        </is>
      </c>
      <c r="E13" s="140" t="inlineStr">
        <is>
          <t>D4</t>
        </is>
      </c>
      <c r="F13" s="140" t="inlineStr">
        <is>
          <t>Oui</t>
        </is>
      </c>
    </row>
    <row r="14" ht="25.5" customHeight="1" s="105">
      <c r="A14" s="177" t="inlineStr">
        <is>
          <t>5e_C2.2</t>
        </is>
      </c>
      <c r="B14" s="140" t="inlineStr">
        <is>
          <t>5e</t>
        </is>
      </c>
      <c r="C14" s="140" t="inlineStr">
        <is>
          <t>Repérer et expliquer les choix de conception dans les domaines de l’ergonomie et de la sécurité ou en lien avec des objectifs de développement durable.</t>
        </is>
      </c>
      <c r="D14" s="140" t="inlineStr">
        <is>
          <t>Thème 1</t>
        </is>
      </c>
      <c r="E14" s="140" t="inlineStr">
        <is>
          <t>D4, D5</t>
        </is>
      </c>
      <c r="F14" s="140" t="inlineStr">
        <is>
          <t>Oui</t>
        </is>
      </c>
    </row>
    <row r="15" ht="30" customHeight="1" s="105">
      <c r="A15" s="176" t="inlineStr">
        <is>
          <t>C3</t>
        </is>
      </c>
      <c r="B15" s="176" t="inlineStr">
        <is>
          <t>—</t>
        </is>
      </c>
      <c r="C15" s="176" t="inlineStr">
        <is>
          <t>Caractériser et choisir un objet ou un système technique selon différents critères</t>
        </is>
      </c>
      <c r="D15" s="176" t="inlineStr">
        <is>
          <t>Thème 1</t>
        </is>
      </c>
      <c r="E15" s="176" t="inlineStr">
        <is>
          <t>D1.3, D2, D3, D4, D5</t>
        </is>
      </c>
      <c r="F15" s="176" t="inlineStr">
        <is>
          <t>Oui</t>
        </is>
      </c>
    </row>
    <row r="16" ht="25.5" customHeight="1" s="105">
      <c r="A16" s="177" t="inlineStr">
        <is>
          <t>5e_C3.1</t>
        </is>
      </c>
      <c r="B16" s="140" t="inlineStr">
        <is>
          <t>5e</t>
        </is>
      </c>
      <c r="C16" s="140" t="inlineStr">
        <is>
          <t>Repérer pour un OST les matériaux, les sources et les formes d’énergies, le traitement de l’information.</t>
        </is>
      </c>
      <c r="D16" s="140" t="inlineStr">
        <is>
          <t>Thème 1</t>
        </is>
      </c>
      <c r="E16" s="140" t="inlineStr">
        <is>
          <t>D2, D4</t>
        </is>
      </c>
      <c r="F16" s="140" t="inlineStr">
        <is>
          <t>Oui</t>
        </is>
      </c>
    </row>
    <row r="17" ht="25.5" customHeight="1" s="105">
      <c r="A17" s="177" t="inlineStr">
        <is>
          <t>5e_C3.2</t>
        </is>
      </c>
      <c r="B17" s="140" t="inlineStr">
        <is>
          <t>5e</t>
        </is>
      </c>
      <c r="C17" s="140" t="inlineStr">
        <is>
          <t>Identifier les étapes du cycle de vie d’un OST influencées par les choix de matériaux et d’énergie.</t>
        </is>
      </c>
      <c r="D17" s="140" t="inlineStr">
        <is>
          <t>Thème 1</t>
        </is>
      </c>
      <c r="E17" s="140" t="inlineStr">
        <is>
          <t>D3, D4, D5</t>
        </is>
      </c>
      <c r="F17" s="140" t="inlineStr">
        <is>
          <t>Oui</t>
        </is>
      </c>
    </row>
    <row r="18" ht="25.5" customHeight="1" s="105">
      <c r="A18" s="177" t="inlineStr">
        <is>
          <t>5e_C3.3</t>
        </is>
      </c>
      <c r="B18" s="140" t="inlineStr">
        <is>
          <t>5e</t>
        </is>
      </c>
      <c r="C18" s="140" t="inlineStr">
        <is>
          <t>Choisir un OST parmi plusieurs propositions en vue de répondre à un besoin.</t>
        </is>
      </c>
      <c r="D18" s="140" t="inlineStr">
        <is>
          <t>Thème 1</t>
        </is>
      </c>
      <c r="E18" s="140" t="inlineStr">
        <is>
          <t>D3, D4, D5</t>
        </is>
      </c>
      <c r="F18" s="140" t="inlineStr">
        <is>
          <t>Oui</t>
        </is>
      </c>
    </row>
    <row r="19" ht="25.5" customHeight="1" s="105">
      <c r="A19" s="177" t="inlineStr">
        <is>
          <t>5e_C3.4</t>
        </is>
      </c>
      <c r="B19" s="140" t="inlineStr">
        <is>
          <t>5e</t>
        </is>
      </c>
      <c r="C19" s="140" t="inlineStr">
        <is>
          <t>Mesurer et comparer une performance d’un OST à partir d’un protocole fourni.</t>
        </is>
      </c>
      <c r="D19" s="140" t="inlineStr">
        <is>
          <t>Thème 1</t>
        </is>
      </c>
      <c r="E19" s="140" t="inlineStr">
        <is>
          <t>D1.3, D2, D4</t>
        </is>
      </c>
      <c r="F19" s="140" t="inlineStr">
        <is>
          <t>Oui</t>
        </is>
      </c>
    </row>
    <row r="20" ht="30" customHeight="1" s="105">
      <c r="A20" s="176" t="inlineStr">
        <is>
          <t>C4</t>
        </is>
      </c>
      <c r="B20" s="176" t="inlineStr">
        <is>
          <t>—</t>
        </is>
      </c>
      <c r="C20" s="176" t="inlineStr">
        <is>
          <t>Décrire et caractériser l’organisation interne d’un objet ou d’un système technique et ses échanges avec son environnement (énergies, données)</t>
        </is>
      </c>
      <c r="D20" s="176" t="inlineStr">
        <is>
          <t>Thème 2 : Structure, fonctionnement, comportement : des objets et des systèmes techniques à comprendre</t>
        </is>
      </c>
      <c r="E20" s="176" t="inlineStr">
        <is>
          <t>D1.3, D1.4, D2, D4, D5</t>
        </is>
      </c>
      <c r="F20" s="176" t="inlineStr">
        <is>
          <t>Oui</t>
        </is>
      </c>
    </row>
    <row r="21" ht="25.5" customHeight="1" s="105">
      <c r="A21" s="177" t="inlineStr">
        <is>
          <t>5e_C4.1</t>
        </is>
      </c>
      <c r="B21" s="140" t="inlineStr">
        <is>
          <t>5e</t>
        </is>
      </c>
      <c r="C21" s="140" t="inlineStr">
        <is>
          <t>Associer des solutions techniques à une ou des fonctions techniques.</t>
        </is>
      </c>
      <c r="D21" s="140" t="inlineStr">
        <is>
          <t>Thème 2</t>
        </is>
      </c>
      <c r="E21" s="140" t="inlineStr">
        <is>
          <t>D2, D4, D5</t>
        </is>
      </c>
      <c r="F21" s="140" t="inlineStr">
        <is>
          <t>Oui</t>
        </is>
      </c>
    </row>
    <row r="22" ht="25.5" customHeight="1" s="105">
      <c r="A22" s="177" t="inlineStr">
        <is>
          <t>5e_C4.2</t>
        </is>
      </c>
      <c r="B22" s="140" t="inlineStr">
        <is>
          <t>5e</t>
        </is>
      </c>
      <c r="C22" s="140" t="inlineStr">
        <is>
          <t>Identifier des constituants de la chaîne d’énergie d’un objet technique (l’organisation de la chaîne d’énergie étant fournie).</t>
        </is>
      </c>
      <c r="D22" s="140" t="inlineStr">
        <is>
          <t>Thème 2</t>
        </is>
      </c>
      <c r="E22" s="140" t="inlineStr">
        <is>
          <t>D1.3, D2, D4</t>
        </is>
      </c>
      <c r="F22" s="140" t="inlineStr">
        <is>
          <t>Oui</t>
        </is>
      </c>
    </row>
    <row r="23" ht="25.5" customHeight="1" s="105">
      <c r="A23" s="177" t="inlineStr">
        <is>
          <t>5e_C4.3</t>
        </is>
      </c>
      <c r="B23" s="140" t="inlineStr">
        <is>
          <t>5e</t>
        </is>
      </c>
      <c r="C23" s="140" t="inlineStr">
        <is>
          <t>Indiquer la nature des énergies en entrée et en sortie des constituants de la chaîne d’énergie.</t>
        </is>
      </c>
      <c r="D23" s="140" t="inlineStr">
        <is>
          <t>Thème 2</t>
        </is>
      </c>
      <c r="E23" s="140" t="inlineStr">
        <is>
          <t>D1.3, D4</t>
        </is>
      </c>
      <c r="F23" s="140" t="inlineStr">
        <is>
          <t>Oui</t>
        </is>
      </c>
    </row>
    <row r="24" ht="25.5" customHeight="1" s="105">
      <c r="A24" s="177" t="inlineStr">
        <is>
          <t>5e_C4.4</t>
        </is>
      </c>
      <c r="B24" s="140" t="inlineStr">
        <is>
          <t>5e</t>
        </is>
      </c>
      <c r="C24" s="140" t="inlineStr">
        <is>
          <t>Identifier les principaux matériaux constitutifs d’un OST.</t>
        </is>
      </c>
      <c r="D24" s="140" t="inlineStr">
        <is>
          <t>Thème 2</t>
        </is>
      </c>
      <c r="E24" s="140" t="inlineStr">
        <is>
          <t>D3, D4, D5</t>
        </is>
      </c>
      <c r="F24" s="140" t="inlineStr">
        <is>
          <t>Oui</t>
        </is>
      </c>
    </row>
    <row r="25" ht="25.5" customHeight="1" s="105">
      <c r="A25" s="177" t="inlineStr">
        <is>
          <t>5e_C4.5</t>
        </is>
      </c>
      <c r="B25" s="140" t="inlineStr">
        <is>
          <t>5e</t>
        </is>
      </c>
      <c r="C25" s="140" t="inlineStr">
        <is>
          <t>Identifier des constituants de la chaîne d’information d’un OST (l’organisation de la chaîne d’information étant fournie).</t>
        </is>
      </c>
      <c r="D25" s="140" t="inlineStr">
        <is>
          <t>Thème 2</t>
        </is>
      </c>
      <c r="E25" s="140" t="inlineStr">
        <is>
          <t>D1.3, D2, D4</t>
        </is>
      </c>
      <c r="F25" s="140" t="inlineStr">
        <is>
          <t>Oui</t>
        </is>
      </c>
    </row>
    <row r="26" ht="25.5" customHeight="1" s="105">
      <c r="A26" s="177" t="inlineStr">
        <is>
          <t>5e_C4.6</t>
        </is>
      </c>
      <c r="B26" s="140" t="inlineStr">
        <is>
          <t>5e</t>
        </is>
      </c>
      <c r="C26" s="140" t="inlineStr">
        <is>
          <t>Déterminer des descripteurs permettant de décrire des objets sous forme de données en précisant leurs types et leurs formats.</t>
        </is>
      </c>
      <c r="D26" s="140" t="inlineStr">
        <is>
          <t>Thème 2</t>
        </is>
      </c>
      <c r="E26" s="140" t="inlineStr">
        <is>
          <t>D1.3, D2, D4</t>
        </is>
      </c>
      <c r="F26" s="140" t="inlineStr">
        <is>
          <t>Oui</t>
        </is>
      </c>
    </row>
    <row r="27" ht="25.5" customHeight="1" s="105">
      <c r="A27" s="177" t="inlineStr">
        <is>
          <t>5e_C4.7</t>
        </is>
      </c>
      <c r="B27" s="140" t="inlineStr">
        <is>
          <t>5e</t>
        </is>
      </c>
      <c r="C27" s="140" t="inlineStr">
        <is>
          <t>Identifier les composants qui constituent un réseau local (terminaux, commutateurs, liaisons filaires et sans fil (WiFi)) et sa topologie.</t>
        </is>
      </c>
      <c r="D27" s="140" t="inlineStr">
        <is>
          <t>Thème 2</t>
        </is>
      </c>
      <c r="E27" s="140" t="inlineStr">
        <is>
          <t>D2, D4</t>
        </is>
      </c>
      <c r="F27" s="140" t="inlineStr">
        <is>
          <t>Oui</t>
        </is>
      </c>
    </row>
    <row r="28" ht="25.5" customHeight="1" s="105">
      <c r="A28" s="177" t="inlineStr">
        <is>
          <t>5e_C4.8</t>
        </is>
      </c>
      <c r="B28" s="140" t="inlineStr">
        <is>
          <t>5e</t>
        </is>
      </c>
      <c r="C28" s="140" t="inlineStr">
        <is>
          <t>Justifier la nécessité d’identifier les terminaux pour communiquer sur un réseau local (activité débranchée et vérification par un outil de simulation).</t>
        </is>
      </c>
      <c r="D28" s="140" t="inlineStr">
        <is>
          <t>Thème 2</t>
        </is>
      </c>
      <c r="E28" s="140" t="inlineStr">
        <is>
          <t>D2, D4</t>
        </is>
      </c>
      <c r="F28" s="140" t="inlineStr">
        <is>
          <t>Oui</t>
        </is>
      </c>
    </row>
    <row r="29" ht="30" customHeight="1" s="105">
      <c r="A29" s="176" t="inlineStr">
        <is>
          <t>C5</t>
        </is>
      </c>
      <c r="B29" s="176" t="inlineStr">
        <is>
          <t>—</t>
        </is>
      </c>
      <c r="C29" s="176" t="inlineStr">
        <is>
          <t>Identifier un dysfonctionnement d’un objet technique et y remédier</t>
        </is>
      </c>
      <c r="D29" s="176" t="inlineStr">
        <is>
          <t>Thème 2</t>
        </is>
      </c>
      <c r="E29" s="176" t="inlineStr">
        <is>
          <t>D1.3, D2, D3, D4, D5</t>
        </is>
      </c>
      <c r="F29" s="176" t="inlineStr">
        <is>
          <t>Oui</t>
        </is>
      </c>
    </row>
    <row r="30" ht="25.5" customHeight="1" s="105">
      <c r="A30" s="177" t="inlineStr">
        <is>
          <t>5e_C5.1</t>
        </is>
      </c>
      <c r="B30" s="140" t="inlineStr">
        <is>
          <t>5e</t>
        </is>
      </c>
      <c r="C30" s="140" t="inlineStr">
        <is>
          <t>Repérer visuellement une pièce défectueuse.</t>
        </is>
      </c>
      <c r="D30" s="140" t="inlineStr">
        <is>
          <t>Thème 2</t>
        </is>
      </c>
      <c r="E30" s="140" t="inlineStr">
        <is>
          <t>D1.3, D2, D4</t>
        </is>
      </c>
      <c r="F30" s="140" t="inlineStr">
        <is>
          <t>Oui</t>
        </is>
      </c>
    </row>
    <row r="31" ht="25.5" customHeight="1" s="105">
      <c r="A31" s="177" t="inlineStr">
        <is>
          <t>5e_C5.2</t>
        </is>
      </c>
      <c r="B31" s="140" t="inlineStr">
        <is>
          <t>5e</t>
        </is>
      </c>
      <c r="C31" s="140" t="inlineStr">
        <is>
          <t>Réaliser une réparation en suivant un protocole fourni.</t>
        </is>
      </c>
      <c r="D31" s="140" t="inlineStr">
        <is>
          <t>Thème 2</t>
        </is>
      </c>
      <c r="E31" s="140" t="inlineStr">
        <is>
          <t>D2, D3, D4</t>
        </is>
      </c>
      <c r="F31" s="140" t="inlineStr">
        <is>
          <t>Oui</t>
        </is>
      </c>
    </row>
    <row r="32" ht="25.5" customHeight="1" s="105">
      <c r="A32" s="177" t="inlineStr">
        <is>
          <t>5e_C5.3</t>
        </is>
      </c>
      <c r="B32" s="140" t="inlineStr">
        <is>
          <t>5e</t>
        </is>
      </c>
      <c r="C32" s="140" t="inlineStr">
        <is>
          <t>Découvrir les procédés de réalisation présents dans un atelier de fabrication collaboratif.</t>
        </is>
      </c>
      <c r="D32" s="140" t="inlineStr">
        <is>
          <t>Thème 2</t>
        </is>
      </c>
      <c r="E32" s="140" t="inlineStr">
        <is>
          <t>D2, D3, D4, D5</t>
        </is>
      </c>
      <c r="F32" s="140" t="inlineStr">
        <is>
          <t>Oui</t>
        </is>
      </c>
    </row>
    <row r="33" ht="30" customHeight="1" s="105">
      <c r="A33" s="176" t="inlineStr">
        <is>
          <t>C6</t>
        </is>
      </c>
      <c r="B33" s="176" t="inlineStr">
        <is>
          <t>—</t>
        </is>
      </c>
      <c r="C33" s="176" t="inlineStr">
        <is>
          <t>Comprendre et modifier un programme associé à une fonctionnalité d’un objet ou d’un système technique</t>
        </is>
      </c>
      <c r="D33" s="176" t="inlineStr">
        <is>
          <t>Thème 2</t>
        </is>
      </c>
      <c r="E33" s="176" t="inlineStr">
        <is>
          <t>D1.3, D2, D4</t>
        </is>
      </c>
      <c r="F33" s="176" t="inlineStr">
        <is>
          <t>Oui</t>
        </is>
      </c>
    </row>
    <row r="34" ht="25.5" customHeight="1" s="105">
      <c r="A34" s="177" t="inlineStr">
        <is>
          <t>5e_C6.1</t>
        </is>
      </c>
      <c r="B34" s="140" t="inlineStr">
        <is>
          <t>5e</t>
        </is>
      </c>
      <c r="C34" s="140" t="inlineStr">
        <is>
          <t>Identifier les données utilisées et produites par le programme associé à une fonctionnalité d’un OST (à partir d’un programme existant).</t>
        </is>
      </c>
      <c r="D34" s="140" t="inlineStr">
        <is>
          <t>Thème 2</t>
        </is>
      </c>
      <c r="E34" s="140" t="inlineStr">
        <is>
          <t>D1.3, D2, D4</t>
        </is>
      </c>
      <c r="F34" s="140" t="inlineStr">
        <is>
          <t>Oui</t>
        </is>
      </c>
    </row>
    <row r="35" ht="25.5" customHeight="1" s="105">
      <c r="A35" s="177" t="inlineStr">
        <is>
          <t>5e_C6.2</t>
        </is>
      </c>
      <c r="B35" s="140" t="inlineStr">
        <is>
          <t>5e</t>
        </is>
      </c>
      <c r="C35" s="140" t="inlineStr">
        <is>
          <t>Comprendre et traduire en un algorithme en langage naturel le programme associé à une fonctionnalité d’un OST.</t>
        </is>
      </c>
      <c r="D35" s="140" t="inlineStr">
        <is>
          <t>Thème 2</t>
        </is>
      </c>
      <c r="E35" s="140" t="inlineStr">
        <is>
          <t>D1.3, D4</t>
        </is>
      </c>
      <c r="F35" s="140" t="inlineStr">
        <is>
          <t>Oui</t>
        </is>
      </c>
    </row>
    <row r="36" ht="25.5" customHeight="1" s="105">
      <c r="A36" s="177" t="inlineStr">
        <is>
          <t>5e_C6.3</t>
        </is>
      </c>
      <c r="B36" s="140" t="inlineStr">
        <is>
          <t>5e</t>
        </is>
      </c>
      <c r="C36" s="140" t="inlineStr">
        <is>
          <t>Modifier les paramètres d’un programme et identifier ou évaluer ses effets en termes de fonctionnalité.</t>
        </is>
      </c>
      <c r="D36" s="140" t="inlineStr">
        <is>
          <t>Thème 2</t>
        </is>
      </c>
      <c r="E36" s="140" t="inlineStr">
        <is>
          <t>D1.3, D4</t>
        </is>
      </c>
      <c r="F36" s="140" t="inlineStr">
        <is>
          <t>Oui</t>
        </is>
      </c>
    </row>
    <row r="37" ht="30" customHeight="1" s="105">
      <c r="A37" s="176" t="inlineStr">
        <is>
          <t>C7</t>
        </is>
      </c>
      <c r="B37" s="176" t="inlineStr">
        <is>
          <t>—</t>
        </is>
      </c>
      <c r="C37" s="176" t="inlineStr">
        <is>
          <t>Imaginer, concevoir et réaliser une ou des solutions en réponse à un besoin, à des exigences (de développement durable, par exemple) ou à la nécessité d’améliorations dans une démarche de créativité</t>
        </is>
      </c>
      <c r="D37" s="176" t="inlineStr">
        <is>
          <t>Thème 3 : Création, conception, réalisation, innovations : des objets à concevoir et à réaliser</t>
        </is>
      </c>
      <c r="E37" s="176" t="inlineStr">
        <is>
          <t>D2, D3, D4, D5</t>
        </is>
      </c>
      <c r="F37" s="176" t="inlineStr">
        <is>
          <t>Oui</t>
        </is>
      </c>
    </row>
    <row r="38" ht="25.5" customHeight="1" s="105">
      <c r="A38" s="177" t="inlineStr">
        <is>
          <t>5e_C7.1</t>
        </is>
      </c>
      <c r="B38" s="140" t="inlineStr">
        <is>
          <t>5e</t>
        </is>
      </c>
      <c r="C38" s="140" t="inlineStr">
        <is>
          <t>Suivre un processus de conception et de réalisation dans une durée, avec des tâches identifiées.</t>
        </is>
      </c>
      <c r="D38" s="140" t="inlineStr">
        <is>
          <t>Thème 3</t>
        </is>
      </c>
      <c r="E38" s="140" t="inlineStr">
        <is>
          <t>D2, D4, D5</t>
        </is>
      </c>
      <c r="F38" s="140" t="inlineStr">
        <is>
          <t>Oui</t>
        </is>
      </c>
    </row>
    <row r="39" ht="25.5" customHeight="1" s="105">
      <c r="A39" s="177" t="inlineStr">
        <is>
          <t>5e_C7.2</t>
        </is>
      </c>
      <c r="B39" s="140" t="inlineStr">
        <is>
          <t>5e</t>
        </is>
      </c>
      <c r="C39" s="140" t="inlineStr">
        <is>
          <t>Fabriquer une solution pour améliorer un OST existant.</t>
        </is>
      </c>
      <c r="D39" s="140" t="inlineStr">
        <is>
          <t>Thème 3</t>
        </is>
      </c>
      <c r="E39" s="140" t="inlineStr">
        <is>
          <t>D2, D3, D4</t>
        </is>
      </c>
      <c r="F39" s="140" t="inlineStr">
        <is>
          <t>Oui</t>
        </is>
      </c>
    </row>
    <row r="40" ht="25.5" customHeight="1" s="105">
      <c r="A40" s="177" t="inlineStr">
        <is>
          <t>5e_C7.3</t>
        </is>
      </c>
      <c r="B40" s="140" t="inlineStr">
        <is>
          <t>5e</t>
        </is>
      </c>
      <c r="C40" s="140" t="inlineStr">
        <is>
          <t>Choisir un matériau parmi plusieurs proposés en fonction de leurs caractéristiques.</t>
        </is>
      </c>
      <c r="D40" s="140" t="inlineStr">
        <is>
          <t>Thème 3</t>
        </is>
      </c>
      <c r="E40" s="140" t="inlineStr">
        <is>
          <t>D3, D4, D5</t>
        </is>
      </c>
      <c r="F40" s="140" t="inlineStr">
        <is>
          <t>Oui</t>
        </is>
      </c>
    </row>
    <row r="41" ht="25.5" customHeight="1" s="105">
      <c r="A41" s="177" t="inlineStr">
        <is>
          <t>5e_C7.4</t>
        </is>
      </c>
      <c r="B41" s="140" t="inlineStr">
        <is>
          <t>5e</t>
        </is>
      </c>
      <c r="C41" s="140" t="inlineStr">
        <is>
          <t>Choisir une source d’énergie parmi plusieurs proposées et une forme d’énergie possible.</t>
        </is>
      </c>
      <c r="D41" s="140" t="inlineStr">
        <is>
          <t>Thème 3</t>
        </is>
      </c>
      <c r="E41" s="140" t="inlineStr">
        <is>
          <t>D3, D4, D5</t>
        </is>
      </c>
      <c r="F41" s="140" t="inlineStr">
        <is>
          <t>Oui</t>
        </is>
      </c>
    </row>
    <row r="42" ht="25.5" customHeight="1" s="105">
      <c r="A42" s="177" t="inlineStr">
        <is>
          <t>5e_C7.5</t>
        </is>
      </c>
      <c r="B42" s="140" t="inlineStr">
        <is>
          <t>5e</t>
        </is>
      </c>
      <c r="C42" s="140" t="inlineStr">
        <is>
          <t>Assembler les constituants fournis pour réaliser un prototype.</t>
        </is>
      </c>
      <c r="D42" s="140" t="inlineStr">
        <is>
          <t>Thème 3</t>
        </is>
      </c>
      <c r="E42" s="140" t="inlineStr">
        <is>
          <t>D2, D3, D4</t>
        </is>
      </c>
      <c r="F42" s="140" t="inlineStr">
        <is>
          <t>Oui</t>
        </is>
      </c>
    </row>
    <row r="43" ht="25.5" customHeight="1" s="105">
      <c r="A43" s="177" t="inlineStr">
        <is>
          <t>5e_C7.6</t>
        </is>
      </c>
      <c r="B43" s="140" t="inlineStr">
        <is>
          <t>5e</t>
        </is>
      </c>
      <c r="C43" s="140" t="inlineStr">
        <is>
          <t>Mettre en œuvre les moyens pour réaliser une forme selon une procédure fournie.</t>
        </is>
      </c>
      <c r="D43" s="140" t="inlineStr">
        <is>
          <t>Thème 3</t>
        </is>
      </c>
      <c r="E43" s="140" t="inlineStr">
        <is>
          <t>D2, D3, D4</t>
        </is>
      </c>
      <c r="F43" s="140" t="inlineStr">
        <is>
          <t>Oui</t>
        </is>
      </c>
    </row>
    <row r="44" ht="30" customHeight="1" s="105">
      <c r="A44" s="176" t="inlineStr">
        <is>
          <t>C8</t>
        </is>
      </c>
      <c r="B44" s="176" t="inlineStr">
        <is>
          <t>—</t>
        </is>
      </c>
      <c r="C44" s="176" t="inlineStr">
        <is>
          <t>Valider les solutions techniques par des simulations ou par des protocoles de tests</t>
        </is>
      </c>
      <c r="D44" s="176" t="inlineStr">
        <is>
          <t>Thème 3</t>
        </is>
      </c>
      <c r="E44" s="176" t="inlineStr">
        <is>
          <t>D1.3, D2, D3, D4, D5</t>
        </is>
      </c>
      <c r="F44" s="176" t="inlineStr">
        <is>
          <t>Oui</t>
        </is>
      </c>
    </row>
    <row r="45" ht="25.5" customHeight="1" s="105">
      <c r="A45" s="177" t="inlineStr">
        <is>
          <t>5e_C8.1</t>
        </is>
      </c>
      <c r="B45" s="140" t="inlineStr">
        <is>
          <t>5e</t>
        </is>
      </c>
      <c r="C45" s="140" t="inlineStr">
        <is>
          <t>Utiliser une simulation fournie pour valider la tenue mécanique d’un matériau.</t>
        </is>
      </c>
      <c r="D45" s="140" t="inlineStr">
        <is>
          <t>Thème 3</t>
        </is>
      </c>
      <c r="E45" s="140" t="inlineStr">
        <is>
          <t>D1.3, D2, D4</t>
        </is>
      </c>
      <c r="F45" s="140" t="inlineStr">
        <is>
          <t>Oui</t>
        </is>
      </c>
    </row>
    <row r="46" ht="25.5" customHeight="1" s="105">
      <c r="A46" s="177" t="inlineStr">
        <is>
          <t>5e_C8.2</t>
        </is>
      </c>
      <c r="B46" s="140" t="inlineStr">
        <is>
          <t>5e</t>
        </is>
      </c>
      <c r="C46" s="140" t="inlineStr">
        <is>
          <t>Mettre en œuvre un protocole de test fourni pour valider la tenue mécanique d’un matériau.</t>
        </is>
      </c>
      <c r="D46" s="140" t="inlineStr">
        <is>
          <t>Thème 3</t>
        </is>
      </c>
      <c r="E46" s="140" t="inlineStr">
        <is>
          <t>D1.3, D2, D3, D4</t>
        </is>
      </c>
      <c r="F46" s="140" t="inlineStr">
        <is>
          <t>Oui</t>
        </is>
      </c>
    </row>
    <row r="47" ht="25.5" customHeight="1" s="105">
      <c r="A47" s="177" t="inlineStr">
        <is>
          <t>5e_C8.3</t>
        </is>
      </c>
      <c r="B47" s="140" t="inlineStr">
        <is>
          <t>5e</t>
        </is>
      </c>
      <c r="C47" s="140" t="inlineStr">
        <is>
          <t>Vérifier le comportement et les performances d’un objet technique en suivant un protocole fourni.</t>
        </is>
      </c>
      <c r="D47" s="140" t="inlineStr">
        <is>
          <t>Thème 3</t>
        </is>
      </c>
      <c r="E47" s="140" t="inlineStr">
        <is>
          <t>D1.3, D2, D4, D5</t>
        </is>
      </c>
      <c r="F47" s="140" t="inlineStr">
        <is>
          <t>Oui</t>
        </is>
      </c>
    </row>
    <row r="48" ht="30" customHeight="1" s="105">
      <c r="A48" s="176" t="inlineStr">
        <is>
          <t>C9</t>
        </is>
      </c>
      <c r="B48" s="176" t="inlineStr">
        <is>
          <t>—</t>
        </is>
      </c>
      <c r="C48" s="176" t="inlineStr">
        <is>
          <t>Concevoir, écrire, tester et mettre au point un programme</t>
        </is>
      </c>
      <c r="D48" s="176" t="inlineStr">
        <is>
          <t>Thème 3</t>
        </is>
      </c>
      <c r="E48" s="176" t="inlineStr">
        <is>
          <t>D1.3, D2, D4</t>
        </is>
      </c>
      <c r="F48" s="176" t="inlineStr">
        <is>
          <t>Oui</t>
        </is>
      </c>
    </row>
    <row r="49" ht="25.5" customHeight="1" s="105">
      <c r="A49" s="177" t="inlineStr">
        <is>
          <t>5e_C9.1</t>
        </is>
      </c>
      <c r="B49" s="140" t="inlineStr">
        <is>
          <t>5e</t>
        </is>
      </c>
      <c r="C49" s="140" t="inlineStr">
        <is>
          <t>Analyser un programme simple fourni et tester s’il répond au besoin ou au problème posé.</t>
        </is>
      </c>
      <c r="D49" s="140" t="inlineStr">
        <is>
          <t>Thème 3</t>
        </is>
      </c>
      <c r="E49" s="140" t="inlineStr">
        <is>
          <t>D1.3, D2, D4</t>
        </is>
      </c>
      <c r="F49" s="140" t="inlineStr">
        <is>
          <t>Oui</t>
        </is>
      </c>
    </row>
    <row r="50" ht="25.5" customHeight="1" s="105">
      <c r="A50" s="177" t="inlineStr">
        <is>
          <t>5e_C9.2</t>
        </is>
      </c>
      <c r="B50" s="140" t="inlineStr">
        <is>
          <t>5e</t>
        </is>
      </c>
      <c r="C50" s="140" t="inlineStr">
        <is>
          <t>Modifier un programme fourni pour répondre au besoin ou à un problème posé.</t>
        </is>
      </c>
      <c r="D50" s="140" t="inlineStr">
        <is>
          <t>Thème 3</t>
        </is>
      </c>
      <c r="E50" s="140" t="inlineStr">
        <is>
          <t>D1.3, D2, D4</t>
        </is>
      </c>
      <c r="F50" s="140" t="inlineStr">
        <is>
          <t>Oui</t>
        </is>
      </c>
    </row>
    <row r="51" ht="25.5" customHeight="1" s="105">
      <c r="A51" s="177" t="inlineStr">
        <is>
          <t>5e_C9.3</t>
        </is>
      </c>
      <c r="B51" s="140" t="inlineStr">
        <is>
          <t>5e</t>
        </is>
      </c>
      <c r="C51" s="140" t="inlineStr">
        <is>
          <t>Réaliser et mettre au point un programme simple commandant un OST.</t>
        </is>
      </c>
      <c r="D51" s="140" t="inlineStr">
        <is>
          <t>Thème 3</t>
        </is>
      </c>
      <c r="E51" s="140" t="inlineStr">
        <is>
          <t>D1.3, D2, D4</t>
        </is>
      </c>
      <c r="F51" s="140" t="inlineStr">
        <is>
          <t>Oui</t>
        </is>
      </c>
    </row>
    <row r="53" ht="15" customHeight="1" s="105">
      <c r="A53" s="131" t="inlineStr">
        <is>
          <t>38 sous-compétences listées · Source : BO n°9 du 29/02/2024 (arrêté du 22/01/2024) · codes Nathan (éd. 2024).</t>
        </is>
      </c>
    </row>
  </sheetData>
  <mergeCells count="3">
    <mergeCell ref="A2:F2"/>
    <mergeCell ref="A53:F53"/>
    <mergeCell ref="A1:F1"/>
  </mergeCells>
  <hyperlinks>
    <hyperlink xmlns:r="http://schemas.openxmlformats.org/officeDocument/2006/relationships" ref="F3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F8F00"/>
    <outlinePr summaryBelow="1" summaryRight="1"/>
    <pageSetUpPr fitToPage="1"/>
  </sheetPr>
  <dimension ref="A1:M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04" min="1" max="1"/>
    <col width="8" customWidth="1" style="104" min="2" max="2"/>
    <col width="30" customWidth="1" style="104" min="3" max="3"/>
    <col width="34" customWidth="1" style="104" min="4" max="4"/>
    <col width="9" customWidth="1" style="104" min="5" max="5"/>
    <col width="26" customWidth="1" style="104" min="6" max="6"/>
    <col width="8" customWidth="1" style="104" min="7" max="7"/>
    <col width="30" customWidth="1" style="104" min="8" max="8"/>
    <col width="34" customWidth="1" style="104" min="9" max="9"/>
    <col width="30" customWidth="1" style="104" min="10" max="10"/>
    <col width="16" customWidth="1" style="104" min="11" max="11"/>
    <col width="20" customWidth="1" style="104" min="12" max="13"/>
  </cols>
  <sheetData>
    <row r="1" ht="19.5" customHeight="1" s="105">
      <c r="A1" s="132" t="inlineStr">
        <is>
          <t>PROGRESSION ANNUELLE 5e — 2026-2027 · 7 séquences · base : Référentiel 2024 (onglet Progression 5e)</t>
        </is>
      </c>
    </row>
    <row r="2" ht="15" customHeight="1" s="105">
      <c r="K2" s="134" t="inlineStr">
        <is>
          <t>◀ Accueil</t>
        </is>
      </c>
    </row>
    <row r="3" ht="15" customHeight="1" s="105">
      <c r="A3" s="135" t="inlineStr">
        <is>
          <t>N°</t>
        </is>
      </c>
      <c r="B3" s="135" t="inlineStr">
        <is>
          <t>Période</t>
        </is>
      </c>
      <c r="C3" s="135" t="inlineStr">
        <is>
          <t>Titre (support actualisé)</t>
        </is>
      </c>
      <c r="D3" s="135" t="inlineStr">
        <is>
          <t>Problématique</t>
        </is>
      </c>
      <c r="E3" s="135" t="inlineStr">
        <is>
          <t>Thème</t>
        </is>
      </c>
      <c r="F3" s="135" t="inlineStr">
        <is>
          <t>Codes 2024</t>
        </is>
      </c>
      <c r="G3" s="135" t="inlineStr">
        <is>
          <t>Séances</t>
        </is>
      </c>
      <c r="H3" s="135" t="inlineStr">
        <is>
          <t>Répartition 🏫 / 🏠 / 🔁</t>
        </is>
      </c>
      <c r="I3" s="135" t="inlineStr">
        <is>
          <t>Ressources en ligne (dépôt)</t>
        </is>
      </c>
      <c r="J3" s="135" t="inlineStr">
        <is>
          <t>Cahier Nathan 5e (repères)</t>
        </is>
      </c>
      <c r="K3" s="135" t="inlineStr">
        <is>
          <t>IA responsable</t>
        </is>
      </c>
      <c r="L3" s="136" t="inlineStr">
        <is>
          <t>Début (AUTO)</t>
        </is>
      </c>
      <c r="M3" s="136" t="inlineStr">
        <is>
          <t>Fin (AUTO)</t>
        </is>
      </c>
    </row>
    <row r="4" ht="78" customHeight="1" s="105">
      <c r="A4" s="178" t="n">
        <v>1</v>
      </c>
      <c r="B4" s="178" t="inlineStr">
        <is>
          <t>P1</t>
        </is>
      </c>
      <c r="C4" s="179" t="inlineStr">
        <is>
          <t>Bien démarrer : mon environnement numérique au collège</t>
        </is>
      </c>
      <c r="D4" s="139" t="inlineStr">
        <is>
          <t>Comment organiser et sécuriser mon espace de travail numérique ?</t>
        </is>
      </c>
      <c r="E4" s="178" t="inlineStr">
        <is>
          <t>Thème 1</t>
        </is>
      </c>
      <c r="F4" s="139" t="inlineStr">
        <is>
          <t>5e_C1.4, C1.5, C1.6</t>
        </is>
      </c>
      <c r="G4" s="178" t="n">
        <v>3</v>
      </c>
      <c r="H4" s="139" t="inlineStr">
        <is>
          <t>Séance 1 🏫 (prise en main ENT) · 2 🔁 (arborescence : exercice en ligne à la maison) · 3 🏫 (mots de passe + bilan)</t>
        </is>
      </c>
      <c r="I4" s="139" t="inlineStr">
        <is>
          <t>🔜 À produire (Thème 1)</t>
        </is>
      </c>
      <c r="J4" s="139" t="inlineStr">
        <is>
          <t>Prob. 3 p.23-30 (vie privée) · Point méthode 3 p.88 (arborescence) · Vers Pix D4 p.119-124</t>
        </is>
      </c>
      <c r="K4" s="139" t="inlineStr">
        <is>
          <t>IA Thème 1</t>
        </is>
      </c>
      <c r="L4" s="180">
        <f>IFERROR(INDEX('📅 Calendrier'!$A$4:$A$44,MATCH("S1 · séance 1",'📅 Calendrier'!$D$4:$D$44,0))&amp;" ("&amp;INDEX('📅 Calendrier'!$B$4:$B$44,MATCH("S1 · séance 1",'📅 Calendrier'!$D$4:$D$44,0))&amp;")","⚠ hors année !")</f>
        <v/>
      </c>
      <c r="M4" s="180">
        <f>IFERROR(INDEX('📅 Calendrier'!$A$4:$A$44,MATCH("S1 · séance 3",'📅 Calendrier'!$D$4:$D$44,0))&amp;" ("&amp;INDEX('📅 Calendrier'!$B$4:$B$44,MATCH("S1 · séance 3",'📅 Calendrier'!$D$4:$D$44,0))&amp;")","⚠ hors année !")</f>
        <v/>
      </c>
    </row>
    <row r="5" ht="78" customHeight="1" s="105">
      <c r="A5" s="178" t="n">
        <v>2</v>
      </c>
      <c r="B5" s="178" t="inlineStr">
        <is>
          <t>P1</t>
        </is>
      </c>
      <c r="C5" s="179" t="inlineStr">
        <is>
          <t>Comparer pour choisir : quel objet répond le mieux au besoin ?</t>
        </is>
      </c>
      <c r="D5" s="139" t="inlineStr">
        <is>
          <t>Comment choisir le meilleur objet technique parmi plusieurs ?</t>
        </is>
      </c>
      <c r="E5" s="178" t="inlineStr">
        <is>
          <t>Thème 1</t>
        </is>
      </c>
      <c r="F5" s="139" t="inlineStr">
        <is>
          <t>5e_C1.1, C1.2, C1.3, C3.1, C3.3</t>
        </is>
      </c>
      <c r="G5" s="178" t="n">
        <v>4</v>
      </c>
      <c r="H5" s="139" t="inlineStr">
        <is>
          <t>Séances 1-2 🏫 (objets réels, tableau comparatif) · 3 🔁 (recherche doc maison) · 4 🏫 (choix argumenté + éval.)</t>
        </is>
      </c>
      <c r="I5" s="139" t="inlineStr">
        <is>
          <t>🔜 À produire (Thème 1)</t>
        </is>
      </c>
      <c r="J5" s="139" t="inlineStr">
        <is>
          <t>Prob. 1 p.7-14 (évolution des objets) · Prob. 2 p.15-22 (choisir le bon vélo électrique)</t>
        </is>
      </c>
      <c r="K5" s="139" t="inlineStr">
        <is>
          <t>IA Thème 1</t>
        </is>
      </c>
      <c r="L5" s="180">
        <f>IFERROR(INDEX('📅 Calendrier'!$A$4:$A$44,MATCH("S2 · séance 1",'📅 Calendrier'!$D$4:$D$44,0))&amp;" ("&amp;INDEX('📅 Calendrier'!$B$4:$B$44,MATCH("S2 · séance 1",'📅 Calendrier'!$D$4:$D$44,0))&amp;")","⚠ hors année !")</f>
        <v/>
      </c>
      <c r="M5" s="180">
        <f>IFERROR(INDEX('📅 Calendrier'!$A$4:$A$44,MATCH("S2 · séance 4",'📅 Calendrier'!$D$4:$D$44,0))&amp;" ("&amp;INDEX('📅 Calendrier'!$B$4:$B$44,MATCH("S2 · séance 4",'📅 Calendrier'!$D$4:$D$44,0))&amp;")","⚠ hors année !")</f>
        <v/>
      </c>
    </row>
    <row r="6" ht="78" customHeight="1" s="105">
      <c r="A6" s="178" t="n">
        <v>3</v>
      </c>
      <c r="B6" s="178" t="inlineStr">
        <is>
          <t>P2</t>
        </is>
      </c>
      <c r="C6" s="179" t="inlineStr">
        <is>
          <t>La chaîne d'énergie : comment un objet transforme-t-il l'énergie ?</t>
        </is>
      </c>
      <c r="D6" s="139" t="inlineStr">
        <is>
          <t>Comment l'énergie circule-t-elle dans un objet technique ?</t>
        </is>
      </c>
      <c r="E6" s="178" t="inlineStr">
        <is>
          <t>Thème 1</t>
        </is>
      </c>
      <c r="F6" s="139" t="inlineStr">
        <is>
          <t>5e_C2.1, C2.2 (Th.1) + 5e_C4.1, C4.2, C4.3 (Th.2)</t>
        </is>
      </c>
      <c r="G6" s="178" t="n">
        <v>4</v>
      </c>
      <c r="H6" s="139" t="inlineStr">
        <is>
          <t>Séances 1-2 🏫 (maquette moteur/LED) · 3 🔁 (séances 1-2 du lampadaire en ligne à la maison) · 4 🏫 (schéma-bloc + éval.)</t>
        </is>
      </c>
      <c r="I6" s="139" t="inlineStr">
        <is>
          <t>✅ Partiel : « Lampadaire intelligent » séances 1-2 (C4.1-C4.3) · 🔜 C2.1-C2.2 (Thème 1)</t>
        </is>
      </c>
      <c r="J6" s="139" t="inlineStr">
        <is>
          <t>Prob. 6 p.45-50 (l'énergie dans un TGV) · Point méthode 6 p.91 (chaîne d'énergie)</t>
        </is>
      </c>
      <c r="K6" s="139" t="inlineStr">
        <is>
          <t>IA Th.1 + Fable</t>
        </is>
      </c>
      <c r="L6" s="180">
        <f>IFERROR(INDEX('📅 Calendrier'!$A$4:$A$44,MATCH("S3 · séance 1",'📅 Calendrier'!$D$4:$D$44,0))&amp;" ("&amp;INDEX('📅 Calendrier'!$B$4:$B$44,MATCH("S3 · séance 1",'📅 Calendrier'!$D$4:$D$44,0))&amp;")","⚠ hors année !")</f>
        <v/>
      </c>
      <c r="M6" s="180">
        <f>IFERROR(INDEX('📅 Calendrier'!$A$4:$A$44,MATCH("S3 · séance 4",'📅 Calendrier'!$D$4:$D$44,0))&amp;" ("&amp;INDEX('📅 Calendrier'!$B$4:$B$44,MATCH("S3 · séance 4",'📅 Calendrier'!$D$4:$D$44,0))&amp;")","⚠ hors année !")</f>
        <v/>
      </c>
    </row>
    <row r="7" ht="78" customHeight="1" s="105">
      <c r="A7" s="181" t="n">
        <v>4</v>
      </c>
      <c r="B7" s="181" t="inlineStr">
        <is>
          <t>P2/P3</t>
        </is>
      </c>
      <c r="C7" s="182" t="inlineStr">
        <is>
          <t>Le lampadaire intelligent (1) : chaîne d'information, données et premiers programmes</t>
        </is>
      </c>
      <c r="D7" s="146" t="inlineStr">
        <is>
          <t>Comment un objet capte-t-il, décide-t-il, agit-il — et comment le décrire en données ?</t>
        </is>
      </c>
      <c r="E7" s="181" t="inlineStr">
        <is>
          <t>Thème 2</t>
        </is>
      </c>
      <c r="F7" s="146" t="inlineStr">
        <is>
          <t>5e_C4.5, C4.6 + 5e_C6.1, C6.2, C6.3</t>
        </is>
      </c>
      <c r="G7" s="181" t="n">
        <v>5</v>
      </c>
      <c r="H7" s="146" t="inlineStr">
        <is>
          <t>Séance 1 🔁 (simulateur maison) · 2 🏫 (données/descripteurs) · 3-4 🏫 (programme par blocs) · 5 🏠 QCM + 🏫 éval.</t>
        </is>
      </c>
      <c r="I7" s="146" t="inlineStr">
        <is>
          <t>✅ Séquence + QCM 32 q (C4.5-C4.6) · ✅ « Programmer le lampadaire » (C6.1-C6.3, LOT 07 : séquence + QCM 30 q + synthèses)</t>
        </is>
      </c>
      <c r="J7" s="146" t="inlineStr">
        <is>
          <t>Prob. 4 p.31-36 (système automatisé) · Prob. 7 p.51-58 (programmer une fonctionnalité) · PM 7 p.92</t>
        </is>
      </c>
      <c r="K7" s="146" t="inlineStr">
        <is>
          <t>Fable (Th. 2)</t>
        </is>
      </c>
      <c r="L7" s="183">
        <f>IFERROR(INDEX('📅 Calendrier'!$A$4:$A$44,MATCH("S4 · séance 1",'📅 Calendrier'!$D$4:$D$44,0))&amp;" ("&amp;INDEX('📅 Calendrier'!$B$4:$B$44,MATCH("S4 · séance 1",'📅 Calendrier'!$D$4:$D$44,0))&amp;")","⚠ hors année !")</f>
        <v/>
      </c>
      <c r="M7" s="183">
        <f>IFERROR(INDEX('📅 Calendrier'!$A$4:$A$44,MATCH("S4 · séance 5",'📅 Calendrier'!$D$4:$D$44,0))&amp;" ("&amp;INDEX('📅 Calendrier'!$B$4:$B$44,MATCH("S4 · séance 5",'📅 Calendrier'!$D$4:$D$44,0))&amp;")","⚠ hors année !")</f>
        <v/>
      </c>
    </row>
    <row r="8" ht="78" customHeight="1" s="105">
      <c r="A8" s="181" t="n">
        <v>5</v>
      </c>
      <c r="B8" s="181" t="inlineStr">
        <is>
          <t>P3/P4</t>
        </is>
      </c>
      <c r="C8" s="182" t="inlineStr">
        <is>
          <t>Le lampadaire intelligent (2) : le réseau local du collège</t>
        </is>
      </c>
      <c r="D8" s="146" t="inlineStr">
        <is>
          <t>Comment les informations circulent-elles entre les postes du collège ?</t>
        </is>
      </c>
      <c r="E8" s="181" t="inlineStr">
        <is>
          <t>Thème 2</t>
        </is>
      </c>
      <c r="F8" s="146" t="inlineStr">
        <is>
          <t>5e_C4.7, C4.8</t>
        </is>
      </c>
      <c r="G8" s="181" t="n">
        <v>3</v>
      </c>
      <c r="H8" s="146" t="inlineStr">
        <is>
          <t>Séance 1 🏫 (jeu du courrier débranché, enveloppes réelles) · 2 🔁 (schéma actif + simulateur maison) · 3 🏠 QCM ciblé + 🏫 bilan</t>
        </is>
      </c>
      <c r="I8" s="146" t="inlineStr">
        <is>
          <t>✅ Séquence (séances 5) + QCM (8 q ciblées C4.7-C4.8) + synthèses</t>
        </is>
      </c>
      <c r="J8" s="146" t="inlineStr">
        <is>
          <t>Point méthode 4 p.89 (adresse IP) · Vers Pix D2/D5 p.103-110, 125-128</t>
        </is>
      </c>
      <c r="K8" s="146" t="inlineStr">
        <is>
          <t>Fable (Th. 2)</t>
        </is>
      </c>
      <c r="L8" s="183">
        <f>IFERROR(INDEX('📅 Calendrier'!$A$4:$A$44,MATCH("S5 · séance 1",'📅 Calendrier'!$D$4:$D$44,0))&amp;" ("&amp;INDEX('📅 Calendrier'!$B$4:$B$44,MATCH("S5 · séance 1",'📅 Calendrier'!$D$4:$D$44,0))&amp;")","⚠ hors année !")</f>
        <v/>
      </c>
      <c r="M8" s="183">
        <f>IFERROR(INDEX('📅 Calendrier'!$A$4:$A$44,MATCH("S5 · séance 3",'📅 Calendrier'!$D$4:$D$44,0))&amp;" ("&amp;INDEX('📅 Calendrier'!$B$4:$B$44,MATCH("S5 · séance 3",'📅 Calendrier'!$D$4:$D$44,0))&amp;")","⚠ hors année !")</f>
        <v/>
      </c>
    </row>
    <row r="9" ht="78" customHeight="1" s="105">
      <c r="A9" s="181" t="n">
        <v>6</v>
      </c>
      <c r="B9" s="181" t="inlineStr">
        <is>
          <t>P4</t>
        </is>
      </c>
      <c r="C9" s="182" t="inlineStr">
        <is>
          <t>SOS panne : dépanner un objet technique</t>
        </is>
      </c>
      <c r="D9" s="146" t="inlineStr">
        <is>
          <t>Comment identifier et réparer la panne d'un objet technique ?</t>
        </is>
      </c>
      <c r="E9" s="181" t="inlineStr">
        <is>
          <t>Thème 2</t>
        </is>
      </c>
      <c r="F9" s="146" t="inlineStr">
        <is>
          <t>5e_C5.1, C5.2, C5.3</t>
        </is>
      </c>
      <c r="G9" s="181" t="n">
        <v>4</v>
      </c>
      <c r="H9" s="146" t="inlineStr">
        <is>
          <t>Séances 1-2 🏫 (objets à démonter, protocole) · 3 🏫 (découverte imprimante 3D) · 4 🔁 (fiche d'intervention + QCM maison)</t>
        </is>
      </c>
      <c r="I9" s="146" t="inlineStr">
        <is>
          <t>🔜 À produire (Fable — prévu avant le 27/07 si possible, sinon après Conseil)</t>
        </is>
      </c>
      <c r="J9" s="146" t="inlineStr">
        <is>
          <t>Prob. 5 p.37-44 (réparer un sac à dos) · Point méthode 5 p.90 (imprimante 3D)</t>
        </is>
      </c>
      <c r="K9" s="146" t="inlineStr">
        <is>
          <t>Fable (Th. 2)</t>
        </is>
      </c>
      <c r="L9" s="183">
        <f>IFERROR(INDEX('📅 Calendrier'!$A$4:$A$44,MATCH("S6 · séance 1",'📅 Calendrier'!$D$4:$D$44,0))&amp;" ("&amp;INDEX('📅 Calendrier'!$B$4:$B$44,MATCH("S6 · séance 1",'📅 Calendrier'!$D$4:$D$44,0))&amp;")","⚠ hors année !")</f>
        <v/>
      </c>
      <c r="M9" s="183">
        <f>IFERROR(INDEX('📅 Calendrier'!$A$4:$A$44,MATCH("S6 · séance 4",'📅 Calendrier'!$D$4:$D$44,0))&amp;" ("&amp;INDEX('📅 Calendrier'!$B$4:$B$44,MATCH("S6 · séance 4",'📅 Calendrier'!$D$4:$D$44,0))&amp;")","⚠ hors année !")</f>
        <v/>
      </c>
    </row>
    <row r="10" ht="78" customHeight="1" s="105">
      <c r="A10" s="184" t="n">
        <v>7</v>
      </c>
      <c r="B10" s="184" t="inlineStr">
        <is>
          <t>P4/P5</t>
        </is>
      </c>
      <c r="C10" s="185" t="inlineStr">
        <is>
          <t>Mini-projet : concevoir et fabriquer un objet utile</t>
        </is>
      </c>
      <c r="D10" s="148" t="inlineStr">
        <is>
          <t>Comment concevoir, fabriquer et programmer un objet répondant à un besoin ?</t>
        </is>
      </c>
      <c r="E10" s="184" t="inlineStr">
        <is>
          <t>Thème 3</t>
        </is>
      </c>
      <c r="F10" s="148" t="inlineStr">
        <is>
          <t>5e_C7.1→C7.6, C8.1→C8.3, C9.1→C9.3</t>
        </is>
      </c>
      <c r="G10" s="184" t="n">
        <v>6</v>
      </c>
      <c r="H10" s="148" t="inlineStr">
        <is>
          <t>Séances 1-5 🏫 (démarche de projet, prototypage) · entre séances 🏠 (recherches, croquis) · 6 🏫 revue de projet</t>
        </is>
      </c>
      <c r="I10" s="148" t="inlineStr">
        <is>
          <t>🔜 À produire (Thème 3)</t>
        </is>
      </c>
      <c r="J10" s="148" t="inlineStr">
        <is>
          <t>Prob. 8 p.59-64 · Prob. 9 p.65-70 · Prob. 10 p.71-78 · Prob. 11 p.79-85 · PM 9/11</t>
        </is>
      </c>
      <c r="K10" s="148" t="inlineStr">
        <is>
          <t>IA Thème 3</t>
        </is>
      </c>
      <c r="L10" s="186">
        <f>IFERROR(INDEX('📅 Calendrier'!$A$4:$A$44,MATCH("S7 · séance 1",'📅 Calendrier'!$D$4:$D$44,0))&amp;" ("&amp;INDEX('📅 Calendrier'!$B$4:$B$44,MATCH("S7 · séance 1",'📅 Calendrier'!$D$4:$D$44,0))&amp;")","⚠ hors année !")</f>
        <v/>
      </c>
      <c r="M10" s="186">
        <f>IFERROR(INDEX('📅 Calendrier'!$A$4:$A$44,MATCH("S7 · séance 6",'📅 Calendrier'!$D$4:$D$44,0))&amp;" ("&amp;INDEX('📅 Calendrier'!$B$4:$B$44,MATCH("S7 · séance 6",'📅 Calendrier'!$D$4:$D$44,0))&amp;")","⚠ hors année !")</f>
        <v/>
      </c>
    </row>
    <row r="11" ht="15" customHeight="1" s="105">
      <c r="F11" s="187" t="inlineStr">
        <is>
          <t>Total séances planifiées :</t>
        </is>
      </c>
      <c r="G11" s="188">
        <f>SUM(G4:G10)</f>
        <v/>
      </c>
      <c r="H11" s="131" t="inlineStr">
        <is>
          <t>+ 7 semaines tampon = 36 semaines (voir Calendrier)</t>
        </is>
      </c>
    </row>
    <row r="12" ht="15" customHeight="1" s="105">
      <c r="L12" s="189" t="inlineStr">
        <is>
          <t>Colonnes AUTO : recalculées selon les imprévus saisis dans le Calendrier.</t>
        </is>
      </c>
    </row>
    <row r="13" ht="15" customHeight="1" s="105">
      <c r="A13" s="131" t="inlineStr">
        <is>
          <t>Statuts : ✅ en ligne · 🔜 à produire · 📘 cahier Nathan. Les titres « Lampadaire intelligent » actualisent les supports du référentiel initial (« Un capteur au jardin » / « Réseaux ») : mêmes codes, même objet-fil réutilisé — décision à entériner au Conseil du 28/07.</t>
        </is>
      </c>
    </row>
  </sheetData>
  <mergeCells count="2">
    <mergeCell ref="L12:M12"/>
    <mergeCell ref="A13:K13"/>
  </mergeCells>
  <hyperlinks>
    <hyperlink xmlns:r="http://schemas.openxmlformats.org/officeDocument/2006/relationships" ref="K2" location="'🏠%20Accueil'!A1" display="◀ Accueil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C55A11"/>
    <outlinePr summaryBelow="1" summaryRight="1"/>
    <pageSetUpPr fitToPage="1"/>
  </sheetPr>
  <dimension ref="A1:F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0" t="inlineStr">
        <is>
          <t>GÉNÉRATEUR DE SÉQUENCE 2024 — S1 · Bien démarrer : mon environnement numérique au collège</t>
        </is>
      </c>
    </row>
    <row r="2" ht="15" customHeight="1" s="105">
      <c r="A2" s="131" t="inlineStr">
        <is>
          <t>Thème 1 · P1 · 3 séances de 1 h 30 · Responsable : IA Thème 1 · CANEVAS À REMPLIR par IA Thème 1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79" t="inlineStr">
        <is>
          <t>Problématique</t>
        </is>
      </c>
      <c r="B4" s="192" t="inlineStr">
        <is>
          <t>Comment organiser et sécuriser mon espace de travail numérique ?</t>
        </is>
      </c>
      <c r="C4" s="130" t="n"/>
      <c r="D4" s="130" t="n"/>
      <c r="E4" s="130" t="n"/>
      <c r="F4" s="130" t="n"/>
    </row>
    <row r="5" ht="27.75" customHeight="1" s="105">
      <c r="A5" s="179" t="inlineStr">
        <is>
          <t>Situation déclenchante</t>
        </is>
      </c>
      <c r="B5" s="192" t="inlineStr">
        <is>
          <t>⚠ À compléter par IA Thème 1 (canevas pré-rempli par Fable — codes, problématique et repères Nathan posés).</t>
        </is>
      </c>
      <c r="C5" s="130" t="n"/>
      <c r="D5" s="130" t="n"/>
      <c r="E5" s="130" t="n"/>
      <c r="F5" s="130" t="n"/>
    </row>
    <row r="6" ht="27.75" customHeight="1" s="105">
      <c r="A6" s="179" t="inlineStr">
        <is>
          <t>Prérequis</t>
        </is>
      </c>
      <c r="B6" s="192" t="inlineStr">
        <is>
          <t>—</t>
        </is>
      </c>
      <c r="C6" s="130" t="n"/>
      <c r="D6" s="130" t="n"/>
      <c r="E6" s="130" t="n"/>
      <c r="F6" s="130" t="n"/>
    </row>
    <row r="7" ht="27.75" customHeight="1" s="105">
      <c r="A7" s="179" t="inlineStr">
        <is>
          <t>Éléments pour la synthèse (objectifs)</t>
        </is>
      </c>
      <c r="B7" s="192" t="inlineStr">
        <is>
          <t>⚠ À compléter par IA Thème 1 (canevas pré-rempli par Fable — codes, problématique et repères Nathan posés).</t>
        </is>
      </c>
      <c r="C7" s="130" t="n"/>
      <c r="D7" s="130" t="n"/>
      <c r="E7" s="130" t="n"/>
      <c r="F7" s="130" t="n"/>
    </row>
    <row r="8" ht="27.75" customHeight="1" s="105">
      <c r="A8" s="179" t="inlineStr">
        <is>
          <t>Piste d'évaluation</t>
        </is>
      </c>
      <c r="B8" s="192" t="inlineStr">
        <is>
          <t>Grille de suivi personnel de fichiers + questionnaire</t>
        </is>
      </c>
      <c r="C8" s="130" t="n"/>
      <c r="D8" s="130" t="n"/>
      <c r="E8" s="130" t="n"/>
      <c r="F8" s="130" t="n"/>
    </row>
    <row r="9" ht="27.75" customHeight="1" s="105">
      <c r="A9" s="179" t="inlineStr">
        <is>
          <t>Domaines du socle mobilisés</t>
        </is>
      </c>
      <c r="B9" s="192" t="inlineStr">
        <is>
          <t>D2, D3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79" t="inlineStr">
        <is>
          <t>CRCN — compétences numériques (Pix)</t>
        </is>
      </c>
      <c r="B10" s="192" t="inlineStr">
        <is>
          <t>1.2 Gérer des données (Niv. 1-2) · 4.1 Sécuriser l'environnement (Niv. 2) · 4.2 Protéger les données personnelles (Niv. 1-2) · 5.2 Évoluer dans un environnement numérique (Niv. 1-2)</t>
        </is>
      </c>
      <c r="C10" s="130" t="n"/>
      <c r="D10" s="130" t="n"/>
      <c r="E10" s="130" t="n"/>
      <c r="F10" s="130" t="n"/>
    </row>
    <row r="11" ht="27.75" customHeight="1" s="105">
      <c r="A11" s="179" t="inlineStr">
        <is>
          <t>Versions 🅰 / 🅱 / 🅲</t>
        </is>
      </c>
      <c r="B11" s="192" t="inlineStr">
        <is>
          <t>⚠ À compléter par IA Thème 1 (canevas pré-rempli par Fable — codes, problématique et repères Nathan posés).</t>
        </is>
      </c>
      <c r="C11" s="130" t="n"/>
      <c r="D11" s="130" t="n"/>
      <c r="E11" s="130" t="n"/>
      <c r="F11" s="130" t="n"/>
    </row>
    <row r="12" ht="27.75" customHeight="1" s="105">
      <c r="A12" s="179" t="inlineStr">
        <is>
          <t>Liens EPI / parcours</t>
        </is>
      </c>
      <c r="B12" s="192" t="inlineStr">
        <is>
          <t>⚠ À compléter par IA Thème 1 (canevas pré-rempli par Fable — codes, problématique et repères Nathan posés).</t>
        </is>
      </c>
      <c r="C12" s="130" t="n"/>
      <c r="D12" s="130" t="n"/>
      <c r="E12" s="130" t="n"/>
      <c r="F12" s="130" t="n"/>
    </row>
    <row r="13" ht="27.75" customHeight="1" s="105">
      <c r="A13" s="179" t="inlineStr">
        <is>
          <t>Cahier Nathan 5e</t>
        </is>
      </c>
      <c r="B13" s="192" t="inlineStr">
        <is>
          <t>Prob. 3 p.23-30 (vie privée) · Point méthode 3 p.88 (arborescence) · Vers Pix D4 p.119-124</t>
        </is>
      </c>
      <c r="C13" s="130" t="n"/>
      <c r="D13" s="130" t="n"/>
      <c r="E13" s="130" t="n"/>
      <c r="F13" s="130" t="n"/>
    </row>
    <row r="14" ht="27.75" customHeight="1" s="105">
      <c r="A14" s="179" t="inlineStr">
        <is>
          <t>Ressources en ligne</t>
        </is>
      </c>
      <c r="B14" s="192" t="inlineStr">
        <is>
          <t>🔜 À produire (Thème 1)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5e_C1.4</t>
        </is>
      </c>
      <c r="B18" s="140" t="inlineStr">
        <is>
          <t>Recenser des données, les identifier, les classer, les représenter, les stocker, les retrouver dans une arborescence.</t>
        </is>
      </c>
      <c r="C18" s="140" t="inlineStr">
        <is>
          <t>D2</t>
        </is>
      </c>
      <c r="D18" s="140" t="inlineStr">
        <is>
          <t>—</t>
        </is>
      </c>
      <c r="E18" s="140" t="inlineStr">
        <is>
          <t>→ LSU</t>
        </is>
      </c>
    </row>
    <row r="19" ht="30" customHeight="1" s="105">
      <c r="A19" s="177" t="inlineStr">
        <is>
          <t>5e_C1.5</t>
        </is>
      </c>
      <c r="B19" s="140" t="inlineStr">
        <is>
          <t>Identifier des règles permettant de sécuriser un environnement numérique (bases de la cybersécurité) et des règles de respect de la propriété intellectuelle.</t>
        </is>
      </c>
      <c r="C19" s="140" t="inlineStr">
        <is>
          <t>D3</t>
        </is>
      </c>
      <c r="D19" s="140" t="inlineStr">
        <is>
          <t>—</t>
        </is>
      </c>
      <c r="E19" s="140" t="inlineStr">
        <is>
          <t>→ LSU</t>
        </is>
      </c>
    </row>
    <row r="20" ht="30" customHeight="1" s="105">
      <c r="A20" s="177" t="inlineStr">
        <is>
          <t>5e_C1.6</t>
        </is>
      </c>
      <c r="B20" s="140" t="inlineStr">
        <is>
          <t>Appréhender la responsabilité de chacun dans les dérives (cyberviolence, atteinte à la vie privée, aux données personnelles, usurpation d’identité).</t>
        </is>
      </c>
      <c r="C20" s="140" t="inlineStr">
        <is>
          <t>D3</t>
        </is>
      </c>
      <c r="D20" s="140" t="inlineStr">
        <is>
          <t>—</t>
        </is>
      </c>
      <c r="E20" s="140" t="inlineStr">
        <is>
          <t>→ LSU</t>
        </is>
      </c>
    </row>
    <row r="22" ht="15" customHeight="1" s="105">
      <c r="A22" s="152" t="inlineStr">
        <is>
          <t>Déroulé, séance par séance — avec cahier de texte Pronote prêt à coller</t>
        </is>
      </c>
    </row>
    <row r="23" ht="15" customHeight="1" s="105">
      <c r="A23" s="193" t="inlineStr">
        <is>
          <t>■ Séance 1 — semaine S01 — — — [titre de la séance 1 — à compléter]</t>
        </is>
      </c>
    </row>
    <row r="24" ht="27.75" customHeight="1" s="105">
      <c r="A24" s="179" t="inlineStr">
        <is>
          <t>Question directrice</t>
        </is>
      </c>
      <c r="B24" s="192" t="inlineStr">
        <is>
          <t>[question directrice]</t>
        </is>
      </c>
      <c r="C24" s="130" t="n"/>
      <c r="D24" s="130" t="n"/>
      <c r="E24" s="130" t="n"/>
      <c r="F24" s="130" t="n"/>
    </row>
    <row r="25" ht="27.75" customHeight="1" s="105">
      <c r="A25" s="179" t="inlineStr">
        <is>
          <t>Activités &amp; supports</t>
        </is>
      </c>
      <c r="B25" s="192" t="inlineStr">
        <is>
          <t>[activités — repères Nathan : Prob. 3 p.23-30 (vie privée) · Point méthode 3 p.88 (arborescence) · Vers Pix D4 p.119-124]</t>
        </is>
      </c>
      <c r="C25" s="130" t="n"/>
      <c r="D25" s="130" t="n"/>
      <c r="E25" s="130" t="n"/>
      <c r="F25" s="130" t="n"/>
    </row>
    <row r="26" ht="27.75" customHeight="1" s="105">
      <c r="A26" s="179" t="inlineStr">
        <is>
          <t>Démarche / organisation</t>
        </is>
      </c>
      <c r="B26" s="192" t="inlineStr">
        <is>
          <t>[démarche]</t>
        </is>
      </c>
      <c r="C26" s="130" t="n"/>
      <c r="D26" s="130" t="n"/>
      <c r="E26" s="130" t="n"/>
      <c r="F26" s="130" t="n"/>
    </row>
    <row r="27" ht="27.75" customHeight="1" s="105">
      <c r="A27" s="179" t="inlineStr">
        <is>
          <t>Bilan / trace écrite</t>
        </is>
      </c>
      <c r="B27" s="192" t="inlineStr">
        <is>
          <t>[trace écrite]</t>
        </is>
      </c>
      <c r="C27" s="130" t="n"/>
      <c r="D27" s="130" t="n"/>
      <c r="E27" s="130" t="n"/>
      <c r="F27" s="130" t="n"/>
    </row>
    <row r="28" ht="39.75" customHeight="1" s="105">
      <c r="A28" s="194" t="inlineStr">
        <is>
          <t>📋 CAHIER DE TEXTE
Contenu de la séance
(copier-coller Pronote)</t>
        </is>
      </c>
      <c r="B28" s="195" t="inlineStr">
        <is>
          <t>[Cahier de texte — contenu de la séance 1 : à rédiger par IA Thème 1 — phrase(s) prêtes à coller dans Pronote.]</t>
        </is>
      </c>
      <c r="C28" s="130" t="n"/>
      <c r="D28" s="130" t="n"/>
      <c r="E28" s="130" t="n"/>
      <c r="F28" s="130" t="n"/>
    </row>
    <row r="29" ht="39.75" customHeight="1" s="105">
      <c r="A29" s="194" t="inlineStr">
        <is>
          <t>📋 CAHIER DE TEXTE
Travail à faire
(copier-coller Pronote)</t>
        </is>
      </c>
      <c r="B29" s="195" t="inlineStr">
        <is>
          <t>[Cahier de texte — travail à faire : à rédiger — indiquer le support (lien en ligne ou pages Nathan), la durée estimée, et « faisable sur téléphone » si c'est le cas.]</t>
        </is>
      </c>
      <c r="C29" s="130" t="n"/>
      <c r="D29" s="130" t="n"/>
      <c r="E29" s="130" t="n"/>
      <c r="F29" s="130" t="n"/>
    </row>
    <row r="30" ht="15" customHeight="1" s="105">
      <c r="A30" s="196" t="inlineStr">
        <is>
          <t>Suivi enseignant</t>
        </is>
      </c>
      <c r="B30" s="197" t="inlineStr">
        <is>
          <t>Fait le : ____________</t>
        </is>
      </c>
      <c r="C30" s="198" t="inlineStr">
        <is>
          <t xml:space="preserve">Report / aléa / remarques : </t>
        </is>
      </c>
      <c r="D30" s="130" t="n"/>
      <c r="E30" s="130" t="n"/>
      <c r="F30" s="130" t="n"/>
    </row>
    <row r="32" ht="15" customHeight="1" s="105">
      <c r="A32" s="193" t="inlineStr">
        <is>
          <t>■ Séance 2 — semaine S02 — — — [titre de la séance 2 — à compléter]</t>
        </is>
      </c>
    </row>
    <row r="33" ht="27.75" customHeight="1" s="105">
      <c r="A33" s="179" t="inlineStr">
        <is>
          <t>Question directrice</t>
        </is>
      </c>
      <c r="B33" s="192" t="inlineStr">
        <is>
          <t>[question directrice]</t>
        </is>
      </c>
      <c r="C33" s="130" t="n"/>
      <c r="D33" s="130" t="n"/>
      <c r="E33" s="130" t="n"/>
      <c r="F33" s="130" t="n"/>
    </row>
    <row r="34" ht="27.75" customHeight="1" s="105">
      <c r="A34" s="179" t="inlineStr">
        <is>
          <t>Activités &amp; supports</t>
        </is>
      </c>
      <c r="B34" s="192" t="inlineStr">
        <is>
          <t>[activités — repères Nathan : Prob. 3 p.23-30 (vie privée) · Point méthode 3 p.88 (arborescence) · Vers Pix D4 p.119-124]</t>
        </is>
      </c>
      <c r="C34" s="130" t="n"/>
      <c r="D34" s="130" t="n"/>
      <c r="E34" s="130" t="n"/>
      <c r="F34" s="130" t="n"/>
    </row>
    <row r="35" ht="27.75" customHeight="1" s="105">
      <c r="A35" s="179" t="inlineStr">
        <is>
          <t>Démarche / organisation</t>
        </is>
      </c>
      <c r="B35" s="192" t="inlineStr">
        <is>
          <t>[démarche]</t>
        </is>
      </c>
      <c r="C35" s="130" t="n"/>
      <c r="D35" s="130" t="n"/>
      <c r="E35" s="130" t="n"/>
      <c r="F35" s="130" t="n"/>
    </row>
    <row r="36" ht="27.75" customHeight="1" s="105">
      <c r="A36" s="179" t="inlineStr">
        <is>
          <t>Bilan / trace écrite</t>
        </is>
      </c>
      <c r="B36" s="192" t="inlineStr">
        <is>
          <t>[trace écrite]</t>
        </is>
      </c>
      <c r="C36" s="130" t="n"/>
      <c r="D36" s="130" t="n"/>
      <c r="E36" s="130" t="n"/>
      <c r="F36" s="130" t="n"/>
    </row>
    <row r="37" ht="39.75" customHeight="1" s="105">
      <c r="A37" s="194" t="inlineStr">
        <is>
          <t>📋 CAHIER DE TEXTE
Contenu de la séance
(copier-coller Pronote)</t>
        </is>
      </c>
      <c r="B37" s="195" t="inlineStr">
        <is>
          <t>[Cahier de texte — contenu de la séance 2 : à rédiger par IA Thème 1 — phrase(s) prêtes à coller dans Pronote.]</t>
        </is>
      </c>
      <c r="C37" s="130" t="n"/>
      <c r="D37" s="130" t="n"/>
      <c r="E37" s="130" t="n"/>
      <c r="F37" s="130" t="n"/>
    </row>
    <row r="38" ht="39.75" customHeight="1" s="105">
      <c r="A38" s="194" t="inlineStr">
        <is>
          <t>📋 CAHIER DE TEXTE
Travail à faire
(copier-coller Pronote)</t>
        </is>
      </c>
      <c r="B38" s="195" t="inlineStr">
        <is>
          <t>[Cahier de texte — travail à faire : à rédiger — indiquer le support (lien en ligne ou pages Nathan), la durée estimée, et « faisable sur téléphone » si c'est le cas.]</t>
        </is>
      </c>
      <c r="C38" s="130" t="n"/>
      <c r="D38" s="130" t="n"/>
      <c r="E38" s="130" t="n"/>
      <c r="F38" s="130" t="n"/>
    </row>
    <row r="39" ht="15" customHeight="1" s="105">
      <c r="A39" s="196" t="inlineStr">
        <is>
          <t>Suivi enseignant</t>
        </is>
      </c>
      <c r="B39" s="197" t="inlineStr">
        <is>
          <t>Fait le : ____________</t>
        </is>
      </c>
      <c r="C39" s="198" t="inlineStr">
        <is>
          <t xml:space="preserve">Report / aléa / remarques : </t>
        </is>
      </c>
      <c r="D39" s="130" t="n"/>
      <c r="E39" s="130" t="n"/>
      <c r="F39" s="130" t="n"/>
    </row>
    <row r="41" ht="15" customHeight="1" s="105">
      <c r="A41" s="193" t="inlineStr">
        <is>
          <t>■ Séance 3 — semaine S03 — — — [titre de la séance 3 — à compléter]</t>
        </is>
      </c>
    </row>
    <row r="42" ht="27.75" customHeight="1" s="105">
      <c r="A42" s="179" t="inlineStr">
        <is>
          <t>Question directrice</t>
        </is>
      </c>
      <c r="B42" s="192" t="inlineStr">
        <is>
          <t>[question directrice]</t>
        </is>
      </c>
      <c r="C42" s="130" t="n"/>
      <c r="D42" s="130" t="n"/>
      <c r="E42" s="130" t="n"/>
      <c r="F42" s="130" t="n"/>
    </row>
    <row r="43" ht="27.75" customHeight="1" s="105">
      <c r="A43" s="179" t="inlineStr">
        <is>
          <t>Activités &amp; supports</t>
        </is>
      </c>
      <c r="B43" s="192" t="inlineStr">
        <is>
          <t>[activités — repères Nathan : Prob. 3 p.23-30 (vie privée) · Point méthode 3 p.88 (arborescence) · Vers Pix D4 p.119-124]</t>
        </is>
      </c>
      <c r="C43" s="130" t="n"/>
      <c r="D43" s="130" t="n"/>
      <c r="E43" s="130" t="n"/>
      <c r="F43" s="130" t="n"/>
    </row>
    <row r="44" ht="27.75" customHeight="1" s="105">
      <c r="A44" s="179" t="inlineStr">
        <is>
          <t>Démarche / organisation</t>
        </is>
      </c>
      <c r="B44" s="192" t="inlineStr">
        <is>
          <t>[démarche]</t>
        </is>
      </c>
      <c r="C44" s="130" t="n"/>
      <c r="D44" s="130" t="n"/>
      <c r="E44" s="130" t="n"/>
      <c r="F44" s="130" t="n"/>
    </row>
    <row r="45" ht="27.75" customHeight="1" s="105">
      <c r="A45" s="179" t="inlineStr">
        <is>
          <t>Bilan / trace écrite</t>
        </is>
      </c>
      <c r="B45" s="192" t="inlineStr">
        <is>
          <t>[trace écrite]</t>
        </is>
      </c>
      <c r="C45" s="130" t="n"/>
      <c r="D45" s="130" t="n"/>
      <c r="E45" s="130" t="n"/>
      <c r="F45" s="130" t="n"/>
    </row>
    <row r="46" ht="39.75" customHeight="1" s="105">
      <c r="A46" s="194" t="inlineStr">
        <is>
          <t>📋 CAHIER DE TEXTE
Contenu de la séance
(copier-coller Pronote)</t>
        </is>
      </c>
      <c r="B46" s="195" t="inlineStr">
        <is>
          <t>[Cahier de texte — contenu de la séance 3 : à rédiger par IA Thème 1 — phrase(s) prêtes à coller dans Pronote.]</t>
        </is>
      </c>
      <c r="C46" s="130" t="n"/>
      <c r="D46" s="130" t="n"/>
      <c r="E46" s="130" t="n"/>
      <c r="F46" s="130" t="n"/>
    </row>
    <row r="47" ht="39.75" customHeight="1" s="105">
      <c r="A47" s="194" t="inlineStr">
        <is>
          <t>📋 CAHIER DE TEXTE
Travail à faire
(copier-coller Pronote)</t>
        </is>
      </c>
      <c r="B47" s="195" t="inlineStr">
        <is>
          <t>[Cahier de texte — travail à faire : à rédiger — indiquer le support (lien en ligne ou pages Nathan), la durée estimée, et « faisable sur téléphone » si c'est le cas.]</t>
        </is>
      </c>
      <c r="C47" s="130" t="n"/>
      <c r="D47" s="130" t="n"/>
      <c r="E47" s="130" t="n"/>
      <c r="F47" s="130" t="n"/>
    </row>
    <row r="48" ht="15" customHeight="1" s="105">
      <c r="A48" s="196" t="inlineStr">
        <is>
          <t>Suivi enseignant</t>
        </is>
      </c>
      <c r="B48" s="197" t="inlineStr">
        <is>
          <t>Fait le : ____________</t>
        </is>
      </c>
      <c r="C48" s="198" t="inlineStr">
        <is>
          <t xml:space="preserve">Report / aléa / remarques : </t>
        </is>
      </c>
      <c r="D48" s="130" t="n"/>
      <c r="E48" s="130" t="n"/>
      <c r="F48" s="130" t="n"/>
    </row>
  </sheetData>
  <mergeCells count="37">
    <mergeCell ref="B4:F4"/>
    <mergeCell ref="A41:F41"/>
    <mergeCell ref="C48:F48"/>
    <mergeCell ref="B7:F7"/>
    <mergeCell ref="C39:F39"/>
    <mergeCell ref="B47:F47"/>
    <mergeCell ref="B25:F25"/>
    <mergeCell ref="B46:F46"/>
    <mergeCell ref="B27:F27"/>
    <mergeCell ref="A2:F2"/>
    <mergeCell ref="B43:F43"/>
    <mergeCell ref="B12:F12"/>
    <mergeCell ref="B11:F11"/>
    <mergeCell ref="A23:F23"/>
    <mergeCell ref="A32:F32"/>
    <mergeCell ref="B42:F42"/>
    <mergeCell ref="C30:F30"/>
    <mergeCell ref="B14:F14"/>
    <mergeCell ref="B8:F8"/>
    <mergeCell ref="B13:F13"/>
    <mergeCell ref="B44:F44"/>
    <mergeCell ref="B29:F29"/>
    <mergeCell ref="B38:F38"/>
    <mergeCell ref="B34:F34"/>
    <mergeCell ref="B10:F10"/>
    <mergeCell ref="B28:F28"/>
    <mergeCell ref="B37:F37"/>
    <mergeCell ref="B9:F9"/>
    <mergeCell ref="B6:F6"/>
    <mergeCell ref="B24:F24"/>
    <mergeCell ref="B33:F33"/>
    <mergeCell ref="A1:F1"/>
    <mergeCell ref="B5:F5"/>
    <mergeCell ref="B45:F45"/>
    <mergeCell ref="B36:F36"/>
    <mergeCell ref="B26:F26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C55A11"/>
    <outlinePr summaryBelow="1" summaryRight="1"/>
    <pageSetUpPr fitToPage="1"/>
  </sheetPr>
  <dimension ref="A1:F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0" t="inlineStr">
        <is>
          <t>GÉNÉRATEUR DE SÉQUENCE 2024 — S2 · Comparer pour choisir : quel objet répond le mieux au besoin ?</t>
        </is>
      </c>
    </row>
    <row r="2" ht="15" customHeight="1" s="105">
      <c r="A2" s="131" t="inlineStr">
        <is>
          <t>Thème 1 · P1 · 4 séances de 1 h 30 · Responsable : IA Thème 1 · CANEVAS À REMPLIR par IA Thème 1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79" t="inlineStr">
        <is>
          <t>Problématique</t>
        </is>
      </c>
      <c r="B4" s="192" t="inlineStr">
        <is>
          <t>Comment choisir le meilleur objet technique parmi plusieurs ?</t>
        </is>
      </c>
      <c r="C4" s="130" t="n"/>
      <c r="D4" s="130" t="n"/>
      <c r="E4" s="130" t="n"/>
      <c r="F4" s="130" t="n"/>
    </row>
    <row r="5" ht="27.75" customHeight="1" s="105">
      <c r="A5" s="179" t="inlineStr">
        <is>
          <t>Situation déclenchante</t>
        </is>
      </c>
      <c r="B5" s="192" t="inlineStr">
        <is>
          <t>⚠ À compléter par IA Thème 1 (canevas pré-rempli par Fable — codes, problématique et repères Nathan posés).</t>
        </is>
      </c>
      <c r="C5" s="130" t="n"/>
      <c r="D5" s="130" t="n"/>
      <c r="E5" s="130" t="n"/>
      <c r="F5" s="130" t="n"/>
    </row>
    <row r="6" ht="27.75" customHeight="1" s="105">
      <c r="A6" s="179" t="inlineStr">
        <is>
          <t>Prérequis</t>
        </is>
      </c>
      <c r="B6" s="192" t="inlineStr">
        <is>
          <t>—</t>
        </is>
      </c>
      <c r="C6" s="130" t="n"/>
      <c r="D6" s="130" t="n"/>
      <c r="E6" s="130" t="n"/>
      <c r="F6" s="130" t="n"/>
    </row>
    <row r="7" ht="27.75" customHeight="1" s="105">
      <c r="A7" s="179" t="inlineStr">
        <is>
          <t>Éléments pour la synthèse (objectifs)</t>
        </is>
      </c>
      <c r="B7" s="192" t="inlineStr">
        <is>
          <t>⚠ À compléter par IA Thème 1 (canevas pré-rempli par Fable — codes, problématique et repères Nathan posés).</t>
        </is>
      </c>
      <c r="C7" s="130" t="n"/>
      <c r="D7" s="130" t="n"/>
      <c r="E7" s="130" t="n"/>
      <c r="F7" s="130" t="n"/>
    </row>
    <row r="8" ht="27.75" customHeight="1" s="105">
      <c r="A8" s="179" t="inlineStr">
        <is>
          <t>Piste d'évaluation</t>
        </is>
      </c>
      <c r="B8" s="192" t="inlineStr">
        <is>
          <t>Tableau comparatif argumenté (objets du quotidien)</t>
        </is>
      </c>
      <c r="C8" s="130" t="n"/>
      <c r="D8" s="130" t="n"/>
      <c r="E8" s="130" t="n"/>
      <c r="F8" s="130" t="n"/>
    </row>
    <row r="9" ht="27.75" customHeight="1" s="105">
      <c r="A9" s="179" t="inlineStr">
        <is>
          <t>Domaines du socle mobilisés</t>
        </is>
      </c>
      <c r="B9" s="192" t="inlineStr">
        <is>
          <t>D2, D3,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79" t="inlineStr">
        <is>
          <t>CRCN — compétences numériques (Pix)</t>
        </is>
      </c>
      <c r="B10" s="192" t="inlineStr">
        <is>
          <t>1.1 Mener une recherche (Niv. 2) · 1.3 Traiter des données (Niv. 2 : tableau comparatif au tableur)</t>
        </is>
      </c>
      <c r="C10" s="130" t="n"/>
      <c r="D10" s="130" t="n"/>
      <c r="E10" s="130" t="n"/>
      <c r="F10" s="130" t="n"/>
    </row>
    <row r="11" ht="27.75" customHeight="1" s="105">
      <c r="A11" s="179" t="inlineStr">
        <is>
          <t>Versions 🅰 / 🅱 / 🅲</t>
        </is>
      </c>
      <c r="B11" s="192" t="inlineStr">
        <is>
          <t>⚠ À compléter par IA Thème 1 (canevas pré-rempli par Fable — codes, problématique et repères Nathan posés).</t>
        </is>
      </c>
      <c r="C11" s="130" t="n"/>
      <c r="D11" s="130" t="n"/>
      <c r="E11" s="130" t="n"/>
      <c r="F11" s="130" t="n"/>
    </row>
    <row r="12" ht="27.75" customHeight="1" s="105">
      <c r="A12" s="179" t="inlineStr">
        <is>
          <t>Liens EPI / parcours</t>
        </is>
      </c>
      <c r="B12" s="192" t="inlineStr">
        <is>
          <t>⚠ À compléter par IA Thème 1 (canevas pré-rempli par Fable — codes, problématique et repères Nathan posés).</t>
        </is>
      </c>
      <c r="C12" s="130" t="n"/>
      <c r="D12" s="130" t="n"/>
      <c r="E12" s="130" t="n"/>
      <c r="F12" s="130" t="n"/>
    </row>
    <row r="13" ht="27.75" customHeight="1" s="105">
      <c r="A13" s="179" t="inlineStr">
        <is>
          <t>Cahier Nathan 5e</t>
        </is>
      </c>
      <c r="B13" s="192" t="inlineStr">
        <is>
          <t>Prob. 1 p.7-14 (évolution des objets) · Prob. 2 p.15-22 (choisir le bon vélo électrique)</t>
        </is>
      </c>
      <c r="C13" s="130" t="n"/>
      <c r="D13" s="130" t="n"/>
      <c r="E13" s="130" t="n"/>
      <c r="F13" s="130" t="n"/>
    </row>
    <row r="14" ht="27.75" customHeight="1" s="105">
      <c r="A14" s="179" t="inlineStr">
        <is>
          <t>Ressources en ligne</t>
        </is>
      </c>
      <c r="B14" s="192" t="inlineStr">
        <is>
          <t>🔜 À produire (Thème 1)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5e_C1.1</t>
        </is>
      </c>
      <c r="B18" s="140" t="inlineStr">
        <is>
          <t>Collecter, trier et analyser des données.</t>
        </is>
      </c>
      <c r="C18" s="140" t="inlineStr">
        <is>
          <t>D2, D4</t>
        </is>
      </c>
      <c r="D18" s="140" t="inlineStr">
        <is>
          <t>—</t>
        </is>
      </c>
      <c r="E18" s="140" t="inlineStr">
        <is>
          <t>→ LSU</t>
        </is>
      </c>
    </row>
    <row r="19" ht="30" customHeight="1" s="105">
      <c r="A19" s="177" t="inlineStr">
        <is>
          <t>5e_C1.2</t>
        </is>
      </c>
      <c r="B19" s="140" t="inlineStr">
        <is>
          <t>Comparer des principes techniques pour une même fonction technique.</t>
        </is>
      </c>
      <c r="C19" s="140" t="inlineStr">
        <is>
          <t>D2, D4</t>
        </is>
      </c>
      <c r="D19" s="140" t="inlineStr">
        <is>
          <t>—</t>
        </is>
      </c>
      <c r="E19" s="140" t="inlineStr">
        <is>
          <t>→ LSU</t>
        </is>
      </c>
    </row>
    <row r="20" ht="30" customHeight="1" s="105">
      <c r="A20" s="177" t="inlineStr">
        <is>
          <t>5e_C1.3</t>
        </is>
      </c>
      <c r="B20" s="140" t="inlineStr">
        <is>
          <t>Décrire le rôle des systèmes d’information dans le partage d’information.</t>
        </is>
      </c>
      <c r="C20" s="140" t="inlineStr">
        <is>
          <t>D2, D5</t>
        </is>
      </c>
      <c r="D20" s="140" t="inlineStr">
        <is>
          <t>—</t>
        </is>
      </c>
      <c r="E20" s="140" t="inlineStr">
        <is>
          <t>→ LSU</t>
        </is>
      </c>
    </row>
    <row r="21" ht="30" customHeight="1" s="105">
      <c r="A21" s="177" t="inlineStr">
        <is>
          <t>5e_C3.1</t>
        </is>
      </c>
      <c r="B21" s="140" t="inlineStr">
        <is>
          <t>Repérer pour un OST les matériaux, les sources et les formes d’énergies, le traitement de l’information.</t>
        </is>
      </c>
      <c r="C21" s="140" t="inlineStr">
        <is>
          <t>D2, D4</t>
        </is>
      </c>
      <c r="D21" s="140" t="inlineStr">
        <is>
          <t>—</t>
        </is>
      </c>
      <c r="E21" s="140" t="inlineStr">
        <is>
          <t>→ LSU</t>
        </is>
      </c>
    </row>
    <row r="22" ht="30" customHeight="1" s="105">
      <c r="A22" s="177" t="inlineStr">
        <is>
          <t>5e_C3.3</t>
        </is>
      </c>
      <c r="B22" s="140" t="inlineStr">
        <is>
          <t>Choisir un OST parmi plusieurs propositions en vue de répondre à un besoin.</t>
        </is>
      </c>
      <c r="C22" s="140" t="inlineStr">
        <is>
          <t>D3, D4, D5</t>
        </is>
      </c>
      <c r="D22" s="140" t="inlineStr">
        <is>
          <t>—</t>
        </is>
      </c>
      <c r="E22" s="140" t="inlineStr">
        <is>
          <t>→ LSU</t>
        </is>
      </c>
    </row>
    <row r="24" ht="15" customHeight="1" s="105">
      <c r="A24" s="152" t="inlineStr">
        <is>
          <t>Déroulé, séance par séance — avec cahier de texte Pronote prêt à coller</t>
        </is>
      </c>
    </row>
    <row r="25" ht="15" customHeight="1" s="105">
      <c r="A25" s="193" t="inlineStr">
        <is>
          <t>■ Séance 1 — semaine S04 — — — [titre de la séance 1 — à compléter]</t>
        </is>
      </c>
    </row>
    <row r="26" ht="27.75" customHeight="1" s="105">
      <c r="A26" s="179" t="inlineStr">
        <is>
          <t>Question directrice</t>
        </is>
      </c>
      <c r="B26" s="192" t="inlineStr">
        <is>
          <t>[question directrice]</t>
        </is>
      </c>
      <c r="C26" s="130" t="n"/>
      <c r="D26" s="130" t="n"/>
      <c r="E26" s="130" t="n"/>
      <c r="F26" s="130" t="n"/>
    </row>
    <row r="27" ht="27.75" customHeight="1" s="105">
      <c r="A27" s="179" t="inlineStr">
        <is>
          <t>Activités &amp; supports</t>
        </is>
      </c>
      <c r="B27" s="192" t="inlineStr">
        <is>
          <t>[activités — repères Nathan : Prob. 1 p.7-14 (évolution des objets) · Prob. 2 p.15-22 (choisir le bon vélo électrique)]</t>
        </is>
      </c>
      <c r="C27" s="130" t="n"/>
      <c r="D27" s="130" t="n"/>
      <c r="E27" s="130" t="n"/>
      <c r="F27" s="130" t="n"/>
    </row>
    <row r="28" ht="27.75" customHeight="1" s="105">
      <c r="A28" s="179" t="inlineStr">
        <is>
          <t>Démarche / organisation</t>
        </is>
      </c>
      <c r="B28" s="192" t="inlineStr">
        <is>
          <t>[démarche]</t>
        </is>
      </c>
      <c r="C28" s="130" t="n"/>
      <c r="D28" s="130" t="n"/>
      <c r="E28" s="130" t="n"/>
      <c r="F28" s="130" t="n"/>
    </row>
    <row r="29" ht="27.75" customHeight="1" s="105">
      <c r="A29" s="179" t="inlineStr">
        <is>
          <t>Bilan / trace écrite</t>
        </is>
      </c>
      <c r="B29" s="192" t="inlineStr">
        <is>
          <t>[trace écrite]</t>
        </is>
      </c>
      <c r="C29" s="130" t="n"/>
      <c r="D29" s="130" t="n"/>
      <c r="E29" s="130" t="n"/>
      <c r="F29" s="130" t="n"/>
    </row>
    <row r="30" ht="39.75" customHeight="1" s="105">
      <c r="A30" s="194" t="inlineStr">
        <is>
          <t>📋 CAHIER DE TEXTE
Contenu de la séance
(copier-coller Pronote)</t>
        </is>
      </c>
      <c r="B30" s="195" t="inlineStr">
        <is>
          <t>[Cahier de texte — contenu de la séance 1 : à rédiger par IA Thème 1 — phrase(s) prêtes à coller dans Pronote.]</t>
        </is>
      </c>
      <c r="C30" s="130" t="n"/>
      <c r="D30" s="130" t="n"/>
      <c r="E30" s="130" t="n"/>
      <c r="F30" s="130" t="n"/>
    </row>
    <row r="31" ht="39.75" customHeight="1" s="105">
      <c r="A31" s="194" t="inlineStr">
        <is>
          <t>📋 CAHIER DE TEXTE
Travail à faire
(copier-coller Pronote)</t>
        </is>
      </c>
      <c r="B31" s="195" t="inlineStr">
        <is>
          <t>[Cahier de texte — travail à faire : à rédiger — indiquer le support (lien en ligne ou pages Nathan), la durée estimée, et « faisable sur téléphone » si c'est le cas.]</t>
        </is>
      </c>
      <c r="C31" s="130" t="n"/>
      <c r="D31" s="130" t="n"/>
      <c r="E31" s="130" t="n"/>
      <c r="F31" s="130" t="n"/>
    </row>
    <row r="32" ht="15" customHeight="1" s="105">
      <c r="A32" s="196" t="inlineStr">
        <is>
          <t>Suivi enseignant</t>
        </is>
      </c>
      <c r="B32" s="197" t="inlineStr">
        <is>
          <t>Fait le : ____________</t>
        </is>
      </c>
      <c r="C32" s="198" t="inlineStr">
        <is>
          <t xml:space="preserve">Report / aléa / remarques : </t>
        </is>
      </c>
      <c r="D32" s="130" t="n"/>
      <c r="E32" s="130" t="n"/>
      <c r="F32" s="130" t="n"/>
    </row>
    <row r="34" ht="15" customHeight="1" s="105">
      <c r="A34" s="193" t="inlineStr">
        <is>
          <t>■ Séance 2 — semaine S05 — — — [titre de la séance 2 — à compléter]</t>
        </is>
      </c>
    </row>
    <row r="35" ht="27.75" customHeight="1" s="105">
      <c r="A35" s="179" t="inlineStr">
        <is>
          <t>Question directrice</t>
        </is>
      </c>
      <c r="B35" s="192" t="inlineStr">
        <is>
          <t>[question directrice]</t>
        </is>
      </c>
      <c r="C35" s="130" t="n"/>
      <c r="D35" s="130" t="n"/>
      <c r="E35" s="130" t="n"/>
      <c r="F35" s="130" t="n"/>
    </row>
    <row r="36" ht="27.75" customHeight="1" s="105">
      <c r="A36" s="179" t="inlineStr">
        <is>
          <t>Activités &amp; supports</t>
        </is>
      </c>
      <c r="B36" s="192" t="inlineStr">
        <is>
          <t>[activités — repères Nathan : Prob. 1 p.7-14 (évolution des objets) · Prob. 2 p.15-22 (choisir le bon vélo électrique)]</t>
        </is>
      </c>
      <c r="C36" s="130" t="n"/>
      <c r="D36" s="130" t="n"/>
      <c r="E36" s="130" t="n"/>
      <c r="F36" s="130" t="n"/>
    </row>
    <row r="37" ht="27.75" customHeight="1" s="105">
      <c r="A37" s="179" t="inlineStr">
        <is>
          <t>Démarche / organisation</t>
        </is>
      </c>
      <c r="B37" s="192" t="inlineStr">
        <is>
          <t>[démarche]</t>
        </is>
      </c>
      <c r="C37" s="130" t="n"/>
      <c r="D37" s="130" t="n"/>
      <c r="E37" s="130" t="n"/>
      <c r="F37" s="130" t="n"/>
    </row>
    <row r="38" ht="27.75" customHeight="1" s="105">
      <c r="A38" s="179" t="inlineStr">
        <is>
          <t>Bilan / trace écrite</t>
        </is>
      </c>
      <c r="B38" s="192" t="inlineStr">
        <is>
          <t>[trace écrite]</t>
        </is>
      </c>
      <c r="C38" s="130" t="n"/>
      <c r="D38" s="130" t="n"/>
      <c r="E38" s="130" t="n"/>
      <c r="F38" s="130" t="n"/>
    </row>
    <row r="39" ht="39.75" customHeight="1" s="105">
      <c r="A39" s="194" t="inlineStr">
        <is>
          <t>📋 CAHIER DE TEXTE
Contenu de la séance
(copier-coller Pronote)</t>
        </is>
      </c>
      <c r="B39" s="195" t="inlineStr">
        <is>
          <t>[Cahier de texte — contenu de la séance 2 : à rédiger par IA Thème 1 — phrase(s) prêtes à coller dans Pronote.]</t>
        </is>
      </c>
      <c r="C39" s="130" t="n"/>
      <c r="D39" s="130" t="n"/>
      <c r="E39" s="130" t="n"/>
      <c r="F39" s="130" t="n"/>
    </row>
    <row r="40" ht="39.75" customHeight="1" s="105">
      <c r="A40" s="194" t="inlineStr">
        <is>
          <t>📋 CAHIER DE TEXTE
Travail à faire
(copier-coller Pronote)</t>
        </is>
      </c>
      <c r="B40" s="195" t="inlineStr">
        <is>
          <t>[Cahier de texte — travail à faire : à rédiger — indiquer le support (lien en ligne ou pages Nathan), la durée estimée, et « faisable sur téléphone » si c'est le cas.]</t>
        </is>
      </c>
      <c r="C40" s="130" t="n"/>
      <c r="D40" s="130" t="n"/>
      <c r="E40" s="130" t="n"/>
      <c r="F40" s="130" t="n"/>
    </row>
    <row r="41" ht="15" customHeight="1" s="105">
      <c r="A41" s="196" t="inlineStr">
        <is>
          <t>Suivi enseignant</t>
        </is>
      </c>
      <c r="B41" s="197" t="inlineStr">
        <is>
          <t>Fait le : ____________</t>
        </is>
      </c>
      <c r="C41" s="198" t="inlineStr">
        <is>
          <t xml:space="preserve">Report / aléa / remarques : </t>
        </is>
      </c>
      <c r="D41" s="130" t="n"/>
      <c r="E41" s="130" t="n"/>
      <c r="F41" s="130" t="n"/>
    </row>
    <row r="43" ht="15" customHeight="1" s="105">
      <c r="A43" s="193" t="inlineStr">
        <is>
          <t>■ Séance 3 — semaine S06 — — — [titre de la séance 3 — à compléter]</t>
        </is>
      </c>
    </row>
    <row r="44" ht="27.75" customHeight="1" s="105">
      <c r="A44" s="179" t="inlineStr">
        <is>
          <t>Question directrice</t>
        </is>
      </c>
      <c r="B44" s="192" t="inlineStr">
        <is>
          <t>[question directrice]</t>
        </is>
      </c>
      <c r="C44" s="130" t="n"/>
      <c r="D44" s="130" t="n"/>
      <c r="E44" s="130" t="n"/>
      <c r="F44" s="130" t="n"/>
    </row>
    <row r="45" ht="27.75" customHeight="1" s="105">
      <c r="A45" s="179" t="inlineStr">
        <is>
          <t>Activités &amp; supports</t>
        </is>
      </c>
      <c r="B45" s="192" t="inlineStr">
        <is>
          <t>[activités — repères Nathan : Prob. 1 p.7-14 (évolution des objets) · Prob. 2 p.15-22 (choisir le bon vélo électrique)]</t>
        </is>
      </c>
      <c r="C45" s="130" t="n"/>
      <c r="D45" s="130" t="n"/>
      <c r="E45" s="130" t="n"/>
      <c r="F45" s="130" t="n"/>
    </row>
    <row r="46" ht="27.75" customHeight="1" s="105">
      <c r="A46" s="179" t="inlineStr">
        <is>
          <t>Démarche / organisation</t>
        </is>
      </c>
      <c r="B46" s="192" t="inlineStr">
        <is>
          <t>[démarche]</t>
        </is>
      </c>
      <c r="C46" s="130" t="n"/>
      <c r="D46" s="130" t="n"/>
      <c r="E46" s="130" t="n"/>
      <c r="F46" s="130" t="n"/>
    </row>
    <row r="47" ht="27.75" customHeight="1" s="105">
      <c r="A47" s="179" t="inlineStr">
        <is>
          <t>Bilan / trace écrite</t>
        </is>
      </c>
      <c r="B47" s="192" t="inlineStr">
        <is>
          <t>[trace écrite]</t>
        </is>
      </c>
      <c r="C47" s="130" t="n"/>
      <c r="D47" s="130" t="n"/>
      <c r="E47" s="130" t="n"/>
      <c r="F47" s="130" t="n"/>
    </row>
    <row r="48" ht="39.75" customHeight="1" s="105">
      <c r="A48" s="194" t="inlineStr">
        <is>
          <t>📋 CAHIER DE TEXTE
Contenu de la séance
(copier-coller Pronote)</t>
        </is>
      </c>
      <c r="B48" s="195" t="inlineStr">
        <is>
          <t>[Cahier de texte — contenu de la séance 3 : à rédiger par IA Thème 1 — phrase(s) prêtes à coller dans Pronote.]</t>
        </is>
      </c>
      <c r="C48" s="130" t="n"/>
      <c r="D48" s="130" t="n"/>
      <c r="E48" s="130" t="n"/>
      <c r="F48" s="130" t="n"/>
    </row>
    <row r="49" ht="39.75" customHeight="1" s="105">
      <c r="A49" s="194" t="inlineStr">
        <is>
          <t>📋 CAHIER DE TEXTE
Travail à faire
(copier-coller Pronote)</t>
        </is>
      </c>
      <c r="B49" s="195" t="inlineStr">
        <is>
          <t>[Cahier de texte — travail à faire : à rédiger — indiquer le support (lien en ligne ou pages Nathan), la durée estimée, et « faisable sur téléphone » si c'est le cas.]</t>
        </is>
      </c>
      <c r="C49" s="130" t="n"/>
      <c r="D49" s="130" t="n"/>
      <c r="E49" s="130" t="n"/>
      <c r="F49" s="130" t="n"/>
    </row>
    <row r="50" ht="15" customHeight="1" s="105">
      <c r="A50" s="196" t="inlineStr">
        <is>
          <t>Suivi enseignant</t>
        </is>
      </c>
      <c r="B50" s="197" t="inlineStr">
        <is>
          <t>Fait le : ____________</t>
        </is>
      </c>
      <c r="C50" s="198" t="inlineStr">
        <is>
          <t xml:space="preserve">Report / aléa / remarques : </t>
        </is>
      </c>
      <c r="D50" s="130" t="n"/>
      <c r="E50" s="130" t="n"/>
      <c r="F50" s="130" t="n"/>
    </row>
    <row r="52" ht="15" customHeight="1" s="105">
      <c r="A52" s="193" t="inlineStr">
        <is>
          <t>■ Séance 4 — semaine S07 — — — [titre de la séance 4 — à compléter]</t>
        </is>
      </c>
    </row>
    <row r="53" ht="27.75" customHeight="1" s="105">
      <c r="A53" s="179" t="inlineStr">
        <is>
          <t>Question directrice</t>
        </is>
      </c>
      <c r="B53" s="192" t="inlineStr">
        <is>
          <t>[question directrice]</t>
        </is>
      </c>
      <c r="C53" s="130" t="n"/>
      <c r="D53" s="130" t="n"/>
      <c r="E53" s="130" t="n"/>
      <c r="F53" s="130" t="n"/>
    </row>
    <row r="54" ht="27.75" customHeight="1" s="105">
      <c r="A54" s="179" t="inlineStr">
        <is>
          <t>Activités &amp; supports</t>
        </is>
      </c>
      <c r="B54" s="192" t="inlineStr">
        <is>
          <t>[activités — repères Nathan : Prob. 1 p.7-14 (évolution des objets) · Prob. 2 p.15-22 (choisir le bon vélo électrique)]</t>
        </is>
      </c>
      <c r="C54" s="130" t="n"/>
      <c r="D54" s="130" t="n"/>
      <c r="E54" s="130" t="n"/>
      <c r="F54" s="130" t="n"/>
    </row>
    <row r="55" ht="27.75" customHeight="1" s="105">
      <c r="A55" s="179" t="inlineStr">
        <is>
          <t>Démarche / organisation</t>
        </is>
      </c>
      <c r="B55" s="192" t="inlineStr">
        <is>
          <t>[démarche]</t>
        </is>
      </c>
      <c r="C55" s="130" t="n"/>
      <c r="D55" s="130" t="n"/>
      <c r="E55" s="130" t="n"/>
      <c r="F55" s="130" t="n"/>
    </row>
    <row r="56" ht="27.75" customHeight="1" s="105">
      <c r="A56" s="179" t="inlineStr">
        <is>
          <t>Bilan / trace écrite</t>
        </is>
      </c>
      <c r="B56" s="192" t="inlineStr">
        <is>
          <t>[trace écrite]</t>
        </is>
      </c>
      <c r="C56" s="130" t="n"/>
      <c r="D56" s="130" t="n"/>
      <c r="E56" s="130" t="n"/>
      <c r="F56" s="130" t="n"/>
    </row>
    <row r="57" ht="39.75" customHeight="1" s="105">
      <c r="A57" s="194" t="inlineStr">
        <is>
          <t>📋 CAHIER DE TEXTE
Contenu de la séance
(copier-coller Pronote)</t>
        </is>
      </c>
      <c r="B57" s="195" t="inlineStr">
        <is>
          <t>[Cahier de texte — contenu de la séance 4 : à rédiger par IA Thème 1 — phrase(s) prêtes à coller dans Pronote.]</t>
        </is>
      </c>
      <c r="C57" s="130" t="n"/>
      <c r="D57" s="130" t="n"/>
      <c r="E57" s="130" t="n"/>
      <c r="F57" s="130" t="n"/>
    </row>
    <row r="58" ht="39.75" customHeight="1" s="105">
      <c r="A58" s="194" t="inlineStr">
        <is>
          <t>📋 CAHIER DE TEXTE
Travail à faire
(copier-coller Pronote)</t>
        </is>
      </c>
      <c r="B58" s="195" t="inlineStr">
        <is>
          <t>[Cahier de texte — travail à faire : à rédiger — indiquer le support (lien en ligne ou pages Nathan), la durée estimée, et « faisable sur téléphone » si c'est le cas.]</t>
        </is>
      </c>
      <c r="C58" s="130" t="n"/>
      <c r="D58" s="130" t="n"/>
      <c r="E58" s="130" t="n"/>
      <c r="F58" s="130" t="n"/>
    </row>
    <row r="59" ht="15" customHeight="1" s="105">
      <c r="A59" s="196" t="inlineStr">
        <is>
          <t>Suivi enseignant</t>
        </is>
      </c>
      <c r="B59" s="197" t="inlineStr">
        <is>
          <t>Fait le : ____________</t>
        </is>
      </c>
      <c r="C59" s="198" t="inlineStr">
        <is>
          <t xml:space="preserve">Report / aléa / remarques : </t>
        </is>
      </c>
      <c r="D59" s="130" t="n"/>
      <c r="E59" s="130" t="n"/>
      <c r="F59" s="130" t="n"/>
    </row>
  </sheetData>
  <mergeCells count="45">
    <mergeCell ref="B4:F4"/>
    <mergeCell ref="B7:F7"/>
    <mergeCell ref="B47:F47"/>
    <mergeCell ref="B54:F54"/>
    <mergeCell ref="B31:F31"/>
    <mergeCell ref="B46:F46"/>
    <mergeCell ref="C32:F32"/>
    <mergeCell ref="B56:F56"/>
    <mergeCell ref="B58:F58"/>
    <mergeCell ref="B27:F27"/>
    <mergeCell ref="A2:F2"/>
    <mergeCell ref="B12:F12"/>
    <mergeCell ref="B39:F39"/>
    <mergeCell ref="B48:F48"/>
    <mergeCell ref="B11:F11"/>
    <mergeCell ref="B14:F14"/>
    <mergeCell ref="B8:F8"/>
    <mergeCell ref="B57:F57"/>
    <mergeCell ref="B13:F13"/>
    <mergeCell ref="A43:F43"/>
    <mergeCell ref="B44:F44"/>
    <mergeCell ref="B53:F53"/>
    <mergeCell ref="B29:F29"/>
    <mergeCell ref="A52:F52"/>
    <mergeCell ref="B38:F38"/>
    <mergeCell ref="B10:F10"/>
    <mergeCell ref="B28:F28"/>
    <mergeCell ref="B37:F37"/>
    <mergeCell ref="A34:F34"/>
    <mergeCell ref="C41:F41"/>
    <mergeCell ref="B40:F40"/>
    <mergeCell ref="B9:F9"/>
    <mergeCell ref="C50:F50"/>
    <mergeCell ref="B49:F49"/>
    <mergeCell ref="B30:F30"/>
    <mergeCell ref="B55:F55"/>
    <mergeCell ref="B6:F6"/>
    <mergeCell ref="A1:F1"/>
    <mergeCell ref="B5:F5"/>
    <mergeCell ref="C59:F59"/>
    <mergeCell ref="B45:F45"/>
    <mergeCell ref="B36:F36"/>
    <mergeCell ref="B26:F26"/>
    <mergeCell ref="A25:F25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C55A11"/>
    <outlinePr summaryBelow="1" summaryRight="1"/>
    <pageSetUpPr fitToPage="1"/>
  </sheetPr>
  <dimension ref="A1:F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0" t="inlineStr">
        <is>
          <t>GÉNÉRATEUR DE SÉQUENCE 2024 — S3 · La chaîne d'énergie : comment un objet transforme-t-il l'énergie ?</t>
        </is>
      </c>
    </row>
    <row r="2" ht="15" customHeight="1" s="105">
      <c r="A2" s="131" t="inlineStr">
        <is>
          <t>Thème 1 · P2 · 4 séances de 1 h 30 · Responsable : IA Th.1 + Fable · CANEVAS À REMPLIR par IA Th.1 + Fable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79" t="inlineStr">
        <is>
          <t>Problématique</t>
        </is>
      </c>
      <c r="B4" s="192" t="inlineStr">
        <is>
          <t>Comment l'énergie circule-t-elle dans un objet technique ?</t>
        </is>
      </c>
      <c r="C4" s="130" t="n"/>
      <c r="D4" s="130" t="n"/>
      <c r="E4" s="130" t="n"/>
      <c r="F4" s="130" t="n"/>
    </row>
    <row r="5" ht="27.75" customHeight="1" s="105">
      <c r="A5" s="179" t="inlineStr">
        <is>
          <t>Situation déclenchante</t>
        </is>
      </c>
      <c r="B5" s="192" t="inlineStr">
        <is>
          <t>⚠ À compléter par IA Th.1 + Fable (canevas pré-rempli par Fable — codes, problématique et repères Nathan posés).</t>
        </is>
      </c>
      <c r="C5" s="130" t="n"/>
      <c r="D5" s="130" t="n"/>
      <c r="E5" s="130" t="n"/>
      <c r="F5" s="130" t="n"/>
    </row>
    <row r="6" ht="27.75" customHeight="1" s="105">
      <c r="A6" s="179" t="inlineStr">
        <is>
          <t>Prérequis</t>
        </is>
      </c>
      <c r="B6" s="192" t="inlineStr">
        <is>
          <t>—</t>
        </is>
      </c>
      <c r="C6" s="130" t="n"/>
      <c r="D6" s="130" t="n"/>
      <c r="E6" s="130" t="n"/>
      <c r="F6" s="130" t="n"/>
    </row>
    <row r="7" ht="27.75" customHeight="1" s="105">
      <c r="A7" s="179" t="inlineStr">
        <is>
          <t>Éléments pour la synthèse (objectifs)</t>
        </is>
      </c>
      <c r="B7" s="192" t="inlineStr">
        <is>
          <t>⚠ À compléter par IA Th.1 + Fable (canevas pré-rempli par Fable — codes, problématique et repères Nathan posés).</t>
        </is>
      </c>
      <c r="C7" s="130" t="n"/>
      <c r="D7" s="130" t="n"/>
      <c r="E7" s="130" t="n"/>
      <c r="F7" s="130" t="n"/>
    </row>
    <row r="8" ht="27.75" customHeight="1" s="105">
      <c r="A8" s="179" t="inlineStr">
        <is>
          <t>Piste d'évaluation</t>
        </is>
      </c>
      <c r="B8" s="192" t="inlineStr">
        <is>
          <t>Schéma-bloc de la chaîne d'énergie complété</t>
        </is>
      </c>
      <c r="C8" s="130" t="n"/>
      <c r="D8" s="130" t="n"/>
      <c r="E8" s="130" t="n"/>
      <c r="F8" s="130" t="n"/>
    </row>
    <row r="9" ht="27.75" customHeight="1" s="105">
      <c r="A9" s="179" t="inlineStr">
        <is>
          <t>Domaines du socle mobilisés</t>
        </is>
      </c>
      <c r="B9" s="192" t="inlineStr">
        <is>
          <t>D1.3, D2,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79" t="inlineStr">
        <is>
          <t>CRCN — compétences numériques (Pix)</t>
        </is>
      </c>
      <c r="B10" s="192" t="inlineStr">
        <is>
          <t>1.3 Traiter des données (Niv. 1 : relevés de mesures au tableur) — séquence surtout manipulatoire</t>
        </is>
      </c>
      <c r="C10" s="130" t="n"/>
      <c r="D10" s="130" t="n"/>
      <c r="E10" s="130" t="n"/>
      <c r="F10" s="130" t="n"/>
    </row>
    <row r="11" ht="27.75" customHeight="1" s="105">
      <c r="A11" s="179" t="inlineStr">
        <is>
          <t>Versions 🅰 / 🅱 / 🅲</t>
        </is>
      </c>
      <c r="B11" s="192" t="inlineStr">
        <is>
          <t>⚠ À compléter par IA Th.1 + Fable (canevas pré-rempli par Fable — codes, problématique et repères Nathan posés).</t>
        </is>
      </c>
      <c r="C11" s="130" t="n"/>
      <c r="D11" s="130" t="n"/>
      <c r="E11" s="130" t="n"/>
      <c r="F11" s="130" t="n"/>
    </row>
    <row r="12" ht="27.75" customHeight="1" s="105">
      <c r="A12" s="179" t="inlineStr">
        <is>
          <t>Liens EPI / parcours</t>
        </is>
      </c>
      <c r="B12" s="192" t="inlineStr">
        <is>
          <t>⚠ À compléter par IA Th.1 + Fable (canevas pré-rempli par Fable — codes, problématique et repères Nathan posés).</t>
        </is>
      </c>
      <c r="C12" s="130" t="n"/>
      <c r="D12" s="130" t="n"/>
      <c r="E12" s="130" t="n"/>
      <c r="F12" s="130" t="n"/>
    </row>
    <row r="13" ht="27.75" customHeight="1" s="105">
      <c r="A13" s="179" t="inlineStr">
        <is>
          <t>Cahier Nathan 5e</t>
        </is>
      </c>
      <c r="B13" s="192" t="inlineStr">
        <is>
          <t>Prob. 6 p.45-50 (l'énergie dans un TGV) · Point méthode 6 p.91 (chaîne d'énergie)</t>
        </is>
      </c>
      <c r="C13" s="130" t="n"/>
      <c r="D13" s="130" t="n"/>
      <c r="E13" s="130" t="n"/>
      <c r="F13" s="130" t="n"/>
    </row>
    <row r="14" ht="27.75" customHeight="1" s="105">
      <c r="A14" s="179" t="inlineStr">
        <is>
          <t>Ressources en ligne</t>
        </is>
      </c>
      <c r="B14" s="192" t="inlineStr">
        <is>
          <t>✅ Partiel : « Lampadaire intelligent » séances 1-2 (C4.1-C4.3) · 🔜 C2.1-C2.2 (Thème 1)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5e_C2.1</t>
        </is>
      </c>
      <c r="B18" s="140" t="inlineStr">
        <is>
          <t>Faire la liste des interacteurs extérieurs d’un OST.</t>
        </is>
      </c>
      <c r="C18" s="140" t="inlineStr">
        <is>
          <t>D4</t>
        </is>
      </c>
      <c r="D18" s="140" t="inlineStr">
        <is>
          <t>—</t>
        </is>
      </c>
      <c r="E18" s="140" t="inlineStr">
        <is>
          <t>→ LSU</t>
        </is>
      </c>
    </row>
    <row r="19" ht="30" customHeight="1" s="105">
      <c r="A19" s="177" t="inlineStr">
        <is>
          <t>5e_C2.2</t>
        </is>
      </c>
      <c r="B19" s="140" t="inlineStr">
        <is>
          <t>Repérer et expliquer les choix de conception dans les domaines de l’ergonomie et de la sécurité ou en lien avec des objectifs de développement durable.</t>
        </is>
      </c>
      <c r="C19" s="140" t="inlineStr">
        <is>
          <t>D4, D5</t>
        </is>
      </c>
      <c r="D19" s="140" t="inlineStr">
        <is>
          <t>—</t>
        </is>
      </c>
      <c r="E19" s="140" t="inlineStr">
        <is>
          <t>→ LSU</t>
        </is>
      </c>
    </row>
    <row r="20" ht="30" customHeight="1" s="105">
      <c r="A20" s="177" t="inlineStr">
        <is>
          <t>5e_C4.1</t>
        </is>
      </c>
      <c r="B20" s="140" t="inlineStr">
        <is>
          <t>Associer des solutions techniques à une ou des fonctions techniques.</t>
        </is>
      </c>
      <c r="C20" s="140" t="inlineStr">
        <is>
          <t>D2, D4, D5</t>
        </is>
      </c>
      <c r="D20" s="140" t="inlineStr">
        <is>
          <t>séances 1-2 lampadaire ✅</t>
        </is>
      </c>
      <c r="E20" s="140" t="inlineStr">
        <is>
          <t>QCM ciblé → LSU</t>
        </is>
      </c>
    </row>
    <row r="21" ht="30" customHeight="1" s="105">
      <c r="A21" s="177" t="inlineStr">
        <is>
          <t>5e_C4.2</t>
        </is>
      </c>
      <c r="B21" s="140" t="inlineStr">
        <is>
          <t>Identifier des constituants de la chaîne d’énergie d’un objet technique (l’organisation de la chaîne d’énergie étant fournie).</t>
        </is>
      </c>
      <c r="C21" s="140" t="inlineStr">
        <is>
          <t>D1.3, D2, D4</t>
        </is>
      </c>
      <c r="D21" s="140" t="inlineStr">
        <is>
          <t>séances 1-2 lampadaire ✅</t>
        </is>
      </c>
      <c r="E21" s="140" t="inlineStr">
        <is>
          <t>QCM ciblé → LSU</t>
        </is>
      </c>
    </row>
    <row r="22" ht="30" customHeight="1" s="105">
      <c r="A22" s="177" t="inlineStr">
        <is>
          <t>5e_C4.3</t>
        </is>
      </c>
      <c r="B22" s="140" t="inlineStr">
        <is>
          <t>Indiquer la nature des énergies en entrée et en sortie des constituants de la chaîne d’énergie.</t>
        </is>
      </c>
      <c r="C22" s="140" t="inlineStr">
        <is>
          <t>D1.3, D4</t>
        </is>
      </c>
      <c r="D22" s="140" t="inlineStr">
        <is>
          <t>séances 1-2 lampadaire ✅</t>
        </is>
      </c>
      <c r="E22" s="140" t="inlineStr">
        <is>
          <t>QCM ciblé → LSU</t>
        </is>
      </c>
    </row>
    <row r="24" ht="15" customHeight="1" s="105">
      <c r="A24" s="152" t="inlineStr">
        <is>
          <t>Déroulé, séance par séance — avec cahier de texte Pronote prêt à coller</t>
        </is>
      </c>
    </row>
    <row r="25" ht="15" customHeight="1" s="105">
      <c r="A25" s="193" t="inlineStr">
        <is>
          <t>■ Séance 1 — semaine S09 — — — [titre de la séance 1 — à compléter]</t>
        </is>
      </c>
    </row>
    <row r="26" ht="27.75" customHeight="1" s="105">
      <c r="A26" s="179" t="inlineStr">
        <is>
          <t>Question directrice</t>
        </is>
      </c>
      <c r="B26" s="192" t="inlineStr">
        <is>
          <t>[question directrice]</t>
        </is>
      </c>
      <c r="C26" s="130" t="n"/>
      <c r="D26" s="130" t="n"/>
      <c r="E26" s="130" t="n"/>
      <c r="F26" s="130" t="n"/>
    </row>
    <row r="27" ht="27.75" customHeight="1" s="105">
      <c r="A27" s="179" t="inlineStr">
        <is>
          <t>Activités &amp; supports</t>
        </is>
      </c>
      <c r="B27" s="192" t="inlineStr">
        <is>
          <t>[activités — repères Nathan : Prob. 6 p.45-50 (l'énergie dans un TGV) · Point méthode 6 p.91 (chaîne d'énergie)]</t>
        </is>
      </c>
      <c r="C27" s="130" t="n"/>
      <c r="D27" s="130" t="n"/>
      <c r="E27" s="130" t="n"/>
      <c r="F27" s="130" t="n"/>
    </row>
    <row r="28" ht="27.75" customHeight="1" s="105">
      <c r="A28" s="179" t="inlineStr">
        <is>
          <t>Démarche / organisation</t>
        </is>
      </c>
      <c r="B28" s="192" t="inlineStr">
        <is>
          <t>[démarche]</t>
        </is>
      </c>
      <c r="C28" s="130" t="n"/>
      <c r="D28" s="130" t="n"/>
      <c r="E28" s="130" t="n"/>
      <c r="F28" s="130" t="n"/>
    </row>
    <row r="29" ht="27.75" customHeight="1" s="105">
      <c r="A29" s="179" t="inlineStr">
        <is>
          <t>Bilan / trace écrite</t>
        </is>
      </c>
      <c r="B29" s="192" t="inlineStr">
        <is>
          <t>[trace écrite]</t>
        </is>
      </c>
      <c r="C29" s="130" t="n"/>
      <c r="D29" s="130" t="n"/>
      <c r="E29" s="130" t="n"/>
      <c r="F29" s="130" t="n"/>
    </row>
    <row r="30" ht="39.75" customHeight="1" s="105">
      <c r="A30" s="194" t="inlineStr">
        <is>
          <t>📋 CAHIER DE TEXTE
Contenu de la séance
(copier-coller Pronote)</t>
        </is>
      </c>
      <c r="B30" s="195" t="inlineStr">
        <is>
          <t>[Cahier de texte — contenu de la séance 1 : à rédiger par IA Th.1 + Fable — phrase(s) prêtes à coller dans Pronote.]</t>
        </is>
      </c>
      <c r="C30" s="130" t="n"/>
      <c r="D30" s="130" t="n"/>
      <c r="E30" s="130" t="n"/>
      <c r="F30" s="130" t="n"/>
    </row>
    <row r="31" ht="39.75" customHeight="1" s="105">
      <c r="A31" s="194" t="inlineStr">
        <is>
          <t>📋 CAHIER DE TEXTE
Travail à faire
(copier-coller Pronote)</t>
        </is>
      </c>
      <c r="B31" s="195" t="inlineStr">
        <is>
          <t>[Cahier de texte — travail à faire : à rédiger — indiquer le support (lien en ligne ou pages Nathan), la durée estimée, et « faisable sur téléphone » si c'est le cas.]</t>
        </is>
      </c>
      <c r="C31" s="130" t="n"/>
      <c r="D31" s="130" t="n"/>
      <c r="E31" s="130" t="n"/>
      <c r="F31" s="130" t="n"/>
    </row>
    <row r="32" ht="15" customHeight="1" s="105">
      <c r="A32" s="196" t="inlineStr">
        <is>
          <t>Suivi enseignant</t>
        </is>
      </c>
      <c r="B32" s="197" t="inlineStr">
        <is>
          <t>Fait le : ____________</t>
        </is>
      </c>
      <c r="C32" s="198" t="inlineStr">
        <is>
          <t xml:space="preserve">Report / aléa / remarques : </t>
        </is>
      </c>
      <c r="D32" s="130" t="n"/>
      <c r="E32" s="130" t="n"/>
      <c r="F32" s="130" t="n"/>
    </row>
    <row r="34" ht="15" customHeight="1" s="105">
      <c r="A34" s="193" t="inlineStr">
        <is>
          <t>■ Séance 2 — semaine S10 — — — [titre de la séance 2 — à compléter]</t>
        </is>
      </c>
    </row>
    <row r="35" ht="27.75" customHeight="1" s="105">
      <c r="A35" s="179" t="inlineStr">
        <is>
          <t>Question directrice</t>
        </is>
      </c>
      <c r="B35" s="192" t="inlineStr">
        <is>
          <t>[question directrice]</t>
        </is>
      </c>
      <c r="C35" s="130" t="n"/>
      <c r="D35" s="130" t="n"/>
      <c r="E35" s="130" t="n"/>
      <c r="F35" s="130" t="n"/>
    </row>
    <row r="36" ht="27.75" customHeight="1" s="105">
      <c r="A36" s="179" t="inlineStr">
        <is>
          <t>Activités &amp; supports</t>
        </is>
      </c>
      <c r="B36" s="192" t="inlineStr">
        <is>
          <t>[activités — repères Nathan : Prob. 6 p.45-50 (l'énergie dans un TGV) · Point méthode 6 p.91 (chaîne d'énergie)]</t>
        </is>
      </c>
      <c r="C36" s="130" t="n"/>
      <c r="D36" s="130" t="n"/>
      <c r="E36" s="130" t="n"/>
      <c r="F36" s="130" t="n"/>
    </row>
    <row r="37" ht="27.75" customHeight="1" s="105">
      <c r="A37" s="179" t="inlineStr">
        <is>
          <t>Démarche / organisation</t>
        </is>
      </c>
      <c r="B37" s="192" t="inlineStr">
        <is>
          <t>[démarche]</t>
        </is>
      </c>
      <c r="C37" s="130" t="n"/>
      <c r="D37" s="130" t="n"/>
      <c r="E37" s="130" t="n"/>
      <c r="F37" s="130" t="n"/>
    </row>
    <row r="38" ht="27.75" customHeight="1" s="105">
      <c r="A38" s="179" t="inlineStr">
        <is>
          <t>Bilan / trace écrite</t>
        </is>
      </c>
      <c r="B38" s="192" t="inlineStr">
        <is>
          <t>[trace écrite]</t>
        </is>
      </c>
      <c r="C38" s="130" t="n"/>
      <c r="D38" s="130" t="n"/>
      <c r="E38" s="130" t="n"/>
      <c r="F38" s="130" t="n"/>
    </row>
    <row r="39" ht="39.75" customHeight="1" s="105">
      <c r="A39" s="194" t="inlineStr">
        <is>
          <t>📋 CAHIER DE TEXTE
Contenu de la séance
(copier-coller Pronote)</t>
        </is>
      </c>
      <c r="B39" s="195" t="inlineStr">
        <is>
          <t>[Cahier de texte — contenu de la séance 2 : à rédiger par IA Th.1 + Fable — phrase(s) prêtes à coller dans Pronote.]</t>
        </is>
      </c>
      <c r="C39" s="130" t="n"/>
      <c r="D39" s="130" t="n"/>
      <c r="E39" s="130" t="n"/>
      <c r="F39" s="130" t="n"/>
    </row>
    <row r="40" ht="39.75" customHeight="1" s="105">
      <c r="A40" s="194" t="inlineStr">
        <is>
          <t>📋 CAHIER DE TEXTE
Travail à faire
(copier-coller Pronote)</t>
        </is>
      </c>
      <c r="B40" s="195" t="inlineStr">
        <is>
          <t>[Cahier de texte — travail à faire : à rédiger — indiquer le support (lien en ligne ou pages Nathan), la durée estimée, et « faisable sur téléphone » si c'est le cas.]</t>
        </is>
      </c>
      <c r="C40" s="130" t="n"/>
      <c r="D40" s="130" t="n"/>
      <c r="E40" s="130" t="n"/>
      <c r="F40" s="130" t="n"/>
    </row>
    <row r="41" ht="15" customHeight="1" s="105">
      <c r="A41" s="196" t="inlineStr">
        <is>
          <t>Suivi enseignant</t>
        </is>
      </c>
      <c r="B41" s="197" t="inlineStr">
        <is>
          <t>Fait le : ____________</t>
        </is>
      </c>
      <c r="C41" s="198" t="inlineStr">
        <is>
          <t xml:space="preserve">Report / aléa / remarques : </t>
        </is>
      </c>
      <c r="D41" s="130" t="n"/>
      <c r="E41" s="130" t="n"/>
      <c r="F41" s="130" t="n"/>
    </row>
    <row r="43" ht="15" customHeight="1" s="105">
      <c r="A43" s="193" t="inlineStr">
        <is>
          <t>■ Séance 3 — semaine S11 — — — [titre de la séance 3 — à compléter]</t>
        </is>
      </c>
    </row>
    <row r="44" ht="27.75" customHeight="1" s="105">
      <c r="A44" s="179" t="inlineStr">
        <is>
          <t>Question directrice</t>
        </is>
      </c>
      <c r="B44" s="192" t="inlineStr">
        <is>
          <t>[question directrice]</t>
        </is>
      </c>
      <c r="C44" s="130" t="n"/>
      <c r="D44" s="130" t="n"/>
      <c r="E44" s="130" t="n"/>
      <c r="F44" s="130" t="n"/>
    </row>
    <row r="45" ht="27.75" customHeight="1" s="105">
      <c r="A45" s="179" t="inlineStr">
        <is>
          <t>Activités &amp; supports</t>
        </is>
      </c>
      <c r="B45" s="192" t="inlineStr">
        <is>
          <t>[activités — repères Nathan : Prob. 6 p.45-50 (l'énergie dans un TGV) · Point méthode 6 p.91 (chaîne d'énergie)]</t>
        </is>
      </c>
      <c r="C45" s="130" t="n"/>
      <c r="D45" s="130" t="n"/>
      <c r="E45" s="130" t="n"/>
      <c r="F45" s="130" t="n"/>
    </row>
    <row r="46" ht="27.75" customHeight="1" s="105">
      <c r="A46" s="179" t="inlineStr">
        <is>
          <t>Démarche / organisation</t>
        </is>
      </c>
      <c r="B46" s="192" t="inlineStr">
        <is>
          <t>[démarche]</t>
        </is>
      </c>
      <c r="C46" s="130" t="n"/>
      <c r="D46" s="130" t="n"/>
      <c r="E46" s="130" t="n"/>
      <c r="F46" s="130" t="n"/>
    </row>
    <row r="47" ht="27.75" customHeight="1" s="105">
      <c r="A47" s="179" t="inlineStr">
        <is>
          <t>Bilan / trace écrite</t>
        </is>
      </c>
      <c r="B47" s="192" t="inlineStr">
        <is>
          <t>[trace écrite]</t>
        </is>
      </c>
      <c r="C47" s="130" t="n"/>
      <c r="D47" s="130" t="n"/>
      <c r="E47" s="130" t="n"/>
      <c r="F47" s="130" t="n"/>
    </row>
    <row r="48" ht="39.75" customHeight="1" s="105">
      <c r="A48" s="194" t="inlineStr">
        <is>
          <t>📋 CAHIER DE TEXTE
Contenu de la séance
(copier-coller Pronote)</t>
        </is>
      </c>
      <c r="B48" s="195" t="inlineStr">
        <is>
          <t>[Cahier de texte — contenu de la séance 3 : à rédiger par IA Th.1 + Fable — phrase(s) prêtes à coller dans Pronote.]</t>
        </is>
      </c>
      <c r="C48" s="130" t="n"/>
      <c r="D48" s="130" t="n"/>
      <c r="E48" s="130" t="n"/>
      <c r="F48" s="130" t="n"/>
    </row>
    <row r="49" ht="39.75" customHeight="1" s="105">
      <c r="A49" s="194" t="inlineStr">
        <is>
          <t>📋 CAHIER DE TEXTE
Travail à faire
(copier-coller Pronote)</t>
        </is>
      </c>
      <c r="B49" s="195" t="inlineStr">
        <is>
          <t>[Cahier de texte — travail à faire : à rédiger — indiquer le support (lien en ligne ou pages Nathan), la durée estimée, et « faisable sur téléphone » si c'est le cas.]</t>
        </is>
      </c>
      <c r="C49" s="130" t="n"/>
      <c r="D49" s="130" t="n"/>
      <c r="E49" s="130" t="n"/>
      <c r="F49" s="130" t="n"/>
    </row>
    <row r="50" ht="15" customHeight="1" s="105">
      <c r="A50" s="196" t="inlineStr">
        <is>
          <t>Suivi enseignant</t>
        </is>
      </c>
      <c r="B50" s="197" t="inlineStr">
        <is>
          <t>Fait le : ____________</t>
        </is>
      </c>
      <c r="C50" s="198" t="inlineStr">
        <is>
          <t xml:space="preserve">Report / aléa / remarques : </t>
        </is>
      </c>
      <c r="D50" s="130" t="n"/>
      <c r="E50" s="130" t="n"/>
      <c r="F50" s="130" t="n"/>
    </row>
    <row r="52" ht="15" customHeight="1" s="105">
      <c r="A52" s="193" t="inlineStr">
        <is>
          <t>■ Séance 4 — semaine S12 — — — [titre de la séance 4 — à compléter]</t>
        </is>
      </c>
    </row>
    <row r="53" ht="27.75" customHeight="1" s="105">
      <c r="A53" s="179" t="inlineStr">
        <is>
          <t>Question directrice</t>
        </is>
      </c>
      <c r="B53" s="192" t="inlineStr">
        <is>
          <t>[question directrice]</t>
        </is>
      </c>
      <c r="C53" s="130" t="n"/>
      <c r="D53" s="130" t="n"/>
      <c r="E53" s="130" t="n"/>
      <c r="F53" s="130" t="n"/>
    </row>
    <row r="54" ht="27.75" customHeight="1" s="105">
      <c r="A54" s="179" t="inlineStr">
        <is>
          <t>Activités &amp; supports</t>
        </is>
      </c>
      <c r="B54" s="192" t="inlineStr">
        <is>
          <t>[activités — repères Nathan : Prob. 6 p.45-50 (l'énergie dans un TGV) · Point méthode 6 p.91 (chaîne d'énergie)]</t>
        </is>
      </c>
      <c r="C54" s="130" t="n"/>
      <c r="D54" s="130" t="n"/>
      <c r="E54" s="130" t="n"/>
      <c r="F54" s="130" t="n"/>
    </row>
    <row r="55" ht="27.75" customHeight="1" s="105">
      <c r="A55" s="179" t="inlineStr">
        <is>
          <t>Démarche / organisation</t>
        </is>
      </c>
      <c r="B55" s="192" t="inlineStr">
        <is>
          <t>[démarche]</t>
        </is>
      </c>
      <c r="C55" s="130" t="n"/>
      <c r="D55" s="130" t="n"/>
      <c r="E55" s="130" t="n"/>
      <c r="F55" s="130" t="n"/>
    </row>
    <row r="56" ht="27.75" customHeight="1" s="105">
      <c r="A56" s="179" t="inlineStr">
        <is>
          <t>Bilan / trace écrite</t>
        </is>
      </c>
      <c r="B56" s="192" t="inlineStr">
        <is>
          <t>[trace écrite]</t>
        </is>
      </c>
      <c r="C56" s="130" t="n"/>
      <c r="D56" s="130" t="n"/>
      <c r="E56" s="130" t="n"/>
      <c r="F56" s="130" t="n"/>
    </row>
    <row r="57" ht="39.75" customHeight="1" s="105">
      <c r="A57" s="194" t="inlineStr">
        <is>
          <t>📋 CAHIER DE TEXTE
Contenu de la séance
(copier-coller Pronote)</t>
        </is>
      </c>
      <c r="B57" s="195" t="inlineStr">
        <is>
          <t>[Cahier de texte — contenu de la séance 4 : à rédiger par IA Th.1 + Fable — phrase(s) prêtes à coller dans Pronote.]</t>
        </is>
      </c>
      <c r="C57" s="130" t="n"/>
      <c r="D57" s="130" t="n"/>
      <c r="E57" s="130" t="n"/>
      <c r="F57" s="130" t="n"/>
    </row>
    <row r="58" ht="39.75" customHeight="1" s="105">
      <c r="A58" s="194" t="inlineStr">
        <is>
          <t>📋 CAHIER DE TEXTE
Travail à faire
(copier-coller Pronote)</t>
        </is>
      </c>
      <c r="B58" s="195" t="inlineStr">
        <is>
          <t>[Cahier de texte — travail à faire : à rédiger — indiquer le support (lien en ligne ou pages Nathan), la durée estimée, et « faisable sur téléphone » si c'est le cas.]</t>
        </is>
      </c>
      <c r="C58" s="130" t="n"/>
      <c r="D58" s="130" t="n"/>
      <c r="E58" s="130" t="n"/>
      <c r="F58" s="130" t="n"/>
    </row>
    <row r="59" ht="15" customHeight="1" s="105">
      <c r="A59" s="196" t="inlineStr">
        <is>
          <t>Suivi enseignant</t>
        </is>
      </c>
      <c r="B59" s="197" t="inlineStr">
        <is>
          <t>Fait le : ____________</t>
        </is>
      </c>
      <c r="C59" s="198" t="inlineStr">
        <is>
          <t xml:space="preserve">Report / aléa / remarques : </t>
        </is>
      </c>
      <c r="D59" s="130" t="n"/>
      <c r="E59" s="130" t="n"/>
      <c r="F59" s="130" t="n"/>
    </row>
  </sheetData>
  <mergeCells count="45">
    <mergeCell ref="B4:F4"/>
    <mergeCell ref="B7:F7"/>
    <mergeCell ref="B47:F47"/>
    <mergeCell ref="B54:F54"/>
    <mergeCell ref="B31:F31"/>
    <mergeCell ref="B46:F46"/>
    <mergeCell ref="C32:F32"/>
    <mergeCell ref="B56:F56"/>
    <mergeCell ref="B58:F58"/>
    <mergeCell ref="B27:F27"/>
    <mergeCell ref="A2:F2"/>
    <mergeCell ref="B12:F12"/>
    <mergeCell ref="B39:F39"/>
    <mergeCell ref="B48:F48"/>
    <mergeCell ref="B11:F11"/>
    <mergeCell ref="B14:F14"/>
    <mergeCell ref="B8:F8"/>
    <mergeCell ref="B57:F57"/>
    <mergeCell ref="B13:F13"/>
    <mergeCell ref="A43:F43"/>
    <mergeCell ref="B44:F44"/>
    <mergeCell ref="B53:F53"/>
    <mergeCell ref="B29:F29"/>
    <mergeCell ref="A52:F52"/>
    <mergeCell ref="B38:F38"/>
    <mergeCell ref="B10:F10"/>
    <mergeCell ref="B28:F28"/>
    <mergeCell ref="B37:F37"/>
    <mergeCell ref="A34:F34"/>
    <mergeCell ref="C41:F41"/>
    <mergeCell ref="B40:F40"/>
    <mergeCell ref="B9:F9"/>
    <mergeCell ref="C50:F50"/>
    <mergeCell ref="B49:F49"/>
    <mergeCell ref="B30:F30"/>
    <mergeCell ref="B55:F55"/>
    <mergeCell ref="B6:F6"/>
    <mergeCell ref="A1:F1"/>
    <mergeCell ref="B5:F5"/>
    <mergeCell ref="C59:F59"/>
    <mergeCell ref="B45:F45"/>
    <mergeCell ref="B36:F36"/>
    <mergeCell ref="B26:F26"/>
    <mergeCell ref="A25:F25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E75B6"/>
    <outlinePr summaryBelow="1" summaryRight="1"/>
    <pageSetUpPr fitToPage="1"/>
  </sheetPr>
  <dimension ref="A1:F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9" t="inlineStr">
        <is>
          <t>GÉNÉRATEUR DE SÉQUENCE 2024 — S4 · Le lampadaire intelligent (1) : chaîne d'information, données et premiers programmes</t>
        </is>
      </c>
    </row>
    <row r="2" ht="15" customHeight="1" s="105">
      <c r="A2" s="131" t="inlineStr">
        <is>
          <t>Thème 2 · P2/P3 · 5 séances de 1 h 30 · Responsable : Fable (Th. 2) · ✅ TOUTES les ressources en ligne (îlots 5e_C4 + 5e_C6) — séquence 100 % outillée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2" t="inlineStr">
        <is>
          <t>Problématique</t>
        </is>
      </c>
      <c r="B4" s="192" t="inlineStr">
        <is>
          <t>Comment un objet capte-t-il, décide-t-il, agit-il — et comment le décrire en données ?</t>
        </is>
      </c>
      <c r="C4" s="130" t="n"/>
      <c r="D4" s="130" t="n"/>
      <c r="E4" s="130" t="n"/>
      <c r="F4" s="130" t="n"/>
    </row>
    <row r="5" ht="39" customHeight="1" s="105">
      <c r="A5" s="182" t="inlineStr">
        <is>
          <t>Situation déclenchante</t>
        </is>
      </c>
      <c r="B5" s="192" t="inlineStr">
        <is>
          <t>La mairie a installé des lampadaires solaires sur le parking du collège ; l'un reste allumé en plein jour, un autre ne s'allume plus. Le club techno doit expliquer comment ils « décident » et aider la mairie à les suivre à distance.</t>
        </is>
      </c>
      <c r="C5" s="130" t="n"/>
      <c r="D5" s="130" t="n"/>
      <c r="E5" s="130" t="n"/>
      <c r="F5" s="130" t="n"/>
    </row>
    <row r="6" ht="27.75" customHeight="1" s="105">
      <c r="A6" s="182" t="inlineStr">
        <is>
          <t>Prérequis</t>
        </is>
      </c>
      <c r="B6" s="192" t="inlineStr">
        <is>
          <t>Séquence S3 (chaîne d'énergie du lampadaire, séances 1-2 en ligne déjà vues).</t>
        </is>
      </c>
      <c r="C6" s="130" t="n"/>
      <c r="D6" s="130" t="n"/>
      <c r="E6" s="130" t="n"/>
      <c r="F6" s="130" t="n"/>
    </row>
    <row r="7" ht="39" customHeight="1" s="105">
      <c r="A7" s="182" t="inlineStr">
        <is>
          <t>Éléments pour la synthèse (objectifs)</t>
        </is>
      </c>
      <c r="B7" s="192" t="inlineStr">
        <is>
          <t>Chaîne d'information = ACQUÉRIR (capteurs) → TRAITER (carte + règle SI…ALORS) → COMMANDER · l'information commande l'énergie · descripteur / type / format · un programme lit des données et en produit.</t>
        </is>
      </c>
      <c r="C7" s="130" t="n"/>
      <c r="D7" s="130" t="n"/>
      <c r="E7" s="130" t="n"/>
      <c r="F7" s="130" t="n"/>
    </row>
    <row r="8" ht="27.75" customHeight="1" s="105">
      <c r="A8" s="182" t="inlineStr">
        <is>
          <t>Piste d'évaluation</t>
        </is>
      </c>
      <c r="B8" s="192" t="inlineStr">
        <is>
          <t>Formative : vérificateurs intégrés + verrou expérientiel (simulateur). QCM 32 q (mode « compétence ciblée »). Sommative en fin de séquence (corrigé non publié).</t>
        </is>
      </c>
      <c r="C8" s="130" t="n"/>
      <c r="D8" s="130" t="n"/>
      <c r="E8" s="130" t="n"/>
      <c r="F8" s="130" t="n"/>
    </row>
    <row r="9" ht="27.75" customHeight="1" s="105">
      <c r="A9" s="182" t="inlineStr">
        <is>
          <t>Domaines du socle mobilisés</t>
        </is>
      </c>
      <c r="B9" s="192" t="inlineStr">
        <is>
          <t>D1.3, D2, D4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2" t="inlineStr">
        <is>
          <t>CRCN — compétences numériques (Pix)</t>
        </is>
      </c>
      <c r="B10" s="192" t="inlineStr">
        <is>
          <t>3.4 Programmer (Niv. 1-2 : lire, construire et modifier un programme simple) · 1.3 Traiter des données (Niv. 2 : trier et organiser la table des lampadaires)</t>
        </is>
      </c>
      <c r="C10" s="130" t="n"/>
      <c r="D10" s="130" t="n"/>
      <c r="E10" s="130" t="n"/>
      <c r="F10" s="130" t="n"/>
    </row>
    <row r="11" ht="27.75" customHeight="1" s="105">
      <c r="A11" s="182" t="inlineStr">
        <is>
          <t>Versions 🅰 / 🅱 / 🅲</t>
        </is>
      </c>
      <c r="B11" s="192" t="inlineStr">
        <is>
          <t>🅰 sortie parking + maquette Grove (capteur lumière, PIR, LED — très basse tension) · 🅱 simulateur intégré à la page · 🅲 fiches papier imprimables.</t>
        </is>
      </c>
      <c r="C11" s="130" t="n"/>
      <c r="D11" s="130" t="n"/>
      <c r="E11" s="130" t="n"/>
      <c r="F11" s="130" t="n"/>
    </row>
    <row r="12" ht="27.75" customHeight="1" s="105">
      <c r="A12" s="182" t="inlineStr">
        <is>
          <t>Liens EPI / parcours</t>
        </is>
      </c>
      <c r="B12" s="192" t="inlineStr">
        <is>
          <t>EDD : pollution lumineuse, sobriété énergétique · lien mairie/commune (usage citoyen des données).</t>
        </is>
      </c>
      <c r="C12" s="130" t="n"/>
      <c r="D12" s="130" t="n"/>
      <c r="E12" s="130" t="n"/>
      <c r="F12" s="130" t="n"/>
    </row>
    <row r="13" ht="27.75" customHeight="1" s="105">
      <c r="A13" s="182" t="inlineStr">
        <is>
          <t>Cahier Nathan 5e</t>
        </is>
      </c>
      <c r="B13" s="192" t="inlineStr">
        <is>
          <t>Prob. 4 p.31-36 (système automatisé) · Prob. 7 p.51-58 (programmer une fonctionnalité) · PM 7 p.92</t>
        </is>
      </c>
      <c r="C13" s="130" t="n"/>
      <c r="D13" s="130" t="n"/>
      <c r="E13" s="130" t="n"/>
      <c r="F13" s="130" t="n"/>
    </row>
    <row r="14" ht="27.75" customHeight="1" s="105">
      <c r="A14" s="182" t="inlineStr">
        <is>
          <t>Ressources en ligne</t>
        </is>
      </c>
      <c r="B14" s="192" t="inlineStr">
        <is>
          <t>✅ Séquence + QCM 32 q (C4.5-C4.6) · ✅ « Programmer le lampadaire » (C6.1-C6.3, LOT 07 : séquence + QCM 30 q + synthèses)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5e_C4.5</t>
        </is>
      </c>
      <c r="B18" s="140" t="inlineStr">
        <is>
          <t>Identifier des constituants de la chaîne d’information d’un OST (l’organisation de la chaîne d’information étant fournie).</t>
        </is>
      </c>
      <c r="C18" s="140" t="inlineStr">
        <is>
          <t>D1.3, D2, D4</t>
        </is>
      </c>
      <c r="D18" s="140" t="inlineStr">
        <is>
          <t>Séances 1-2</t>
        </is>
      </c>
      <c r="E18" s="140" t="inlineStr">
        <is>
          <t>Formative (vérificateurs en ligne) + QCM ciblé → LSU</t>
        </is>
      </c>
    </row>
    <row r="19" ht="30" customHeight="1" s="105">
      <c r="A19" s="177" t="inlineStr">
        <is>
          <t>5e_C4.6</t>
        </is>
      </c>
      <c r="B19" s="140" t="inlineStr">
        <is>
          <t>Déterminer des descripteurs permettant de décrire des objets sous forme de données en précisant leurs types et leurs formats.</t>
        </is>
      </c>
      <c r="C19" s="140" t="inlineStr">
        <is>
          <t>D1.3, D2, D4</t>
        </is>
      </c>
      <c r="D19" s="140" t="inlineStr">
        <is>
          <t>Séance 2</t>
        </is>
      </c>
      <c r="E19" s="140" t="inlineStr">
        <is>
          <t>Formative + QCM ciblé → LSU</t>
        </is>
      </c>
    </row>
    <row r="20" ht="30" customHeight="1" s="105">
      <c r="A20" s="177" t="inlineStr">
        <is>
          <t>5e_C6.1</t>
        </is>
      </c>
      <c r="B20" s="140" t="inlineStr">
        <is>
          <t>Identifier les données utilisées et produites par le programme associé à une fonctionnalité d’un OST (à partir d’un programme existant).</t>
        </is>
      </c>
      <c r="C20" s="140" t="inlineStr">
        <is>
          <t>D1.3, D2, D4</t>
        </is>
      </c>
      <c r="D20" s="140" t="inlineStr">
        <is>
          <t>Séances 3-4</t>
        </is>
      </c>
      <c r="E20" s="140" t="inlineStr">
        <is>
          <t>✅ « Programmer le lampadaire » (LOT 07)</t>
        </is>
      </c>
    </row>
    <row r="21" ht="30" customHeight="1" s="105">
      <c r="A21" s="177" t="inlineStr">
        <is>
          <t>5e_C6.2</t>
        </is>
      </c>
      <c r="B21" s="140" t="inlineStr">
        <is>
          <t>Comprendre et traduire en un algorithme en langage naturel le programme associé à une fonctionnalité d’un OST.</t>
        </is>
      </c>
      <c r="C21" s="140" t="inlineStr">
        <is>
          <t>D1.3, D4</t>
        </is>
      </c>
      <c r="D21" s="140" t="inlineStr">
        <is>
          <t>Séances 3-4</t>
        </is>
      </c>
      <c r="E21" s="140" t="inlineStr">
        <is>
          <t>✅ LOT 07</t>
        </is>
      </c>
    </row>
    <row r="22" ht="30" customHeight="1" s="105">
      <c r="A22" s="177" t="inlineStr">
        <is>
          <t>5e_C6.3</t>
        </is>
      </c>
      <c r="B22" s="140" t="inlineStr">
        <is>
          <t>Modifier les paramètres d’un programme et identifier ou évaluer ses effets en termes de fonctionnalité.</t>
        </is>
      </c>
      <c r="C22" s="140" t="inlineStr">
        <is>
          <t>D1.3, D4</t>
        </is>
      </c>
      <c r="D22" s="140" t="inlineStr">
        <is>
          <t>Séances 4-5</t>
        </is>
      </c>
      <c r="E22" s="140" t="inlineStr">
        <is>
          <t>✅ LOT 07 + évaluation sommative</t>
        </is>
      </c>
    </row>
    <row r="24" ht="15" customHeight="1" s="105">
      <c r="A24" s="152" t="inlineStr">
        <is>
          <t>Déroulé, séance par séance — avec cahier de texte Pronote prêt à coller</t>
        </is>
      </c>
    </row>
    <row r="25" ht="15" customHeight="1" s="105">
      <c r="A25" s="200" t="inlineStr">
        <is>
          <t>■ Séance 1 — semaine S13 — 🔁 Hybride — La chaîne d'information du lampadaire</t>
        </is>
      </c>
    </row>
    <row r="26" ht="27.75" customHeight="1" s="105">
      <c r="A26" s="182" t="inlineStr">
        <is>
          <t>Question directrice</t>
        </is>
      </c>
      <c r="B26" s="192" t="inlineStr">
        <is>
          <t>Comment le lampadaire « sait-il » quand s'allumer ?</t>
        </is>
      </c>
      <c r="C26" s="130" t="n"/>
      <c r="D26" s="130" t="n"/>
      <c r="E26" s="130" t="n"/>
      <c r="F26" s="130" t="n"/>
    </row>
    <row r="27" ht="64.5" customHeight="1" s="105">
      <c r="A27" s="182" t="inlineStr">
        <is>
          <t>Activités &amp; supports</t>
        </is>
      </c>
      <c r="B27" s="192" t="inlineStr">
        <is>
          <t>Lancement 🏫 (20 min) : situation déclenchante + hypothèses (activité en ligne). Puis activité 3 de la séquence : chaîne d'information + simulateur (jour / nuit / nuit + passage). Séquence en ligne : https://pll-process.github.io/en-ligne-pour-le-cycle-4/theme-2-structure-fonctionnement-comportement/C4-decrire-et-caracteriser-lorganisation/5e/5e_C4.1/sequence_5e_C4.1-C4.8_lampadaire_intelligent.html</t>
        </is>
      </c>
      <c r="C27" s="130" t="n"/>
      <c r="D27" s="130" t="n"/>
      <c r="E27" s="130" t="n"/>
      <c r="F27" s="130" t="n"/>
    </row>
    <row r="28" ht="27.75" customHeight="1" s="105">
      <c r="A28" s="182" t="inlineStr">
        <is>
          <t>Démarche / organisation</t>
        </is>
      </c>
      <c r="B28" s="192" t="inlineStr">
        <is>
          <t>Investigation. En classe : vidéoprojection + binômes sur postes ; à la maison : terminer le simulateur (verrou expérientiel : les 3 situations doivent être observées).</t>
        </is>
      </c>
      <c r="C28" s="130" t="n"/>
      <c r="D28" s="130" t="n"/>
      <c r="E28" s="130" t="n"/>
      <c r="F28" s="130" t="n"/>
    </row>
    <row r="29" ht="27.75" customHeight="1" s="105">
      <c r="A29" s="182" t="inlineStr">
        <is>
          <t>Bilan / trace écrite</t>
        </is>
      </c>
      <c r="B29" s="192" t="inlineStr">
        <is>
          <t>Schéma des deux chaînes (SVG de la séquence) collé/recopié ; règle SI nuit ET passage → pleine puissance.</t>
        </is>
      </c>
      <c r="C29" s="130" t="n"/>
      <c r="D29" s="130" t="n"/>
      <c r="E29" s="130" t="n"/>
      <c r="F29" s="130" t="n"/>
    </row>
    <row r="30" ht="39.75" customHeight="1" s="105">
      <c r="A30" s="194" t="inlineStr">
        <is>
          <t>📋 CAHIER DE TEXTE
Contenu de la séance
(copier-coller Pronote)</t>
        </is>
      </c>
      <c r="B30" s="195" t="inlineStr">
        <is>
          <t>Séquence « Le lampadaire intelligent » — Séance 1 : la chaîne d'information. Hypothèses, puis découverte du simulateur : comportements jour / nuit / nuit + passage. Trace écrite : ACQUÉRIR → TRAITER → COMMANDER ; la chaîne d'information commande la chaîne d'énergie.</t>
        </is>
      </c>
      <c r="C30" s="130" t="n"/>
      <c r="D30" s="130" t="n"/>
      <c r="E30" s="130" t="n"/>
      <c r="F30" s="130" t="n"/>
    </row>
    <row r="31" ht="64.5" customHeight="1" s="105">
      <c r="A31" s="194" t="inlineStr">
        <is>
          <t>📋 CAHIER DE TEXTE
Travail à faire
(copier-coller Pronote)</t>
        </is>
      </c>
      <c r="B31" s="195" t="inlineStr">
        <is>
          <t>Terminer l'activité 3 (simulateur du lampadaire) en ligne : https://pll-process.github.io/en-ligne-pour-le-cycle-4/theme-2-structure-fonctionnement-comportement/C4-decrire-et-caracteriser-lorganisation/5e/5e_C4.1/sequence_5e_C4.1-C4.8_lampadaire_intelligent.html — les 3 situations doivent être réellement observées (la page le vérifie). Environ 20 min, faisable sur téléphone. Aucun compte requis, le travail se sauvegarde sur l'appareil.</t>
        </is>
      </c>
      <c r="C31" s="130" t="n"/>
      <c r="D31" s="130" t="n"/>
      <c r="E31" s="130" t="n"/>
      <c r="F31" s="130" t="n"/>
    </row>
    <row r="32" ht="15" customHeight="1" s="105">
      <c r="A32" s="196" t="inlineStr">
        <is>
          <t>Suivi enseignant</t>
        </is>
      </c>
      <c r="B32" s="197" t="inlineStr">
        <is>
          <t>Fait le : ____________</t>
        </is>
      </c>
      <c r="C32" s="198" t="inlineStr">
        <is>
          <t xml:space="preserve">Report / aléa / remarques : </t>
        </is>
      </c>
      <c r="D32" s="130" t="n"/>
      <c r="E32" s="130" t="n"/>
      <c r="F32" s="130" t="n"/>
    </row>
    <row r="34" ht="15" customHeight="1" s="105">
      <c r="A34" s="200" t="inlineStr">
        <is>
          <t>■ Séance 2 — semaine S14 — 🏫 En classe — Décrire les lampadaires par des données</t>
        </is>
      </c>
    </row>
    <row r="35" ht="27.75" customHeight="1" s="105">
      <c r="A35" s="182" t="inlineStr">
        <is>
          <t>Question directrice</t>
        </is>
      </c>
      <c r="B35" s="192" t="inlineStr">
        <is>
          <t>Comment la mairie peut-elle suivre 6 lampadaires sans se déplacer ?</t>
        </is>
      </c>
      <c r="C35" s="130" t="n"/>
      <c r="D35" s="130" t="n"/>
      <c r="E35" s="130" t="n"/>
      <c r="F35" s="130" t="n"/>
    </row>
    <row r="36" ht="51.75" customHeight="1" s="105">
      <c r="A36" s="182" t="inlineStr">
        <is>
          <t>Activités &amp; supports</t>
        </is>
      </c>
      <c r="B36" s="192" t="inlineStr">
        <is>
          <t>Activité 4 de la séquence : table des 6 lampadaires — descripteurs, types, formats ; lire les données pour agir (L5 prioritaire, L3 batterie faible). Séquence en ligne : https://pll-process.github.io/en-ligne-pour-le-cycle-4/theme-2-structure-fonctionnement-comportement/C4-decrire-et-caracteriser-lorganisation/5e/5e_C4.1/sequence_5e_C4.1-C4.8_lampadaire_intelligent.html</t>
        </is>
      </c>
      <c r="C36" s="130" t="n"/>
      <c r="D36" s="130" t="n"/>
      <c r="E36" s="130" t="n"/>
      <c r="F36" s="130" t="n"/>
    </row>
    <row r="37" ht="27.75" customHeight="1" s="105">
      <c r="A37" s="182" t="inlineStr">
        <is>
          <t>Démarche / organisation</t>
        </is>
      </c>
      <c r="B37" s="192" t="inlineStr">
        <is>
          <t>Résolution de problème en binômes ; correction collective avec les vérificateurs de la page.</t>
        </is>
      </c>
      <c r="C37" s="130" t="n"/>
      <c r="D37" s="130" t="n"/>
      <c r="E37" s="130" t="n"/>
      <c r="F37" s="130" t="n"/>
    </row>
    <row r="38" ht="27.75" customHeight="1" s="105">
      <c r="A38" s="182" t="inlineStr">
        <is>
          <t>Bilan / trace écrite</t>
        </is>
      </c>
      <c r="B38" s="192" t="inlineStr">
        <is>
          <t>Définitions descripteur / type / format ; une ligne = un objet complet.</t>
        </is>
      </c>
      <c r="C38" s="130" t="n"/>
      <c r="D38" s="130" t="n"/>
      <c r="E38" s="130" t="n"/>
      <c r="F38" s="130" t="n"/>
    </row>
    <row r="39" ht="39.75" customHeight="1" s="105">
      <c r="A39" s="194" t="inlineStr">
        <is>
          <t>📋 CAHIER DE TEXTE
Contenu de la séance
(copier-coller Pronote)</t>
        </is>
      </c>
      <c r="B39" s="195" t="inlineStr">
        <is>
          <t>Séance 2 : décrire les lampadaires par des données. Descripteurs, types et formats ; lecture de la table des 6 lampadaires de la mairie pour décider des interventions. Trace écrite : descripteur / type / format.</t>
        </is>
      </c>
      <c r="C39" s="130" t="n"/>
      <c r="D39" s="130" t="n"/>
      <c r="E39" s="130" t="n"/>
      <c r="F39" s="130" t="n"/>
    </row>
    <row r="40" ht="51.75" customHeight="1" s="105">
      <c r="A40" s="194" t="inlineStr">
        <is>
          <t>📋 CAHIER DE TEXTE
Travail à faire
(copier-coller Pronote)</t>
        </is>
      </c>
      <c r="B40" s="195" t="inlineStr">
        <is>
          <t>QCM d'entraînement, mode « Compétence ciblée » 5e_C4.5 puis 5e_C4.6 (8 questions) : https://pll-process.github.io/en-ligne-pour-le-cycle-4/theme-2-structure-fonctionnement-comportement/C4-decrire-et-caracteriser-lorganisation/5e/5e_C4.1/qcm_5e_C4.1-C4.8_lampadaire_intelligent.html — corrections détaillées incluses ; refaire ses erreurs. ≈ 15 min.</t>
        </is>
      </c>
      <c r="C40" s="130" t="n"/>
      <c r="D40" s="130" t="n"/>
      <c r="E40" s="130" t="n"/>
      <c r="F40" s="130" t="n"/>
    </row>
    <row r="41" ht="15" customHeight="1" s="105">
      <c r="A41" s="196" t="inlineStr">
        <is>
          <t>Suivi enseignant</t>
        </is>
      </c>
      <c r="B41" s="197" t="inlineStr">
        <is>
          <t>Fait le : ____________</t>
        </is>
      </c>
      <c r="C41" s="198" t="inlineStr">
        <is>
          <t xml:space="preserve">Report / aléa / remarques : </t>
        </is>
      </c>
      <c r="D41" s="130" t="n"/>
      <c r="E41" s="130" t="n"/>
      <c r="F41" s="130" t="n"/>
    </row>
    <row r="43" ht="15" customHeight="1" s="105">
      <c r="A43" s="200" t="inlineStr">
        <is>
          <t>■ Séance 3 — semaine S16 — 🏫 En classe — Le programme du lampadaire : lire les données (5e_C6.1)</t>
        </is>
      </c>
    </row>
    <row r="44" ht="27.75" customHeight="1" s="105">
      <c r="A44" s="182" t="inlineStr">
        <is>
          <t>Question directrice</t>
        </is>
      </c>
      <c r="B44" s="192" t="inlineStr">
        <is>
          <t>Quelles données le programme du lampadaire utilise-t-il et produit-il ?</t>
        </is>
      </c>
      <c r="C44" s="130" t="n"/>
      <c r="D44" s="130" t="n"/>
      <c r="E44" s="130" t="n"/>
      <c r="F44" s="130" t="n"/>
    </row>
    <row r="45" ht="27.75" customHeight="1" s="105">
      <c r="A45" s="182" t="inlineStr">
        <is>
          <t>Activités &amp; supports</t>
        </is>
      </c>
      <c r="B45" s="192" t="inlineStr">
        <is>
          <t>Séquence en ligne « Programmer le lampadaire », activité 1 : carte d'identité du programme par blocs (données utilisées/produites/paramètres). https://pll-process.github.io/en-ligne-pour-le-cycle-4/theme-2-structure-fonctionnement-comportement/C6-comprendre-et-modifier-un-programme-associe/5e/5e_C6.1/sequence_5e_C6.1-C6.3_programmer_lampadaire.html</t>
        </is>
      </c>
      <c r="C45" s="130" t="n"/>
      <c r="D45" s="130" t="n"/>
      <c r="E45" s="130" t="n"/>
      <c r="F45" s="130" t="n"/>
    </row>
    <row r="46" ht="27.75" customHeight="1" s="105">
      <c r="A46" s="182" t="inlineStr">
        <is>
          <t>Démarche / organisation</t>
        </is>
      </c>
      <c r="B46" s="192" t="inlineStr">
        <is>
          <t>Investigation guidée ; programme par blocs vidéoprojeté.</t>
        </is>
      </c>
      <c r="C46" s="130" t="n"/>
      <c r="D46" s="130" t="n"/>
      <c r="E46" s="130" t="n"/>
      <c r="F46" s="130" t="n"/>
    </row>
    <row r="47" ht="27.75" customHeight="1" s="105">
      <c r="A47" s="182" t="inlineStr">
        <is>
          <t>Bilan / trace écrite</t>
        </is>
      </c>
      <c r="B47" s="192" t="inlineStr">
        <is>
          <t>Données utilisées (capteurs) / données produites (ordres).</t>
        </is>
      </c>
      <c r="C47" s="130" t="n"/>
      <c r="D47" s="130" t="n"/>
      <c r="E47" s="130" t="n"/>
      <c r="F47" s="130" t="n"/>
    </row>
    <row r="48" ht="39.75" customHeight="1" s="105">
      <c r="A48" s="194" t="inlineStr">
        <is>
          <t>📋 CAHIER DE TEXTE
Contenu de la séance
(copier-coller Pronote)</t>
        </is>
      </c>
      <c r="B48" s="195" t="inlineStr">
        <is>
          <t>Séance 3 : le programme du lampadaire — quelles données entrent (capteurs), quelles données sortent (ordres à la LED). Activités du cahier Nathan p.31-36 / p.52-54.</t>
        </is>
      </c>
      <c r="C48" s="130" t="n"/>
      <c r="D48" s="130" t="n"/>
      <c r="E48" s="130" t="n"/>
      <c r="F48" s="130" t="n"/>
    </row>
    <row r="49" ht="39.75" customHeight="1" s="105">
      <c r="A49" s="194" t="inlineStr">
        <is>
          <t>📋 CAHIER DE TEXTE
Travail à faire
(copier-coller Pronote)</t>
        </is>
      </c>
      <c r="B49" s="195" t="inlineStr">
        <is>
          <t>Terminer l'activité 1 (carte d'identité du programme) en ligne : https://pll-process.github.io/en-ligne-pour-le-cycle-4/theme-2-structure-fonctionnement-comportement/C6-comprendre-et-modifier-un-programme-associe/5e/5e_C6.1/sequence_5e_C6.1-C6.3_programmer_lampadaire.html ≈ 20 min, faisable sur téléphone.</t>
        </is>
      </c>
      <c r="C49" s="130" t="n"/>
      <c r="D49" s="130" t="n"/>
      <c r="E49" s="130" t="n"/>
      <c r="F49" s="130" t="n"/>
    </row>
    <row r="50" ht="15" customHeight="1" s="105">
      <c r="A50" s="196" t="inlineStr">
        <is>
          <t>Suivi enseignant</t>
        </is>
      </c>
      <c r="B50" s="197" t="inlineStr">
        <is>
          <t>Fait le : ____________</t>
        </is>
      </c>
      <c r="C50" s="198" t="inlineStr">
        <is>
          <t xml:space="preserve">Report / aléa / remarques : </t>
        </is>
      </c>
      <c r="D50" s="130" t="n"/>
      <c r="E50" s="130" t="n"/>
      <c r="F50" s="130" t="n"/>
    </row>
    <row r="52" ht="15" customHeight="1" s="105">
      <c r="A52" s="200" t="inlineStr">
        <is>
          <t>■ Séance 4 — semaine S17 — 🏫 En classe — Modifier une fonctionnalité (5e_C6.2, C6.3)</t>
        </is>
      </c>
    </row>
    <row r="53" ht="27.75" customHeight="1" s="105">
      <c r="A53" s="182" t="inlineStr">
        <is>
          <t>Question directrice</t>
        </is>
      </c>
      <c r="B53" s="192" t="inlineStr">
        <is>
          <t>Comment changer le comportement du lampadaire sans le démonter ?</t>
        </is>
      </c>
      <c r="C53" s="130" t="n"/>
      <c r="D53" s="130" t="n"/>
      <c r="E53" s="130" t="n"/>
      <c r="F53" s="130" t="n"/>
    </row>
    <row r="54" ht="27.75" customHeight="1" s="105">
      <c r="A54" s="182" t="inlineStr">
        <is>
          <t>Activités &amp; supports</t>
        </is>
      </c>
      <c r="B54" s="192" t="inlineStr">
        <is>
          <t>Séquence en ligne, activités 2-3 : traduire en algorithme en langage naturel, puis simulateur paramétrable (mission mairie : seuil &gt; 45, verrou expérientiel). https://pll-process.github.io/en-ligne-pour-le-cycle-4/theme-2-structure-fonctionnement-comportement/C6-comprendre-et-modifier-un-programme-associe/5e/5e_C6.1/sequence_5e_C6.1-C6.3_programmer_lampadaire.html · Nathan Prob. 7 p.55-58 en complément.</t>
        </is>
      </c>
      <c r="C54" s="130" t="n"/>
      <c r="D54" s="130" t="n"/>
      <c r="E54" s="130" t="n"/>
      <c r="F54" s="130" t="n"/>
    </row>
    <row r="55" ht="27.75" customHeight="1" s="105">
      <c r="A55" s="182" t="inlineStr">
        <is>
          <t>Démarche / organisation</t>
        </is>
      </c>
      <c r="B55" s="192" t="inlineStr">
        <is>
          <t>Résolution de problème en binômes sur postes (VittaScience / Scratch).</t>
        </is>
      </c>
      <c r="C55" s="130" t="n"/>
      <c r="D55" s="130" t="n"/>
      <c r="E55" s="130" t="n"/>
      <c r="F55" s="130" t="n"/>
    </row>
    <row r="56" ht="27.75" customHeight="1" s="105">
      <c r="A56" s="182" t="inlineStr">
        <is>
          <t>Bilan / trace écrite</t>
        </is>
      </c>
      <c r="B56" s="192" t="inlineStr">
        <is>
          <t>Modifier = changer UN paramètre puis TESTER ; on garde la version qui marche.</t>
        </is>
      </c>
      <c r="C56" s="130" t="n"/>
      <c r="D56" s="130" t="n"/>
      <c r="E56" s="130" t="n"/>
      <c r="F56" s="130" t="n"/>
    </row>
    <row r="57" ht="39.75" customHeight="1" s="105">
      <c r="A57" s="194" t="inlineStr">
        <is>
          <t>📋 CAHIER DE TEXTE
Contenu de la séance
(copier-coller Pronote)</t>
        </is>
      </c>
      <c r="B57" s="195" t="inlineStr">
        <is>
          <t>Séance 4 : modifier une fonctionnalité du programme (seuil, durée) et tester. Démarche : je modifie UN paramètre → je teste → je valide. Cahier Nathan p.55-58.</t>
        </is>
      </c>
      <c r="C57" s="130" t="n"/>
      <c r="D57" s="130" t="n"/>
      <c r="E57" s="130" t="n"/>
      <c r="F57" s="130" t="n"/>
    </row>
    <row r="58" ht="90.75" customHeight="1" s="105">
      <c r="A58" s="194" t="inlineStr">
        <is>
          <t>📋 CAHIER DE TEXTE
Travail à faire
(copier-coller Pronote)</t>
        </is>
      </c>
      <c r="B58" s="195" t="inlineStr">
        <is>
          <t>Préparer l'évaluation : QCM « Programmer le lampadaire » (30 q) : https://pll-process.github.io/en-ligne-pour-le-cycle-4/theme-2-structure-fonctionnement-comportement/C6-comprendre-et-modifier-un-programme-associe/5e/5e_C6.1/qcm_5e_C6.1-C6.3_programmer_lampadaire.html puis refaire le QCM C4 complet (32 questions) : https://pll-process.github.io/en-ligne-pour-le-cycle-4/theme-2-structure-fonctionnement-comportement/C4-decrire-et-caracteriser-lorganisation/5e/5e_C4.1/qcm_5e_C4.1-C4.8_lampadaire_intelligent.html · relire la synthèse : https://pll-process.github.io/en-ligne-pour-le-cycle-4/theme-2-structure-fonctionnement-comportement/C4-decrire-et-caracteriser-lorganisation/5e/5e_C4.1/Synth%C3%A8ses/synthese_eleve_5e_C4.1-C4.8.html ≈ 30 min, en 2 fois si besoin (la page reprend où tu t'es arrêté).</t>
        </is>
      </c>
      <c r="C58" s="130" t="n"/>
      <c r="D58" s="130" t="n"/>
      <c r="E58" s="130" t="n"/>
      <c r="F58" s="130" t="n"/>
    </row>
    <row r="59" ht="15" customHeight="1" s="105">
      <c r="A59" s="196" t="inlineStr">
        <is>
          <t>Suivi enseignant</t>
        </is>
      </c>
      <c r="B59" s="197" t="inlineStr">
        <is>
          <t>Fait le : ____________</t>
        </is>
      </c>
      <c r="C59" s="198" t="inlineStr">
        <is>
          <t xml:space="preserve">Report / aléa / remarques : </t>
        </is>
      </c>
      <c r="D59" s="130" t="n"/>
      <c r="E59" s="130" t="n"/>
      <c r="F59" s="130" t="n"/>
    </row>
    <row r="61" ht="15" customHeight="1" s="105">
      <c r="A61" s="200" t="inlineStr">
        <is>
          <t>■ Séance 5 — semaine S18 — 🏠 puis 🏫 — Bilan et évaluation de la séquence</t>
        </is>
      </c>
    </row>
    <row r="62" ht="27.75" customHeight="1" s="105">
      <c r="A62" s="182" t="inlineStr">
        <is>
          <t>Question directrice</t>
        </is>
      </c>
      <c r="B62" s="192" t="inlineStr">
        <is>
          <t>Qu'ai-je appris — et où en suis-je, code par code ?</t>
        </is>
      </c>
      <c r="C62" s="130" t="n"/>
      <c r="D62" s="130" t="n"/>
      <c r="E62" s="130" t="n"/>
      <c r="F62" s="130" t="n"/>
    </row>
    <row r="63" ht="27.75" customHeight="1" s="105">
      <c r="A63" s="182" t="inlineStr">
        <is>
          <t>Activités &amp; supports</t>
        </is>
      </c>
      <c r="B63" s="192" t="inlineStr">
        <is>
          <t>Correction commentée du QCM (bilan par compétence affiché par la page) ; évaluation sommative sur table (corrigé non publié) ; auto-positionnement LSU.</t>
        </is>
      </c>
      <c r="C63" s="130" t="n"/>
      <c r="D63" s="130" t="n"/>
      <c r="E63" s="130" t="n"/>
      <c r="F63" s="130" t="n"/>
    </row>
    <row r="64" ht="27.75" customHeight="1" s="105">
      <c r="A64" s="182" t="inlineStr">
        <is>
          <t>Démarche / organisation</t>
        </is>
      </c>
      <c r="B64" s="192" t="inlineStr">
        <is>
          <t>Bilan collectif 30 min + évaluation 45 min + retour sur les hypothèses de la séance 1.</t>
        </is>
      </c>
      <c r="C64" s="130" t="n"/>
      <c r="D64" s="130" t="n"/>
      <c r="E64" s="130" t="n"/>
      <c r="F64" s="130" t="n"/>
    </row>
    <row r="65" ht="27.75" customHeight="1" s="105">
      <c r="A65" s="182" t="inlineStr">
        <is>
          <t>Bilan / trace écrite</t>
        </is>
      </c>
      <c r="B65" s="192" t="inlineStr">
        <is>
          <t>Synthèse élève distribuée (imprimable 1 page A4).</t>
        </is>
      </c>
      <c r="C65" s="130" t="n"/>
      <c r="D65" s="130" t="n"/>
      <c r="E65" s="130" t="n"/>
      <c r="F65" s="130" t="n"/>
    </row>
    <row r="66" ht="39.75" customHeight="1" s="105">
      <c r="A66" s="194" t="inlineStr">
        <is>
          <t>📋 CAHIER DE TEXTE
Contenu de la séance
(copier-coller Pronote)</t>
        </is>
      </c>
      <c r="B66" s="195" t="inlineStr">
        <is>
          <t>Séance 5 : bilan de la séquence « Le lampadaire intelligent » (chaîne d'information, données, programme) et évaluation. Distribution de la synthèse (aussi en ligne).</t>
        </is>
      </c>
      <c r="C66" s="130" t="n"/>
      <c r="D66" s="130" t="n"/>
      <c r="E66" s="130" t="n"/>
      <c r="F66" s="130" t="n"/>
    </row>
    <row r="67" ht="39.75" customHeight="1" s="105">
      <c r="A67" s="194" t="inlineStr">
        <is>
          <t>📋 CAHIER DE TEXTE
Travail à faire
(copier-coller Pronote)</t>
        </is>
      </c>
      <c r="B67" s="195" t="inlineStr">
        <is>
          <t>Rien à faire — la séquence est terminée. Pour réviser plus tard : le QCM reste disponible en mode « Uniquement mes erreurs ».</t>
        </is>
      </c>
      <c r="C67" s="130" t="n"/>
      <c r="D67" s="130" t="n"/>
      <c r="E67" s="130" t="n"/>
      <c r="F67" s="130" t="n"/>
    </row>
    <row r="68" ht="15" customHeight="1" s="105">
      <c r="A68" s="196" t="inlineStr">
        <is>
          <t>Suivi enseignant</t>
        </is>
      </c>
      <c r="B68" s="197" t="inlineStr">
        <is>
          <t>Fait le : ____________</t>
        </is>
      </c>
      <c r="C68" s="198" t="inlineStr">
        <is>
          <t xml:space="preserve">Report / aléa / remarques : </t>
        </is>
      </c>
      <c r="D68" s="130" t="n"/>
      <c r="E68" s="130" t="n"/>
      <c r="F68" s="130" t="n"/>
    </row>
  </sheetData>
  <mergeCells count="53">
    <mergeCell ref="B4:F4"/>
    <mergeCell ref="B7:F7"/>
    <mergeCell ref="B47:F47"/>
    <mergeCell ref="B62:F62"/>
    <mergeCell ref="B54:F54"/>
    <mergeCell ref="B66:F66"/>
    <mergeCell ref="B31:F31"/>
    <mergeCell ref="B46:F46"/>
    <mergeCell ref="C32:F32"/>
    <mergeCell ref="B56:F56"/>
    <mergeCell ref="B58:F58"/>
    <mergeCell ref="B27:F27"/>
    <mergeCell ref="A2:F2"/>
    <mergeCell ref="B12:F12"/>
    <mergeCell ref="B39:F39"/>
    <mergeCell ref="B48:F48"/>
    <mergeCell ref="B11:F11"/>
    <mergeCell ref="B67:F67"/>
    <mergeCell ref="C68:F68"/>
    <mergeCell ref="B14:F14"/>
    <mergeCell ref="B8:F8"/>
    <mergeCell ref="B13:F13"/>
    <mergeCell ref="B57:F57"/>
    <mergeCell ref="A43:F43"/>
    <mergeCell ref="B44:F44"/>
    <mergeCell ref="B53:F53"/>
    <mergeCell ref="B29:F29"/>
    <mergeCell ref="A52:F52"/>
    <mergeCell ref="B38:F38"/>
    <mergeCell ref="B10:F10"/>
    <mergeCell ref="B28:F28"/>
    <mergeCell ref="B37:F37"/>
    <mergeCell ref="A34:F34"/>
    <mergeCell ref="C41:F41"/>
    <mergeCell ref="B40:F40"/>
    <mergeCell ref="B9:F9"/>
    <mergeCell ref="C50:F50"/>
    <mergeCell ref="B49:F49"/>
    <mergeCell ref="B30:F30"/>
    <mergeCell ref="B65:F65"/>
    <mergeCell ref="B55:F55"/>
    <mergeCell ref="B6:F6"/>
    <mergeCell ref="B64:F64"/>
    <mergeCell ref="A1:F1"/>
    <mergeCell ref="B5:F5"/>
    <mergeCell ref="C59:F59"/>
    <mergeCell ref="A61:F61"/>
    <mergeCell ref="B45:F45"/>
    <mergeCell ref="B63:F63"/>
    <mergeCell ref="B36:F36"/>
    <mergeCell ref="B26:F26"/>
    <mergeCell ref="A25:F25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E75B6"/>
    <outlinePr summaryBelow="1" summaryRight="1"/>
    <pageSetUpPr fitToPage="1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9" t="inlineStr">
        <is>
          <t>GÉNÉRATEUR DE SÉQUENCE 2024 — S5 · Le lampadaire intelligent (2) : le réseau local du collège</t>
        </is>
      </c>
    </row>
    <row r="2" ht="15" customHeight="1" s="105">
      <c r="A2" s="131" t="inlineStr">
        <is>
          <t>Thème 2 · P3/P4 · 3 séances de 1 h 30 · Responsable : Fable (Th. 2) · Ressources ✅ en ligne (séquence lampadaire, séances 5-6 + QCM ciblé)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2" t="inlineStr">
        <is>
          <t>Problématique</t>
        </is>
      </c>
      <c r="B4" s="192" t="inlineStr">
        <is>
          <t>Comment les informations circulent-elles entre les postes du collège ?</t>
        </is>
      </c>
      <c r="C4" s="130" t="n"/>
      <c r="D4" s="130" t="n"/>
      <c r="E4" s="130" t="n"/>
      <c r="F4" s="130" t="n"/>
    </row>
    <row r="5" ht="27.75" customHeight="1" s="105">
      <c r="A5" s="182" t="inlineStr">
        <is>
          <t>Situation déclenchante</t>
        </is>
      </c>
      <c r="B5" s="192" t="inlineStr">
        <is>
          <t>Une impression lancée depuis la salle de techno sort au CDI ; deux tablettes portent le même nom et le réseau « se trompe ». Comment le réseau du collège sait-il à qui livrer ?</t>
        </is>
      </c>
      <c r="C5" s="130" t="n"/>
      <c r="D5" s="130" t="n"/>
      <c r="E5" s="130" t="n"/>
      <c r="F5" s="130" t="n"/>
    </row>
    <row r="6" ht="27.75" customHeight="1" s="105">
      <c r="A6" s="182" t="inlineStr">
        <is>
          <t>Prérequis</t>
        </is>
      </c>
      <c r="B6" s="192" t="inlineStr">
        <is>
          <t>Séquence S4 (chaîne d'information : le lampadaire communique déjà son état).</t>
        </is>
      </c>
      <c r="C6" s="130" t="n"/>
      <c r="D6" s="130" t="n"/>
      <c r="E6" s="130" t="n"/>
      <c r="F6" s="130" t="n"/>
    </row>
    <row r="7" ht="39" customHeight="1" s="105">
      <c r="A7" s="182" t="inlineStr">
        <is>
          <t>Éléments pour la synthèse (objectifs)</t>
        </is>
      </c>
      <c r="B7" s="192" t="inlineStr">
        <is>
          <t>Composants du réseau local : terminaux, commutateur, borne Wi-Fi, serveur · liaisons filaires / sans fil · chaque terminal a un nom et une adresse UNIQUES : sans identification, pas de livraison.</t>
        </is>
      </c>
      <c r="C7" s="130" t="n"/>
      <c r="D7" s="130" t="n"/>
      <c r="E7" s="130" t="n"/>
      <c r="F7" s="130" t="n"/>
    </row>
    <row r="8" ht="27.75" customHeight="1" s="105">
      <c r="A8" s="182" t="inlineStr">
        <is>
          <t>Piste d'évaluation</t>
        </is>
      </c>
      <c r="B8" s="192" t="inlineStr">
        <is>
          <t>Formative : jeu du courrier (act. 6 en ligne, jouable avec enveloppes réelles) ; schéma de réseau légendé ; QCM ciblé C4.7-C4.8 (8 q).</t>
        </is>
      </c>
      <c r="C8" s="130" t="n"/>
      <c r="D8" s="130" t="n"/>
      <c r="E8" s="130" t="n"/>
      <c r="F8" s="130" t="n"/>
    </row>
    <row r="9" ht="27.75" customHeight="1" s="105">
      <c r="A9" s="182" t="inlineStr">
        <is>
          <t>Domaines du socle mobilisés</t>
        </is>
      </c>
      <c r="B9" s="192" t="inlineStr">
        <is>
          <t>D2, D4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2" t="inlineStr">
        <is>
          <t>CRCN — compétences numériques (Pix)</t>
        </is>
      </c>
      <c r="B10" s="192" t="inlineStr">
        <is>
          <t>5.1 Résoudre des problèmes techniques (Niv. 1-2 : composants, connexion, identification) · 2.1 Interagir (Niv. 1-2 : règles de la communication en réseau)</t>
        </is>
      </c>
      <c r="C10" s="130" t="n"/>
      <c r="D10" s="130" t="n"/>
      <c r="E10" s="130" t="n"/>
      <c r="F10" s="130" t="n"/>
    </row>
    <row r="11" ht="27.75" customHeight="1" s="105">
      <c r="A11" s="182" t="inlineStr">
        <is>
          <t>Versions 🅰 / 🅱 / 🅲</t>
        </is>
      </c>
      <c r="B11" s="192" t="inlineStr">
        <is>
          <t>🅰 jeu du courrier avec enveloppes réelles + visite de la baie de brassage du collège · 🅱 schéma actif + activités en ligne · 🅲 fiches papier.</t>
        </is>
      </c>
      <c r="C11" s="130" t="n"/>
      <c r="D11" s="130" t="n"/>
      <c r="E11" s="130" t="n"/>
      <c r="F11" s="130" t="n"/>
    </row>
    <row r="12" ht="27.75" customHeight="1" s="105">
      <c r="A12" s="182" t="inlineStr">
        <is>
          <t>Liens EPI / parcours</t>
        </is>
      </c>
      <c r="B12" s="192" t="inlineStr">
        <is>
          <t>Vers Pix D2 (communication) et D5 (résoudre des problèmes techniques) · Point méthode Nathan 4 p.89 (adresse IP).</t>
        </is>
      </c>
      <c r="C12" s="130" t="n"/>
      <c r="D12" s="130" t="n"/>
      <c r="E12" s="130" t="n"/>
      <c r="F12" s="130" t="n"/>
    </row>
    <row r="13" ht="27.75" customHeight="1" s="105">
      <c r="A13" s="182" t="inlineStr">
        <is>
          <t>Cahier Nathan 5e</t>
        </is>
      </c>
      <c r="B13" s="192" t="inlineStr">
        <is>
          <t>Point méthode 4 p.89 (adresse IP) · Vers Pix D2/D5 p.103-110, 125-128</t>
        </is>
      </c>
      <c r="C13" s="130" t="n"/>
      <c r="D13" s="130" t="n"/>
      <c r="E13" s="130" t="n"/>
      <c r="F13" s="130" t="n"/>
    </row>
    <row r="14" ht="27.75" customHeight="1" s="105">
      <c r="A14" s="182" t="inlineStr">
        <is>
          <t>Ressources en ligne</t>
        </is>
      </c>
      <c r="B14" s="192" t="inlineStr">
        <is>
          <t>✅ Séquence (séances 5) + QCM (8 q ciblées C4.7-C4.8) + synthèses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5e_C4.7</t>
        </is>
      </c>
      <c r="B18" s="140" t="inlineStr">
        <is>
          <t>Identifier les composants qui constituent un réseau local (terminaux, commutateurs, liaisons filaires et sans fil (WiFi)) et sa topologie.</t>
        </is>
      </c>
      <c r="C18" s="140" t="inlineStr">
        <is>
          <t>D2, D4</t>
        </is>
      </c>
      <c r="D18" s="140" t="inlineStr">
        <is>
          <t>Séances 1-2</t>
        </is>
      </c>
      <c r="E18" s="140" t="inlineStr">
        <is>
          <t>Formative + QCM ciblé → LSU</t>
        </is>
      </c>
    </row>
    <row r="19" ht="30" customHeight="1" s="105">
      <c r="A19" s="177" t="inlineStr">
        <is>
          <t>5e_C4.8</t>
        </is>
      </c>
      <c r="B19" s="140" t="inlineStr">
        <is>
          <t>Justifier la nécessité d’identifier les terminaux pour communiquer sur un réseau local (activité débranchée et vérification par un outil de simulation).</t>
        </is>
      </c>
      <c r="C19" s="140" t="inlineStr">
        <is>
          <t>D2, D4</t>
        </is>
      </c>
      <c r="D19" s="140" t="inlineStr">
        <is>
          <t>Séances 1-3</t>
        </is>
      </c>
      <c r="E19" s="140" t="inlineStr">
        <is>
          <t>Formative (jeu du courrier) + QCM ciblé → LSU</t>
        </is>
      </c>
    </row>
    <row r="21" ht="15" customHeight="1" s="105">
      <c r="A21" s="152" t="inlineStr">
        <is>
          <t>Déroulé, séance par séance — avec cahier de texte Pronote prêt à coller</t>
        </is>
      </c>
    </row>
    <row r="22" ht="15" customHeight="1" s="105">
      <c r="A22" s="200" t="inlineStr">
        <is>
          <t>■ Séance 1 — semaine S19 — 🏫 En classe — Le jeu du courrier : pourquoi s'identifier ?</t>
        </is>
      </c>
    </row>
    <row r="23" ht="27.75" customHeight="1" s="105">
      <c r="A23" s="182" t="inlineStr">
        <is>
          <t>Question directrice</t>
        </is>
      </c>
      <c r="B23" s="192" t="inlineStr">
        <is>
          <t>Que se passe-t-il si deux terminaux portent le même nom ?</t>
        </is>
      </c>
      <c r="C23" s="130" t="n"/>
      <c r="D23" s="130" t="n"/>
      <c r="E23" s="130" t="n"/>
      <c r="F23" s="130" t="n"/>
    </row>
    <row r="24" ht="64.5" customHeight="1" s="105">
      <c r="A24" s="182" t="inlineStr">
        <is>
          <t>Activités &amp; supports</t>
        </is>
      </c>
      <c r="B24" s="192" t="inlineStr">
        <is>
          <t>Jeu du courrier débranché (version 🅰 : enveloppes réelles, élèves-facteurs) puis vérification sur l'activité 6 en ligne : conflit TABLETTE-07, message sans destinataire. Séquence en ligne : https://pll-process.github.io/en-ligne-pour-le-cycle-4/theme-2-structure-fonctionnement-comportement/C4-decrire-et-caracteriser-lorganisation/5e/5e_C4.1/sequence_5e_C4.1-C4.8_lampadaire_intelligent.html</t>
        </is>
      </c>
      <c r="C24" s="130" t="n"/>
      <c r="D24" s="130" t="n"/>
      <c r="E24" s="130" t="n"/>
      <c r="F24" s="130" t="n"/>
    </row>
    <row r="25" ht="27.75" customHeight="1" s="105">
      <c r="A25" s="182" t="inlineStr">
        <is>
          <t>Démarche / organisation</t>
        </is>
      </c>
      <c r="B25" s="192" t="inlineStr">
        <is>
          <t>Activité débranchée collective (30 min) + correction sur la page (le programme de 5e prescrit exactement cela : activité débranchée + vérification par simulation).</t>
        </is>
      </c>
      <c r="C25" s="130" t="n"/>
      <c r="D25" s="130" t="n"/>
      <c r="E25" s="130" t="n"/>
      <c r="F25" s="130" t="n"/>
    </row>
    <row r="26" ht="27.75" customHeight="1" s="105">
      <c r="A26" s="182" t="inlineStr">
        <is>
          <t>Bilan / trace écrite</t>
        </is>
      </c>
      <c r="B26" s="192" t="inlineStr">
        <is>
          <t>Un nom et une adresse UNIQUES par terminal — comme une lettre : sans destinataire unique, pas de livraison.</t>
        </is>
      </c>
      <c r="C26" s="130" t="n"/>
      <c r="D26" s="130" t="n"/>
      <c r="E26" s="130" t="n"/>
      <c r="F26" s="130" t="n"/>
    </row>
    <row r="27" ht="39.75" customHeight="1" s="105">
      <c r="A27" s="194" t="inlineStr">
        <is>
          <t>📋 CAHIER DE TEXTE
Contenu de la séance
(copier-coller Pronote)</t>
        </is>
      </c>
      <c r="B27" s="195" t="inlineStr">
        <is>
          <t>Séquence « Le réseau du collège » — Séance 1 : jeu du courrier (activité débranchée). Conflit de noms, message sans destinataire. Règle : chaque terminal du réseau doit être identifié de façon unique.</t>
        </is>
      </c>
      <c r="C27" s="130" t="n"/>
      <c r="D27" s="130" t="n"/>
      <c r="E27" s="130" t="n"/>
      <c r="F27" s="130" t="n"/>
    </row>
    <row r="28" ht="51.75" customHeight="1" s="105">
      <c r="A28" s="194" t="inlineStr">
        <is>
          <t>📋 CAHIER DE TEXTE
Travail à faire
(copier-coller Pronote)</t>
        </is>
      </c>
      <c r="B28" s="195" t="inlineStr">
        <is>
          <t>Refaire l'activité 6 (jeu du courrier) en ligne pour vérifier ta règle : https://pll-process.github.io/en-ligne-pour-le-cycle-4/theme-2-structure-fonctionnement-comportement/C4-decrire-et-caracteriser-lorganisation/5e/5e_C4.1/sequence_5e_C4.1-C4.8_lampadaire_intelligent.html ≈ 10 min.</t>
        </is>
      </c>
      <c r="C28" s="130" t="n"/>
      <c r="D28" s="130" t="n"/>
      <c r="E28" s="130" t="n"/>
      <c r="F28" s="130" t="n"/>
    </row>
    <row r="29" ht="15" customHeight="1" s="105">
      <c r="A29" s="196" t="inlineStr">
        <is>
          <t>Suivi enseignant</t>
        </is>
      </c>
      <c r="B29" s="197" t="inlineStr">
        <is>
          <t>Fait le : ____________</t>
        </is>
      </c>
      <c r="C29" s="198" t="inlineStr">
        <is>
          <t xml:space="preserve">Report / aléa / remarques : </t>
        </is>
      </c>
      <c r="D29" s="130" t="n"/>
      <c r="E29" s="130" t="n"/>
      <c r="F29" s="130" t="n"/>
    </row>
    <row r="31" ht="15" customHeight="1" s="105">
      <c r="A31" s="200" t="inlineStr">
        <is>
          <t>■ Séance 2 — semaine S21 — 🔁 Hybride — Les composants du réseau local</t>
        </is>
      </c>
    </row>
    <row r="32" ht="27.75" customHeight="1" s="105">
      <c r="A32" s="182" t="inlineStr">
        <is>
          <t>Question directrice</t>
        </is>
      </c>
      <c r="B32" s="192" t="inlineStr">
        <is>
          <t>Quel chemin suit mon fichier quand j'imprime au CDI ?</t>
        </is>
      </c>
      <c r="C32" s="130" t="n"/>
      <c r="D32" s="130" t="n"/>
      <c r="E32" s="130" t="n"/>
      <c r="F32" s="130" t="n"/>
    </row>
    <row r="33" ht="64.5" customHeight="1" s="105">
      <c r="A33" s="182" t="inlineStr">
        <is>
          <t>Activités &amp; supports</t>
        </is>
      </c>
      <c r="B33" s="192" t="inlineStr">
        <is>
          <t>Activité 5 : schéma du réseau du collège (terminaux, commutateur, borne Wi-Fi, serveur, liaisons filaires/sans fil) ; si possible, visite de la salle info / baie de brassage. Séquence en ligne : https://pll-process.github.io/en-ligne-pour-le-cycle-4/theme-2-structure-fonctionnement-comportement/C4-decrire-et-caracteriser-lorganisation/5e/5e_C4.1/sequence_5e_C4.1-C4.8_lampadaire_intelligent.html</t>
        </is>
      </c>
      <c r="C33" s="130" t="n"/>
      <c r="D33" s="130" t="n"/>
      <c r="E33" s="130" t="n"/>
      <c r="F33" s="130" t="n"/>
    </row>
    <row r="34" ht="27.75" customHeight="1" s="105">
      <c r="A34" s="182" t="inlineStr">
        <is>
          <t>Démarche / organisation</t>
        </is>
      </c>
      <c r="B34" s="192" t="inlineStr">
        <is>
          <t>Investigation ; repérage des équipements RÉELS du collège puis schéma actif en ligne.</t>
        </is>
      </c>
      <c r="C34" s="130" t="n"/>
      <c r="D34" s="130" t="n"/>
      <c r="E34" s="130" t="n"/>
      <c r="F34" s="130" t="n"/>
    </row>
    <row r="35" ht="27.75" customHeight="1" s="105">
      <c r="A35" s="182" t="inlineStr">
        <is>
          <t>Bilan / trace écrite</t>
        </is>
      </c>
      <c r="B35" s="192" t="inlineStr">
        <is>
          <t>Schéma de réseau local légendé (évaluation-repère du référentiel).</t>
        </is>
      </c>
      <c r="C35" s="130" t="n"/>
      <c r="D35" s="130" t="n"/>
      <c r="E35" s="130" t="n"/>
      <c r="F35" s="130" t="n"/>
    </row>
    <row r="36" ht="39.75" customHeight="1" s="105">
      <c r="A36" s="194" t="inlineStr">
        <is>
          <t>📋 CAHIER DE TEXTE
Contenu de la séance
(copier-coller Pronote)</t>
        </is>
      </c>
      <c r="B36" s="195" t="inlineStr">
        <is>
          <t>Séance 2 : les composants du réseau local du collège — terminaux, commutateur, borne Wi-Fi, serveur ; liaisons filaires et sans fil. Schéma légendé dans le cahier.</t>
        </is>
      </c>
      <c r="C36" s="130" t="n"/>
      <c r="D36" s="130" t="n"/>
      <c r="E36" s="130" t="n"/>
      <c r="F36" s="130" t="n"/>
    </row>
    <row r="37" ht="78" customHeight="1" s="105">
      <c r="A37" s="194" t="inlineStr">
        <is>
          <t>📋 CAHIER DE TEXTE
Travail à faire
(copier-coller Pronote)</t>
        </is>
      </c>
      <c r="B37" s="195" t="inlineStr">
        <is>
          <t>Terminer l'activité 5 en ligne (schéma du réseau) : https://pll-process.github.io/en-ligne-pour-le-cycle-4/theme-2-structure-fonctionnement-comportement/C4-decrire-et-caracteriser-lorganisation/5e/5e_C4.1/sequence_5e_C4.1-C4.8_lampadaire_intelligent.html puis QCM mode « Compétence ciblée » 5e_C4.7 : https://pll-process.github.io/en-ligne-pour-le-cycle-4/theme-2-structure-fonctionnement-comportement/C4-decrire-et-caracteriser-lorganisation/5e/5e_C4.1/qcm_5e_C4.1-C4.8_lampadaire_intelligent.html ≈ 20 min.</t>
        </is>
      </c>
      <c r="C37" s="130" t="n"/>
      <c r="D37" s="130" t="n"/>
      <c r="E37" s="130" t="n"/>
      <c r="F37" s="130" t="n"/>
    </row>
    <row r="38" ht="15" customHeight="1" s="105">
      <c r="A38" s="196" t="inlineStr">
        <is>
          <t>Suivi enseignant</t>
        </is>
      </c>
      <c r="B38" s="197" t="inlineStr">
        <is>
          <t>Fait le : ____________</t>
        </is>
      </c>
      <c r="C38" s="198" t="inlineStr">
        <is>
          <t xml:space="preserve">Report / aléa / remarques : </t>
        </is>
      </c>
      <c r="D38" s="130" t="n"/>
      <c r="E38" s="130" t="n"/>
      <c r="F38" s="130" t="n"/>
    </row>
    <row r="40" ht="15" customHeight="1" s="105">
      <c r="A40" s="200" t="inlineStr">
        <is>
          <t>■ Séance 3 — semaine S22 — 🏠 puis 🏫 — Bilan réseau + évaluation</t>
        </is>
      </c>
    </row>
    <row r="41" ht="27.75" customHeight="1" s="105">
      <c r="A41" s="182" t="inlineStr">
        <is>
          <t>Question directrice</t>
        </is>
      </c>
      <c r="B41" s="192" t="inlineStr">
        <is>
          <t>Où en suis-je sur C4.7 et C4.8 ?</t>
        </is>
      </c>
      <c r="C41" s="130" t="n"/>
      <c r="D41" s="130" t="n"/>
      <c r="E41" s="130" t="n"/>
      <c r="F41" s="130" t="n"/>
    </row>
    <row r="42" ht="27.75" customHeight="1" s="105">
      <c r="A42" s="182" t="inlineStr">
        <is>
          <t>Activités &amp; supports</t>
        </is>
      </c>
      <c r="B42" s="192" t="inlineStr">
        <is>
          <t>Correction du QCM ciblé C4.7-C4.8 fait à la maison ; évaluation courte (schéma à légender + 2 questions d'identification) ; ouverture : et entre deux réseaux ? (Internet — vu en 4e/3e).</t>
        </is>
      </c>
      <c r="C42" s="130" t="n"/>
      <c r="D42" s="130" t="n"/>
      <c r="E42" s="130" t="n"/>
      <c r="F42" s="130" t="n"/>
    </row>
    <row r="43" ht="27.75" customHeight="1" s="105">
      <c r="A43" s="182" t="inlineStr">
        <is>
          <t>Démarche / organisation</t>
        </is>
      </c>
      <c r="B43" s="192" t="inlineStr">
        <is>
          <t>Bilan collectif + évaluation 30 min.</t>
        </is>
      </c>
      <c r="C43" s="130" t="n"/>
      <c r="D43" s="130" t="n"/>
      <c r="E43" s="130" t="n"/>
      <c r="F43" s="130" t="n"/>
    </row>
    <row r="44" ht="27.75" customHeight="1" s="105">
      <c r="A44" s="182" t="inlineStr">
        <is>
          <t>Bilan / trace écrite</t>
        </is>
      </c>
      <c r="B44" s="192" t="inlineStr">
        <is>
          <t>Synthèse (partie réseau) distribuée.</t>
        </is>
      </c>
      <c r="C44" s="130" t="n"/>
      <c r="D44" s="130" t="n"/>
      <c r="E44" s="130" t="n"/>
      <c r="F44" s="130" t="n"/>
    </row>
    <row r="45" ht="39.75" customHeight="1" s="105">
      <c r="A45" s="194" t="inlineStr">
        <is>
          <t>📋 CAHIER DE TEXTE
Contenu de la séance
(copier-coller Pronote)</t>
        </is>
      </c>
      <c r="B45" s="195" t="inlineStr">
        <is>
          <t>Séance 3 : bilan de la mini-séquence réseau et évaluation (schéma du réseau local + identification des terminaux).</t>
        </is>
      </c>
      <c r="C45" s="130" t="n"/>
      <c r="D45" s="130" t="n"/>
      <c r="E45" s="130" t="n"/>
      <c r="F45" s="130" t="n"/>
    </row>
    <row r="46" ht="51.75" customHeight="1" s="105">
      <c r="A46" s="194" t="inlineStr">
        <is>
          <t>📋 CAHIER DE TEXTE
Travail à faire
(copier-coller Pronote)</t>
        </is>
      </c>
      <c r="B46" s="195" t="inlineStr">
        <is>
          <t>Fait avant la séance : QCM mode « Compétence ciblée » 5e_C4.8 : https://pll-process.github.io/en-ligne-pour-le-cycle-4/theme-2-structure-fonctionnement-comportement/C4-decrire-et-caracteriser-lorganisation/5e/5e_C4.1/qcm_5e_C4.1-C4.8_lampadaire_intelligent.html ≈ 10 min. Après la séance : rien — pour réviser, mode « Uniquement mes erreurs ».</t>
        </is>
      </c>
      <c r="C46" s="130" t="n"/>
      <c r="D46" s="130" t="n"/>
      <c r="E46" s="130" t="n"/>
      <c r="F46" s="130" t="n"/>
    </row>
    <row r="47" ht="15" customHeight="1" s="105">
      <c r="A47" s="196" t="inlineStr">
        <is>
          <t>Suivi enseignant</t>
        </is>
      </c>
      <c r="B47" s="197" t="inlineStr">
        <is>
          <t>Fait le : ____________</t>
        </is>
      </c>
      <c r="C47" s="198" t="inlineStr">
        <is>
          <t xml:space="preserve">Report / aléa / remarques : </t>
        </is>
      </c>
      <c r="D47" s="130" t="n"/>
      <c r="E47" s="130" t="n"/>
      <c r="F47" s="130" t="n"/>
    </row>
  </sheetData>
  <mergeCells count="37">
    <mergeCell ref="B4:F4"/>
    <mergeCell ref="B7:F7"/>
    <mergeCell ref="B25:F25"/>
    <mergeCell ref="C38:F38"/>
    <mergeCell ref="B46:F46"/>
    <mergeCell ref="B27:F27"/>
    <mergeCell ref="A2:F2"/>
    <mergeCell ref="B43:F43"/>
    <mergeCell ref="B12:F12"/>
    <mergeCell ref="B11:F11"/>
    <mergeCell ref="B42:F42"/>
    <mergeCell ref="A22:F22"/>
    <mergeCell ref="B23:F23"/>
    <mergeCell ref="B14:F14"/>
    <mergeCell ref="B8:F8"/>
    <mergeCell ref="B13:F13"/>
    <mergeCell ref="B44:F44"/>
    <mergeCell ref="B34:F34"/>
    <mergeCell ref="B10:F10"/>
    <mergeCell ref="B28:F28"/>
    <mergeCell ref="C29:F29"/>
    <mergeCell ref="A31:F31"/>
    <mergeCell ref="B37:F37"/>
    <mergeCell ref="A40:F40"/>
    <mergeCell ref="C47:F47"/>
    <mergeCell ref="B9:F9"/>
    <mergeCell ref="B6:F6"/>
    <mergeCell ref="B24:F24"/>
    <mergeCell ref="B33:F33"/>
    <mergeCell ref="A1:F1"/>
    <mergeCell ref="B5:F5"/>
    <mergeCell ref="B45:F45"/>
    <mergeCell ref="B36:F36"/>
    <mergeCell ref="B32:F32"/>
    <mergeCell ref="B26:F26"/>
    <mergeCell ref="B41:F41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E75B6"/>
    <outlinePr summaryBelow="1" summaryRight="1"/>
    <pageSetUpPr fitToPage="1"/>
  </sheetPr>
  <dimension ref="A1:F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199" t="inlineStr">
        <is>
          <t>GÉNÉRATEUR DE SÉQUENCE 2024 — S6 · SOS panne : dépanner un objet technique</t>
        </is>
      </c>
    </row>
    <row r="2" ht="15" customHeight="1" s="105">
      <c r="A2" s="131" t="inlineStr">
        <is>
          <t>Thème 2 · P4 · 4 séances de 1 h 30 · Responsable : Fable (Th. 2) · Ressources en ligne 🔜 (Fable) — repères Nathan posés, cahier de texte pré-rédigé à ajuster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2" t="inlineStr">
        <is>
          <t>Problématique</t>
        </is>
      </c>
      <c r="B4" s="192" t="inlineStr">
        <is>
          <t>Comment identifier et réparer la panne d'un objet technique ?</t>
        </is>
      </c>
      <c r="C4" s="130" t="n"/>
      <c r="D4" s="130" t="n"/>
      <c r="E4" s="130" t="n"/>
      <c r="F4" s="130" t="n"/>
    </row>
    <row r="5" ht="27.75" customHeight="1" s="105">
      <c r="A5" s="182" t="inlineStr">
        <is>
          <t>Situation déclenchante</t>
        </is>
      </c>
      <c r="B5" s="192" t="inlineStr">
        <is>
          <t>Le sac à dos de la vie scolaire, la souris de la salle info, la trottinette d'un élève : trois objets en panne. Jeter… ou réparer ? (Ouverture EDD : économiser les ressources.)</t>
        </is>
      </c>
      <c r="C5" s="130" t="n"/>
      <c r="D5" s="130" t="n"/>
      <c r="E5" s="130" t="n"/>
      <c r="F5" s="130" t="n"/>
    </row>
    <row r="6" ht="27.75" customHeight="1" s="105">
      <c r="A6" s="182" t="inlineStr">
        <is>
          <t>Prérequis</t>
        </is>
      </c>
      <c r="B6" s="192" t="inlineStr">
        <is>
          <t>S2 (observation d'objets réels), S3 (constituants).</t>
        </is>
      </c>
      <c r="C6" s="130" t="n"/>
      <c r="D6" s="130" t="n"/>
      <c r="E6" s="130" t="n"/>
      <c r="F6" s="130" t="n"/>
    </row>
    <row r="7" ht="27.75" customHeight="1" s="105">
      <c r="A7" s="182" t="inlineStr">
        <is>
          <t>Éléments pour la synthèse (objectifs)</t>
        </is>
      </c>
      <c r="B7" s="192" t="inlineStr">
        <is>
          <t>Repérer VISUELLEMENT une pièce défectueuse · réparer en suivant un protocole FOURNI · découvrir les procédés d'un atelier de fabrication (imprimante 3D).</t>
        </is>
      </c>
      <c r="C7" s="130" t="n"/>
      <c r="D7" s="130" t="n"/>
      <c r="E7" s="130" t="n"/>
      <c r="F7" s="130" t="n"/>
    </row>
    <row r="8" ht="27.75" customHeight="1" s="105">
      <c r="A8" s="182" t="inlineStr">
        <is>
          <t>Piste d'évaluation</t>
        </is>
      </c>
      <c r="B8" s="192" t="inlineStr">
        <is>
          <t>Fiche d'intervention technicien complétée (évaluation-repère du référentiel) ; QCM 🔜 avec la séquence en ligne.</t>
        </is>
      </c>
      <c r="C8" s="130" t="n"/>
      <c r="D8" s="130" t="n"/>
      <c r="E8" s="130" t="n"/>
      <c r="F8" s="130" t="n"/>
    </row>
    <row r="9" ht="27.75" customHeight="1" s="105">
      <c r="A9" s="182" t="inlineStr">
        <is>
          <t>Domaines du socle mobilisés</t>
        </is>
      </c>
      <c r="B9" s="192" t="inlineStr">
        <is>
          <t>D1.3, D2, D3,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2" t="inlineStr">
        <is>
          <t>CRCN — compétences numériques (Pix)</t>
        </is>
      </c>
      <c r="B10" s="192" t="inlineStr">
        <is>
          <t>5.1 Résoudre des problèmes techniques (Niv. 1 : identifier un problème simple) — séquence essentiellement manipulatoire</t>
        </is>
      </c>
      <c r="C10" s="130" t="n"/>
      <c r="D10" s="130" t="n"/>
      <c r="E10" s="130" t="n"/>
      <c r="F10" s="130" t="n"/>
    </row>
    <row r="11" ht="27.75" customHeight="1" s="105">
      <c r="A11" s="182" t="inlineStr">
        <is>
          <t>Versions 🅰 / 🅱 / 🅲</t>
        </is>
      </c>
      <c r="B11" s="192" t="inlineStr">
        <is>
          <t>🅰 objets réels à démonter + visite atelier/imprimante 3D · 🅱 simulateur de diagnostic en ligne (🔜, sur le modèle 3e « SOS station ») · 🅲 fiches papier Nathan.</t>
        </is>
      </c>
      <c r="C11" s="130" t="n"/>
      <c r="D11" s="130" t="n"/>
      <c r="E11" s="130" t="n"/>
      <c r="F11" s="130" t="n"/>
    </row>
    <row r="12" ht="27.75" customHeight="1" s="105">
      <c r="A12" s="182" t="inlineStr">
        <is>
          <t>Liens EPI / parcours</t>
        </is>
      </c>
      <c r="B12" s="192" t="inlineStr">
        <is>
          <t>EDD (réparer plutôt que jeter, indice de réparabilité) · parcours Avenir (métiers de la maintenance).</t>
        </is>
      </c>
      <c r="C12" s="130" t="n"/>
      <c r="D12" s="130" t="n"/>
      <c r="E12" s="130" t="n"/>
      <c r="F12" s="130" t="n"/>
    </row>
    <row r="13" ht="27.75" customHeight="1" s="105">
      <c r="A13" s="182" t="inlineStr">
        <is>
          <t>Cahier Nathan 5e</t>
        </is>
      </c>
      <c r="B13" s="192" t="inlineStr">
        <is>
          <t>Prob. 5 p.37-44 (réparer un sac à dos) · Point méthode 5 p.90 (imprimante 3D)</t>
        </is>
      </c>
      <c r="C13" s="130" t="n"/>
      <c r="D13" s="130" t="n"/>
      <c r="E13" s="130" t="n"/>
      <c r="F13" s="130" t="n"/>
    </row>
    <row r="14" ht="27.75" customHeight="1" s="105">
      <c r="A14" s="182" t="inlineStr">
        <is>
          <t>Ressources en ligne</t>
        </is>
      </c>
      <c r="B14" s="192" t="inlineStr">
        <is>
          <t>🔜 À produire (Fable — prévu avant le 27/07 si possible, sinon après Conseil)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5e_C5.1</t>
        </is>
      </c>
      <c r="B18" s="140" t="inlineStr">
        <is>
          <t>Repérer visuellement une pièce défectueuse.</t>
        </is>
      </c>
      <c r="C18" s="140" t="inlineStr">
        <is>
          <t>D1.3, D2, D4</t>
        </is>
      </c>
      <c r="D18" s="140" t="inlineStr">
        <is>
          <t>Séances 1-2</t>
        </is>
      </c>
      <c r="E18" s="140" t="inlineStr">
        <is>
          <t>Formative → LSU</t>
        </is>
      </c>
    </row>
    <row r="19" ht="30" customHeight="1" s="105">
      <c r="A19" s="177" t="inlineStr">
        <is>
          <t>5e_C5.2</t>
        </is>
      </c>
      <c r="B19" s="140" t="inlineStr">
        <is>
          <t>Réaliser une réparation en suivant un protocole fourni.</t>
        </is>
      </c>
      <c r="C19" s="140" t="inlineStr">
        <is>
          <t>D2, D3, D4</t>
        </is>
      </c>
      <c r="D19" s="140" t="inlineStr">
        <is>
          <t>Séances 2-3</t>
        </is>
      </c>
      <c r="E19" s="140" t="inlineStr">
        <is>
          <t>Formative (protocole suivi) → LSU</t>
        </is>
      </c>
    </row>
    <row r="20" ht="30" customHeight="1" s="105">
      <c r="A20" s="177" t="inlineStr">
        <is>
          <t>5e_C5.3</t>
        </is>
      </c>
      <c r="B20" s="140" t="inlineStr">
        <is>
          <t>Découvrir les procédés de réalisation présents dans un atelier de fabrication collaboratif.</t>
        </is>
      </c>
      <c r="C20" s="140" t="inlineStr">
        <is>
          <t>D2, D3, D4, D5</t>
        </is>
      </c>
      <c r="D20" s="140" t="inlineStr">
        <is>
          <t>Séance 3</t>
        </is>
      </c>
      <c r="E20" s="140" t="inlineStr">
        <is>
          <t>Découverte (atelier de fabrication) → LSU</t>
        </is>
      </c>
    </row>
    <row r="22" ht="15" customHeight="1" s="105">
      <c r="A22" s="152" t="inlineStr">
        <is>
          <t>Déroulé, séance par séance — avec cahier de texte Pronote prêt à coller</t>
        </is>
      </c>
    </row>
    <row r="23" ht="15" customHeight="1" s="105">
      <c r="A23" s="200" t="inlineStr">
        <is>
          <t>■ Séance 1 — semaine S23 — 🏫 En classe — Observer pour diagnostiquer (5e_C5.1)</t>
        </is>
      </c>
    </row>
    <row r="24" ht="27.75" customHeight="1" s="105">
      <c r="A24" s="182" t="inlineStr">
        <is>
          <t>Question directrice</t>
        </is>
      </c>
      <c r="B24" s="192" t="inlineStr">
        <is>
          <t>Comment repérer À L'ŒIL la pièce défectueuse ?</t>
        </is>
      </c>
      <c r="C24" s="130" t="n"/>
      <c r="D24" s="130" t="n"/>
      <c r="E24" s="130" t="n"/>
      <c r="F24" s="130" t="n"/>
    </row>
    <row r="25" ht="27.75" customHeight="1" s="105">
      <c r="A25" s="182" t="inlineStr">
        <is>
          <t>Activités &amp; supports</t>
        </is>
      </c>
      <c r="B25" s="192" t="inlineStr">
        <is>
          <t>Ateliers tournants : 3 objets en panne « visible » (couture, câble, pièce cassée). Nathan Prob. 5 p.37-40. [Séquence en ligne 🔜 : simulateur de diagnostic 5e.]</t>
        </is>
      </c>
      <c r="C25" s="130" t="n"/>
      <c r="D25" s="130" t="n"/>
      <c r="E25" s="130" t="n"/>
      <c r="F25" s="130" t="n"/>
    </row>
    <row r="26" ht="27.75" customHeight="1" s="105">
      <c r="A26" s="182" t="inlineStr">
        <is>
          <t>Démarche / organisation</t>
        </is>
      </c>
      <c r="B26" s="192" t="inlineStr">
        <is>
          <t>Résolution de problème en îlots ; fiche d'observation.</t>
        </is>
      </c>
      <c r="C26" s="130" t="n"/>
      <c r="D26" s="130" t="n"/>
      <c r="E26" s="130" t="n"/>
      <c r="F26" s="130" t="n"/>
    </row>
    <row r="27" ht="27.75" customHeight="1" s="105">
      <c r="A27" s="182" t="inlineStr">
        <is>
          <t>Bilan / trace écrite</t>
        </is>
      </c>
      <c r="B27" s="192" t="inlineStr">
        <is>
          <t>Démarche : observer → localiser → nommer la pièce défectueuse.</t>
        </is>
      </c>
      <c r="C27" s="130" t="n"/>
      <c r="D27" s="130" t="n"/>
      <c r="E27" s="130" t="n"/>
      <c r="F27" s="130" t="n"/>
    </row>
    <row r="28" ht="39.75" customHeight="1" s="105">
      <c r="A28" s="194" t="inlineStr">
        <is>
          <t>📋 CAHIER DE TEXTE
Contenu de la séance
(copier-coller Pronote)</t>
        </is>
      </c>
      <c r="B28" s="195" t="inlineStr">
        <is>
          <t>Séquence « SOS panne » — Séance 1 : repérer visuellement une pièce défectueuse (3 objets étudiés en îlots). Fiche d'observation complétée.</t>
        </is>
      </c>
      <c r="C28" s="130" t="n"/>
      <c r="D28" s="130" t="n"/>
      <c r="E28" s="130" t="n"/>
      <c r="F28" s="130" t="n"/>
    </row>
    <row r="29" ht="39.75" customHeight="1" s="105">
      <c r="A29" s="194" t="inlineStr">
        <is>
          <t>📋 CAHIER DE TEXTE
Travail à faire
(copier-coller Pronote)</t>
        </is>
      </c>
      <c r="B29" s="195" t="inlineStr">
        <is>
          <t>Cahier Nathan p.38-39 : terminer l'activité d'observation. [Lien séquence en ligne : à ajouter dès mise en ligne.]</t>
        </is>
      </c>
      <c r="C29" s="130" t="n"/>
      <c r="D29" s="130" t="n"/>
      <c r="E29" s="130" t="n"/>
      <c r="F29" s="130" t="n"/>
    </row>
    <row r="30" ht="15" customHeight="1" s="105">
      <c r="A30" s="196" t="inlineStr">
        <is>
          <t>Suivi enseignant</t>
        </is>
      </c>
      <c r="B30" s="197" t="inlineStr">
        <is>
          <t>Fait le : ____________</t>
        </is>
      </c>
      <c r="C30" s="198" t="inlineStr">
        <is>
          <t xml:space="preserve">Report / aléa / remarques : </t>
        </is>
      </c>
      <c r="D30" s="130" t="n"/>
      <c r="E30" s="130" t="n"/>
      <c r="F30" s="130" t="n"/>
    </row>
    <row r="32" ht="15" customHeight="1" s="105">
      <c r="A32" s="200" t="inlineStr">
        <is>
          <t>■ Séance 2 — semaine S24 — 🏫 En classe — Réparer avec un protocole (5e_C5.2)</t>
        </is>
      </c>
    </row>
    <row r="33" ht="27.75" customHeight="1" s="105">
      <c r="A33" s="182" t="inlineStr">
        <is>
          <t>Question directrice</t>
        </is>
      </c>
      <c r="B33" s="192" t="inlineStr">
        <is>
          <t>Comment réparer SANS improviser ?</t>
        </is>
      </c>
      <c r="C33" s="130" t="n"/>
      <c r="D33" s="130" t="n"/>
      <c r="E33" s="130" t="n"/>
      <c r="F33" s="130" t="n"/>
    </row>
    <row r="34" ht="27.75" customHeight="1" s="105">
      <c r="A34" s="182" t="inlineStr">
        <is>
          <t>Activités &amp; supports</t>
        </is>
      </c>
      <c r="B34" s="192" t="inlineStr">
        <is>
          <t>Réparation guidée par protocole fourni (sac à dos Nathan p.44 / objet réel du collège). Sécurité outillage.</t>
        </is>
      </c>
      <c r="C34" s="130" t="n"/>
      <c r="D34" s="130" t="n"/>
      <c r="E34" s="130" t="n"/>
      <c r="F34" s="130" t="n"/>
    </row>
    <row r="35" ht="27.75" customHeight="1" s="105">
      <c r="A35" s="182" t="inlineStr">
        <is>
          <t>Démarche / organisation</t>
        </is>
      </c>
      <c r="B35" s="192" t="inlineStr">
        <is>
          <t>Binômes, protocole pas à pas, vérification à chaque étape.</t>
        </is>
      </c>
      <c r="C35" s="130" t="n"/>
      <c r="D35" s="130" t="n"/>
      <c r="E35" s="130" t="n"/>
      <c r="F35" s="130" t="n"/>
    </row>
    <row r="36" ht="27.75" customHeight="1" s="105">
      <c r="A36" s="182" t="inlineStr">
        <is>
          <t>Bilan / trace écrite</t>
        </is>
      </c>
      <c r="B36" s="192" t="inlineStr">
        <is>
          <t>Un protocole garantit le résultat et la sécurité ; on teste APRÈS la réparation.</t>
        </is>
      </c>
      <c r="C36" s="130" t="n"/>
      <c r="D36" s="130" t="n"/>
      <c r="E36" s="130" t="n"/>
      <c r="F36" s="130" t="n"/>
    </row>
    <row r="37" ht="39.75" customHeight="1" s="105">
      <c r="A37" s="194" t="inlineStr">
        <is>
          <t>📋 CAHIER DE TEXTE
Contenu de la séance
(copier-coller Pronote)</t>
        </is>
      </c>
      <c r="B37" s="195" t="inlineStr">
        <is>
          <t>Séance 2 : réparer en suivant un protocole fourni (démarche de réparation du sac à dos). Test de la réparation.</t>
        </is>
      </c>
      <c r="C37" s="130" t="n"/>
      <c r="D37" s="130" t="n"/>
      <c r="E37" s="130" t="n"/>
      <c r="F37" s="130" t="n"/>
    </row>
    <row r="38" ht="39.75" customHeight="1" s="105">
      <c r="A38" s="194" t="inlineStr">
        <is>
          <t>📋 CAHIER DE TEXTE
Travail à faire
(copier-coller Pronote)</t>
        </is>
      </c>
      <c r="B38" s="195" t="inlineStr">
        <is>
          <t>Compléter la fiche d'intervention (partie « opérations effectuées »). ≈ 10 min.</t>
        </is>
      </c>
      <c r="C38" s="130" t="n"/>
      <c r="D38" s="130" t="n"/>
      <c r="E38" s="130" t="n"/>
      <c r="F38" s="130" t="n"/>
    </row>
    <row r="39" ht="15" customHeight="1" s="105">
      <c r="A39" s="196" t="inlineStr">
        <is>
          <t>Suivi enseignant</t>
        </is>
      </c>
      <c r="B39" s="197" t="inlineStr">
        <is>
          <t>Fait le : ____________</t>
        </is>
      </c>
      <c r="C39" s="198" t="inlineStr">
        <is>
          <t xml:space="preserve">Report / aléa / remarques : </t>
        </is>
      </c>
      <c r="D39" s="130" t="n"/>
      <c r="E39" s="130" t="n"/>
      <c r="F39" s="130" t="n"/>
    </row>
    <row r="41" ht="15" customHeight="1" s="105">
      <c r="A41" s="200" t="inlineStr">
        <is>
          <t>■ Séance 3 — semaine S25 — 🏫 En classe — L'atelier de fabrication (5e_C5.3)</t>
        </is>
      </c>
    </row>
    <row r="42" ht="27.75" customHeight="1" s="105">
      <c r="A42" s="182" t="inlineStr">
        <is>
          <t>Question directrice</t>
        </is>
      </c>
      <c r="B42" s="192" t="inlineStr">
        <is>
          <t>Et si la pièce n'existe plus ? — découverte de l'impression 3D</t>
        </is>
      </c>
      <c r="C42" s="130" t="n"/>
      <c r="D42" s="130" t="n"/>
      <c r="E42" s="130" t="n"/>
      <c r="F42" s="130" t="n"/>
    </row>
    <row r="43" ht="27.75" customHeight="1" s="105">
      <c r="A43" s="182" t="inlineStr">
        <is>
          <t>Activités &amp; supports</t>
        </is>
      </c>
      <c r="B43" s="192" t="inlineStr">
        <is>
          <t>Découverte de l'imprimante 3D du collège (Nathan Point méthode 5 p.90) : du modèle à la pièce. Démonstration d'impression.</t>
        </is>
      </c>
      <c r="C43" s="130" t="n"/>
      <c r="D43" s="130" t="n"/>
      <c r="E43" s="130" t="n"/>
      <c r="F43" s="130" t="n"/>
    </row>
    <row r="44" ht="27.75" customHeight="1" s="105">
      <c r="A44" s="182" t="inlineStr">
        <is>
          <t>Démarche / organisation</t>
        </is>
      </c>
      <c r="B44" s="192" t="inlineStr">
        <is>
          <t>Investigation ; observation d'une impression lancée en début d'heure.</t>
        </is>
      </c>
      <c r="C44" s="130" t="n"/>
      <c r="D44" s="130" t="n"/>
      <c r="E44" s="130" t="n"/>
      <c r="F44" s="130" t="n"/>
    </row>
    <row r="45" ht="27.75" customHeight="1" s="105">
      <c r="A45" s="182" t="inlineStr">
        <is>
          <t>Bilan / trace écrite</t>
        </is>
      </c>
      <c r="B45" s="192" t="inlineStr">
        <is>
          <t>Procédés d'un atelier de fabrication : imprimer, découper, assembler.</t>
        </is>
      </c>
      <c r="C45" s="130" t="n"/>
      <c r="D45" s="130" t="n"/>
      <c r="E45" s="130" t="n"/>
      <c r="F45" s="130" t="n"/>
    </row>
    <row r="46" ht="39.75" customHeight="1" s="105">
      <c r="A46" s="194" t="inlineStr">
        <is>
          <t>📋 CAHIER DE TEXTE
Contenu de la séance
(copier-coller Pronote)</t>
        </is>
      </c>
      <c r="B46" s="195" t="inlineStr">
        <is>
          <t>Séance 3 : découverte de l'atelier de fabrication — l'imprimante 3D, du modèle numérique à la pièce réelle. Nathan p.90.</t>
        </is>
      </c>
      <c r="C46" s="130" t="n"/>
      <c r="D46" s="130" t="n"/>
      <c r="E46" s="130" t="n"/>
      <c r="F46" s="130" t="n"/>
    </row>
    <row r="47" ht="39.75" customHeight="1" s="105">
      <c r="A47" s="194" t="inlineStr">
        <is>
          <t>📋 CAHIER DE TEXTE
Travail à faire
(copier-coller Pronote)</t>
        </is>
      </c>
      <c r="B47" s="195" t="inlineStr">
        <is>
          <t>QCM de la séquence en ligne [🔜 lien à ajouter] OU Nathan « Je fais le bilan » p.43. ≈ 15 min.</t>
        </is>
      </c>
      <c r="C47" s="130" t="n"/>
      <c r="D47" s="130" t="n"/>
      <c r="E47" s="130" t="n"/>
      <c r="F47" s="130" t="n"/>
    </row>
    <row r="48" ht="15" customHeight="1" s="105">
      <c r="A48" s="196" t="inlineStr">
        <is>
          <t>Suivi enseignant</t>
        </is>
      </c>
      <c r="B48" s="197" t="inlineStr">
        <is>
          <t>Fait le : ____________</t>
        </is>
      </c>
      <c r="C48" s="198" t="inlineStr">
        <is>
          <t xml:space="preserve">Report / aléa / remarques : </t>
        </is>
      </c>
      <c r="D48" s="130" t="n"/>
      <c r="E48" s="130" t="n"/>
      <c r="F48" s="130" t="n"/>
    </row>
    <row r="50" ht="15" customHeight="1" s="105">
      <c r="A50" s="200" t="inlineStr">
        <is>
          <t>■ Séance 4 — semaine S26 — 🏠 puis 🏫 — Bilan + fiche d'intervention notée</t>
        </is>
      </c>
    </row>
    <row r="51" ht="27.75" customHeight="1" s="105">
      <c r="A51" s="182" t="inlineStr">
        <is>
          <t>Question directrice</t>
        </is>
      </c>
      <c r="B51" s="192" t="inlineStr">
        <is>
          <t>Suis-je capable de remplir une fiche d'intervention complète ?</t>
        </is>
      </c>
      <c r="C51" s="130" t="n"/>
      <c r="D51" s="130" t="n"/>
      <c r="E51" s="130" t="n"/>
      <c r="F51" s="130" t="n"/>
    </row>
    <row r="52" ht="27.75" customHeight="1" s="105">
      <c r="A52" s="182" t="inlineStr">
        <is>
          <t>Activités &amp; supports</t>
        </is>
      </c>
      <c r="B52" s="192" t="inlineStr">
        <is>
          <t>Évaluation : fiche d'intervention technicien sur un cas nouveau ; bilan de séquence.</t>
        </is>
      </c>
      <c r="C52" s="130" t="n"/>
      <c r="D52" s="130" t="n"/>
      <c r="E52" s="130" t="n"/>
      <c r="F52" s="130" t="n"/>
    </row>
    <row r="53" ht="27.75" customHeight="1" s="105">
      <c r="A53" s="182" t="inlineStr">
        <is>
          <t>Démarche / organisation</t>
        </is>
      </c>
      <c r="B53" s="192" t="inlineStr">
        <is>
          <t>Individuel 45 min + correction collective.</t>
        </is>
      </c>
      <c r="C53" s="130" t="n"/>
      <c r="D53" s="130" t="n"/>
      <c r="E53" s="130" t="n"/>
      <c r="F53" s="130" t="n"/>
    </row>
    <row r="54" ht="27.75" customHeight="1" s="105">
      <c r="A54" s="182" t="inlineStr">
        <is>
          <t>Bilan / trace écrite</t>
        </is>
      </c>
      <c r="B54" s="192" t="inlineStr">
        <is>
          <t>Synthèse distribuée.</t>
        </is>
      </c>
      <c r="C54" s="130" t="n"/>
      <c r="D54" s="130" t="n"/>
      <c r="E54" s="130" t="n"/>
      <c r="F54" s="130" t="n"/>
    </row>
    <row r="55" ht="39.75" customHeight="1" s="105">
      <c r="A55" s="194" t="inlineStr">
        <is>
          <t>📋 CAHIER DE TEXTE
Contenu de la séance
(copier-coller Pronote)</t>
        </is>
      </c>
      <c r="B55" s="195" t="inlineStr">
        <is>
          <t>Séance 4 : évaluation — fiche d'intervention technicien sur un nouveau cas de panne ; bilan de la séquence SOS panne.</t>
        </is>
      </c>
      <c r="C55" s="130" t="n"/>
      <c r="D55" s="130" t="n"/>
      <c r="E55" s="130" t="n"/>
      <c r="F55" s="130" t="n"/>
    </row>
    <row r="56" ht="39.75" customHeight="1" s="105">
      <c r="A56" s="194" t="inlineStr">
        <is>
          <t>📋 CAHIER DE TEXTE
Travail à faire
(copier-coller Pronote)</t>
        </is>
      </c>
      <c r="B56" s="195" t="inlineStr">
        <is>
          <t>Fait avant la séance : relire la fiche d'intervention type et le bilan Nathan p.43. Après : rien.</t>
        </is>
      </c>
      <c r="C56" s="130" t="n"/>
      <c r="D56" s="130" t="n"/>
      <c r="E56" s="130" t="n"/>
      <c r="F56" s="130" t="n"/>
    </row>
    <row r="57" ht="15" customHeight="1" s="105">
      <c r="A57" s="196" t="inlineStr">
        <is>
          <t>Suivi enseignant</t>
        </is>
      </c>
      <c r="B57" s="197" t="inlineStr">
        <is>
          <t>Fait le : ____________</t>
        </is>
      </c>
      <c r="C57" s="198" t="inlineStr">
        <is>
          <t xml:space="preserve">Report / aléa / remarques : </t>
        </is>
      </c>
      <c r="D57" s="130" t="n"/>
      <c r="E57" s="130" t="n"/>
      <c r="F57" s="130" t="n"/>
    </row>
  </sheetData>
  <mergeCells count="45">
    <mergeCell ref="B4:F4"/>
    <mergeCell ref="A41:F41"/>
    <mergeCell ref="C48:F48"/>
    <mergeCell ref="B7:F7"/>
    <mergeCell ref="C39:F39"/>
    <mergeCell ref="B47:F47"/>
    <mergeCell ref="B54:F54"/>
    <mergeCell ref="B25:F25"/>
    <mergeCell ref="B46:F46"/>
    <mergeCell ref="A50:F50"/>
    <mergeCell ref="C57:F57"/>
    <mergeCell ref="B56:F56"/>
    <mergeCell ref="B27:F27"/>
    <mergeCell ref="B52:F52"/>
    <mergeCell ref="A2:F2"/>
    <mergeCell ref="B43:F43"/>
    <mergeCell ref="B12:F12"/>
    <mergeCell ref="B11:F11"/>
    <mergeCell ref="A23:F23"/>
    <mergeCell ref="A32:F32"/>
    <mergeCell ref="B42:F42"/>
    <mergeCell ref="C30:F30"/>
    <mergeCell ref="B14:F14"/>
    <mergeCell ref="B8:F8"/>
    <mergeCell ref="B13:F13"/>
    <mergeCell ref="B44:F44"/>
    <mergeCell ref="B53:F53"/>
    <mergeCell ref="B29:F29"/>
    <mergeCell ref="B38:F38"/>
    <mergeCell ref="B34:F34"/>
    <mergeCell ref="B10:F10"/>
    <mergeCell ref="B28:F28"/>
    <mergeCell ref="B37:F37"/>
    <mergeCell ref="B9:F9"/>
    <mergeCell ref="B55:F55"/>
    <mergeCell ref="B6:F6"/>
    <mergeCell ref="B24:F24"/>
    <mergeCell ref="B33:F33"/>
    <mergeCell ref="A1:F1"/>
    <mergeCell ref="B5:F5"/>
    <mergeCell ref="B51:F51"/>
    <mergeCell ref="B45:F45"/>
    <mergeCell ref="B36:F36"/>
    <mergeCell ref="B26:F26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538135"/>
    <outlinePr summaryBelow="1" summaryRight="1"/>
    <pageSetUpPr fitToPage="1"/>
  </sheetPr>
  <dimension ref="A1:F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104" min="1" max="1"/>
    <col width="40" customWidth="1" style="104" min="2" max="4"/>
    <col width="30" customWidth="1" style="104" min="5" max="5"/>
    <col width="22" customWidth="1" style="104" min="6" max="6"/>
  </cols>
  <sheetData>
    <row r="1" ht="17.25" customHeight="1" s="105">
      <c r="A1" s="201" t="inlineStr">
        <is>
          <t>GÉNÉRATEUR DE SÉQUENCE 2024 — S7 · Mini-projet : concevoir et fabriquer un objet utile</t>
        </is>
      </c>
    </row>
    <row r="2" ht="15" customHeight="1" s="105">
      <c r="A2" s="131" t="inlineStr">
        <is>
          <t>Thème 3 · P4/P5 · 6 séances de 1 h 30 · Responsable : IA Thème 3 · CANEVAS À REMPLIR par IA Thème 3 (règle : l'IA du thème est seule à modifier)</t>
        </is>
      </c>
    </row>
    <row r="3" ht="15" customHeight="1" s="105">
      <c r="E3" s="191" t="inlineStr">
        <is>
          <t>◀ Progression</t>
        </is>
      </c>
      <c r="F3" s="134" t="inlineStr">
        <is>
          <t>◀ Accueil</t>
        </is>
      </c>
    </row>
    <row r="4" ht="27.75" customHeight="1" s="105">
      <c r="A4" s="185" t="inlineStr">
        <is>
          <t>Problématique</t>
        </is>
      </c>
      <c r="B4" s="192" t="inlineStr">
        <is>
          <t>Comment concevoir, fabriquer et programmer un objet répondant à un besoin ?</t>
        </is>
      </c>
      <c r="C4" s="130" t="n"/>
      <c r="D4" s="130" t="n"/>
      <c r="E4" s="130" t="n"/>
      <c r="F4" s="130" t="n"/>
    </row>
    <row r="5" ht="27.75" customHeight="1" s="105">
      <c r="A5" s="185" t="inlineStr">
        <is>
          <t>Situation déclenchante</t>
        </is>
      </c>
      <c r="B5" s="192" t="inlineStr">
        <is>
          <t>Le collège souhaite améliorer un petit système existant (arrosage, éclairage ou alerte simple). Les élèves, en équipe, doivent imaginer une amélioration, la valider par des tests et en programmer une partie.</t>
        </is>
      </c>
      <c r="C5" s="130" t="n"/>
      <c r="D5" s="130" t="n"/>
      <c r="E5" s="130" t="n"/>
      <c r="F5" s="130" t="n"/>
    </row>
    <row r="6" ht="27.75" customHeight="1" s="105">
      <c r="A6" s="185" t="inlineStr">
        <is>
          <t>Prérequis</t>
        </is>
      </c>
      <c r="B6" s="192" t="inlineStr">
        <is>
          <t>Notions de chaînes d'énergie/information (C4), dysfonctionnements (C5) et algorithmes simples (C6) déjà vues.</t>
        </is>
      </c>
      <c r="C6" s="130" t="n"/>
      <c r="D6" s="130" t="n"/>
      <c r="E6" s="130" t="n"/>
      <c r="F6" s="130" t="n"/>
    </row>
    <row r="7" ht="27.75" customHeight="1" s="105">
      <c r="A7" s="185" t="inlineStr">
        <is>
          <t>Éléments pour la synthèse (objectifs)</t>
        </is>
      </c>
      <c r="B7" s="192" t="inlineStr">
        <is>
          <t>Concevoir une solution, écrire un protocole de test, analyser les résultats, proposer une amélioration, écrire et tester un programme simple.</t>
        </is>
      </c>
      <c r="C7" s="130" t="n"/>
      <c r="D7" s="130" t="n"/>
      <c r="E7" s="130" t="n"/>
      <c r="F7" s="130" t="n"/>
    </row>
    <row r="8" ht="27.75" customHeight="1" s="105">
      <c r="A8" s="185" t="inlineStr">
        <is>
          <t>Piste d'évaluation</t>
        </is>
      </c>
      <c r="B8" s="192" t="inlineStr">
        <is>
          <t>Revue de projet + prototype fonctionnel</t>
        </is>
      </c>
      <c r="C8" s="130" t="n"/>
      <c r="D8" s="130" t="n"/>
      <c r="E8" s="130" t="n"/>
      <c r="F8" s="130" t="n"/>
    </row>
    <row r="9" ht="27.75" customHeight="1" s="105">
      <c r="A9" s="185" t="inlineStr">
        <is>
          <t>Domaines du socle mobilisés</t>
        </is>
      </c>
      <c r="B9" s="192" t="inlineStr">
        <is>
          <t>D1.3, D2, D3, D4, D5  (détail par code dans le tableau des compétences ci-dessous)</t>
        </is>
      </c>
      <c r="C9" s="130" t="n"/>
      <c r="D9" s="130" t="n"/>
      <c r="E9" s="130" t="n"/>
      <c r="F9" s="130" t="n"/>
    </row>
    <row r="10" ht="27.75" customHeight="1" s="105">
      <c r="A10" s="185" t="inlineStr">
        <is>
          <t>CRCN — compétences numériques (Pix)</t>
        </is>
      </c>
      <c r="B10" s="192" t="inlineStr">
        <is>
          <t>3.4 Programmer (Niv. 2) · 2.3 Collaborer (Niv. 1-2 : coproduction du projet) · 3.2 Documents visuels (Niv. 1 : photos du prototype)</t>
        </is>
      </c>
      <c r="C10" s="130" t="n"/>
      <c r="D10" s="130" t="n"/>
      <c r="E10" s="130" t="n"/>
      <c r="F10" s="130" t="n"/>
    </row>
    <row r="11" ht="27.75" customHeight="1" s="105">
      <c r="A11" s="185" t="inlineStr">
        <is>
          <t>Versions 🅰 / 🅱 / 🅲</t>
        </is>
      </c>
      <c r="B11" s="192" t="inlineStr">
        <is>
          <t>A (matériel réel) · B (simulation + maquette) · C (papier + rôle de bureau d'études)</t>
        </is>
      </c>
      <c r="C11" s="130" t="n"/>
      <c r="D11" s="130" t="n"/>
      <c r="E11" s="130" t="n"/>
      <c r="F11" s="130" t="n"/>
    </row>
    <row r="12" ht="27.75" customHeight="1" s="105">
      <c r="A12" s="185" t="inlineStr">
        <is>
          <t>Liens EPI / parcours</t>
        </is>
      </c>
      <c r="B12" s="192" t="inlineStr">
        <is>
          <t>EPI possible avec Physique-Chimie (mesures) et Mathématiques (données)</t>
        </is>
      </c>
      <c r="C12" s="130" t="n"/>
      <c r="D12" s="130" t="n"/>
      <c r="E12" s="130" t="n"/>
      <c r="F12" s="130" t="n"/>
    </row>
    <row r="13" ht="27.75" customHeight="1" s="105">
      <c r="A13" s="185" t="inlineStr">
        <is>
          <t>Cahier Nathan 5e</t>
        </is>
      </c>
      <c r="B13" s="192" t="inlineStr">
        <is>
          <t>Prob. 8 p.59-64 · Prob. 9 p.65-70 · Prob. 10 p.71-78 · Prob. 11 p.79-85 · PM 9/11</t>
        </is>
      </c>
      <c r="C13" s="130" t="n"/>
      <c r="D13" s="130" t="n"/>
      <c r="E13" s="130" t="n"/>
      <c r="F13" s="130" t="n"/>
    </row>
    <row r="14" ht="27.75" customHeight="1" s="105">
      <c r="A14" s="185" t="inlineStr">
        <is>
          <t>Ressources en ligne</t>
        </is>
      </c>
      <c r="B14" s="192" t="inlineStr">
        <is>
          <t>Séquences 4e_C7 et 4e_C8 (jardin connecté) adaptées + CodeLab Techno</t>
        </is>
      </c>
      <c r="C14" s="130" t="n"/>
      <c r="D14" s="130" t="n"/>
      <c r="E14" s="130" t="n"/>
      <c r="F14" s="130" t="n"/>
    </row>
    <row r="16" ht="15" customHeight="1" s="105">
      <c r="A16" s="152" t="inlineStr">
        <is>
          <t>Compétences du programme 2024</t>
        </is>
      </c>
    </row>
    <row r="17" ht="15" customHeight="1" s="105">
      <c r="A17" s="135" t="inlineStr">
        <is>
          <t>Code</t>
        </is>
      </c>
      <c r="B17" s="135" t="inlineStr">
        <is>
          <t>Intitulé officiel</t>
        </is>
      </c>
      <c r="C17" s="135" t="inlineStr">
        <is>
          <t>Domaines du socle</t>
        </is>
      </c>
      <c r="D17" s="135" t="inlineStr">
        <is>
          <t>Travaillée en</t>
        </is>
      </c>
      <c r="E17" s="135" t="inlineStr">
        <is>
          <t>Évaluation LSU</t>
        </is>
      </c>
    </row>
    <row r="18" ht="30" customHeight="1" s="105">
      <c r="A18" s="177" t="inlineStr">
        <is>
          <t>5e_C7.1</t>
        </is>
      </c>
      <c r="B18" s="140" t="inlineStr">
        <is>
          <t>Suivre un processus de conception et de réalisation dans une durée, avec des tâches identifiées.</t>
        </is>
      </c>
      <c r="C18" s="140" t="inlineStr">
        <is>
          <t>D2, D4, D5</t>
        </is>
      </c>
      <c r="D18" s="140" t="inlineStr">
        <is>
          <t>S7-1 · S7-2</t>
        </is>
      </c>
      <c r="E18" s="140" t="inlineStr">
        <is>
          <t>→ LSU</t>
        </is>
      </c>
    </row>
    <row r="19" ht="30" customHeight="1" s="105">
      <c r="A19" s="177" t="inlineStr">
        <is>
          <t>5e_C7.2</t>
        </is>
      </c>
      <c r="B19" s="140" t="inlineStr">
        <is>
          <t>Fabriquer une solution pour améliorer un OST existant.</t>
        </is>
      </c>
      <c r="C19" s="140" t="inlineStr">
        <is>
          <t>D2, D3, D4</t>
        </is>
      </c>
      <c r="D19" s="140" t="inlineStr">
        <is>
          <t>S7-1 · S7-2</t>
        </is>
      </c>
      <c r="E19" s="140" t="inlineStr">
        <is>
          <t>→ LSU</t>
        </is>
      </c>
    </row>
    <row r="20" ht="30" customHeight="1" s="105">
      <c r="A20" s="177" t="inlineStr">
        <is>
          <t>5e_C7.3</t>
        </is>
      </c>
      <c r="B20" s="140" t="inlineStr">
        <is>
          <t>Choisir un matériau parmi plusieurs proposés en fonction de leurs caractéristiques.</t>
        </is>
      </c>
      <c r="C20" s="140" t="inlineStr">
        <is>
          <t>D3, D4, D5</t>
        </is>
      </c>
      <c r="D20" s="140" t="inlineStr">
        <is>
          <t>S7-2</t>
        </is>
      </c>
      <c r="E20" s="140" t="inlineStr">
        <is>
          <t>→ LSU</t>
        </is>
      </c>
    </row>
    <row r="21" ht="30" customHeight="1" s="105">
      <c r="A21" s="177" t="inlineStr">
        <is>
          <t>5e_C7.4</t>
        </is>
      </c>
      <c r="B21" s="140" t="inlineStr">
        <is>
          <t>Choisir une source d’énergie parmi plusieurs proposées et une forme d’énergie possible.</t>
        </is>
      </c>
      <c r="C21" s="140" t="inlineStr">
        <is>
          <t>D3, D4, D5</t>
        </is>
      </c>
      <c r="D21" s="140" t="inlineStr">
        <is>
          <t>S7-2</t>
        </is>
      </c>
      <c r="E21" s="140" t="inlineStr">
        <is>
          <t>→ LSU</t>
        </is>
      </c>
    </row>
    <row r="22" ht="30" customHeight="1" s="105">
      <c r="A22" s="177" t="inlineStr">
        <is>
          <t>5e_C7.5</t>
        </is>
      </c>
      <c r="B22" s="140" t="inlineStr">
        <is>
          <t>Assembler les constituants fournis pour réaliser un prototype.</t>
        </is>
      </c>
      <c r="C22" s="140" t="inlineStr">
        <is>
          <t>D2, D3, D4</t>
        </is>
      </c>
      <c r="D22" s="140" t="inlineStr">
        <is>
          <t>—</t>
        </is>
      </c>
      <c r="E22" s="140" t="inlineStr">
        <is>
          <t>→ LSU</t>
        </is>
      </c>
    </row>
    <row r="23" ht="30" customHeight="1" s="105">
      <c r="A23" s="177" t="inlineStr">
        <is>
          <t>5e_C7.6</t>
        </is>
      </c>
      <c r="B23" s="140" t="inlineStr">
        <is>
          <t>Mettre en œuvre les moyens pour réaliser une forme selon une procédure fournie.</t>
        </is>
      </c>
      <c r="C23" s="140" t="inlineStr">
        <is>
          <t>D2, D3, D4</t>
        </is>
      </c>
      <c r="D23" s="140" t="inlineStr">
        <is>
          <t>—</t>
        </is>
      </c>
      <c r="E23" s="140" t="inlineStr">
        <is>
          <t>→ LSU</t>
        </is>
      </c>
    </row>
    <row r="24" ht="30" customHeight="1" s="105">
      <c r="A24" s="177" t="inlineStr">
        <is>
          <t>5e_C8.1</t>
        </is>
      </c>
      <c r="B24" s="140" t="inlineStr">
        <is>
          <t>Utiliser une simulation fournie pour valider la tenue mécanique d’un matériau.</t>
        </is>
      </c>
      <c r="C24" s="140" t="inlineStr">
        <is>
          <t>D1.3, D2, D4</t>
        </is>
      </c>
      <c r="D24" s="140" t="inlineStr">
        <is>
          <t>S7-3</t>
        </is>
      </c>
      <c r="E24" s="140" t="inlineStr">
        <is>
          <t>→ LSU</t>
        </is>
      </c>
    </row>
    <row r="25" ht="30" customHeight="1" s="105">
      <c r="A25" s="177" t="inlineStr">
        <is>
          <t>5e_C8.2</t>
        </is>
      </c>
      <c r="B25" s="140" t="inlineStr">
        <is>
          <t>Mettre en œuvre un protocole de test fourni pour valider la tenue mécanique d’un matériau.</t>
        </is>
      </c>
      <c r="C25" s="140" t="inlineStr">
        <is>
          <t>D1.3, D2, D3, D4</t>
        </is>
      </c>
      <c r="D25" s="140" t="inlineStr">
        <is>
          <t>S7-3</t>
        </is>
      </c>
      <c r="E25" s="140" t="inlineStr">
        <is>
          <t>→ LSU</t>
        </is>
      </c>
    </row>
    <row r="26" ht="30" customHeight="1" s="105">
      <c r="A26" s="177" t="inlineStr">
        <is>
          <t>5e_C8.3</t>
        </is>
      </c>
      <c r="B26" s="140" t="inlineStr">
        <is>
          <t>Vérifier le comportement et les performances d’un objet technique en suivant un protocole fourni.</t>
        </is>
      </c>
      <c r="C26" s="140" t="inlineStr">
        <is>
          <t>D1.3, D2, D4, D5</t>
        </is>
      </c>
      <c r="D26" s="140" t="inlineStr">
        <is>
          <t>S7-3 · S7-4</t>
        </is>
      </c>
      <c r="E26" s="140" t="inlineStr">
        <is>
          <t>→ LSU</t>
        </is>
      </c>
    </row>
    <row r="27" ht="30" customHeight="1" s="105">
      <c r="A27" s="177" t="inlineStr">
        <is>
          <t>5e_C9.1</t>
        </is>
      </c>
      <c r="B27" s="140" t="inlineStr">
        <is>
          <t>Analyser un programme simple fourni et tester s’il répond au besoin ou au problème posé.</t>
        </is>
      </c>
      <c r="C27" s="140" t="inlineStr">
        <is>
          <t>D1.3, D2, D4</t>
        </is>
      </c>
      <c r="D27" s="140" t="inlineStr">
        <is>
          <t>S7-4 · S7-5</t>
        </is>
      </c>
      <c r="E27" s="140" t="inlineStr">
        <is>
          <t>→ LSU</t>
        </is>
      </c>
    </row>
    <row r="28" ht="30" customHeight="1" s="105">
      <c r="A28" s="177" t="inlineStr">
        <is>
          <t>5e_C9.2</t>
        </is>
      </c>
      <c r="B28" s="140" t="inlineStr">
        <is>
          <t>Modifier un programme fourni pour répondre au besoin ou à un problème posé.</t>
        </is>
      </c>
      <c r="C28" s="140" t="inlineStr">
        <is>
          <t>D1.3, D2, D4</t>
        </is>
      </c>
      <c r="D28" s="140" t="inlineStr">
        <is>
          <t>S7-5</t>
        </is>
      </c>
      <c r="E28" s="140" t="inlineStr">
        <is>
          <t>→ LSU</t>
        </is>
      </c>
    </row>
    <row r="29" ht="30" customHeight="1" s="105">
      <c r="A29" s="177" t="inlineStr">
        <is>
          <t>5e_C9.3</t>
        </is>
      </c>
      <c r="B29" s="140" t="inlineStr">
        <is>
          <t>Réaliser et mettre au point un programme simple commandant un OST.</t>
        </is>
      </c>
      <c r="C29" s="140" t="inlineStr">
        <is>
          <t>D1.3, D2, D4</t>
        </is>
      </c>
      <c r="D29" s="140" t="inlineStr">
        <is>
          <t>S7-5 · S7-6</t>
        </is>
      </c>
      <c r="E29" s="140" t="inlineStr">
        <is>
          <t>→ LSU</t>
        </is>
      </c>
    </row>
    <row r="31" ht="15" customHeight="1" s="105">
      <c r="A31" s="152" t="inlineStr">
        <is>
          <t>Déroulé, séance par séance — avec cahier de texte Pronote prêt à coller</t>
        </is>
      </c>
    </row>
    <row r="32" ht="15" customHeight="1" s="105">
      <c r="A32" s="202" t="inlineStr">
        <is>
          <t>■ Séance 1 — semaine S27 — — — Identification du besoin et premières idées</t>
        </is>
      </c>
    </row>
    <row r="33" ht="27.75" customHeight="1" s="105">
      <c r="A33" s="185" t="inlineStr">
        <is>
          <t>Question directrice</t>
        </is>
      </c>
      <c r="B33" s="192" t="inlineStr">
        <is>
          <t>Quel besoin peut-on améliorer et quelles solutions imaginer ?</t>
        </is>
      </c>
      <c r="C33" s="130" t="n"/>
      <c r="D33" s="130" t="n"/>
      <c r="E33" s="130" t="n"/>
      <c r="F33" s="130" t="n"/>
    </row>
    <row r="34" ht="27.75" customHeight="1" s="105">
      <c r="A34" s="185" t="inlineStr">
        <is>
          <t>Activités &amp; supports</t>
        </is>
      </c>
      <c r="B34" s="192" t="inlineStr">
        <is>
          <t>Brainstorming collectif + 3 croquis de solutions (binômes)</t>
        </is>
      </c>
      <c r="C34" s="130" t="n"/>
      <c r="D34" s="130" t="n"/>
      <c r="E34" s="130" t="n"/>
      <c r="F34" s="130" t="n"/>
    </row>
    <row r="35" ht="27.75" customHeight="1" s="105">
      <c r="A35" s="185" t="inlineStr">
        <is>
          <t>Démarche / organisation</t>
        </is>
      </c>
      <c r="B35" s="192" t="inlineStr">
        <is>
          <t>Investigation collective puis travail en binômes</t>
        </is>
      </c>
      <c r="C35" s="130" t="n"/>
      <c r="D35" s="130" t="n"/>
      <c r="E35" s="130" t="n"/>
      <c r="F35" s="130" t="n"/>
    </row>
    <row r="36" ht="27.75" customHeight="1" s="105">
      <c r="A36" s="185" t="inlineStr">
        <is>
          <t>Bilan / trace écrite</t>
        </is>
      </c>
      <c r="B36" s="192" t="inlineStr">
        <is>
          <t>Tableau comparatif des 3 solutions + choix motivé</t>
        </is>
      </c>
      <c r="C36" s="130" t="n"/>
      <c r="D36" s="130" t="n"/>
      <c r="E36" s="130" t="n"/>
      <c r="F36" s="130" t="n"/>
    </row>
    <row r="37" ht="39.75" customHeight="1" s="105">
      <c r="A37" s="194" t="inlineStr">
        <is>
          <t>📋 CAHIER DE TEXTE
Contenu de la séance
(copier-coller Pronote)</t>
        </is>
      </c>
      <c r="B37" s="195" t="inlineStr">
        <is>
          <t>Mini-projet : identification d'un besoin et proposition de 3 solutions (croquis).</t>
        </is>
      </c>
      <c r="C37" s="130" t="n"/>
      <c r="D37" s="130" t="n"/>
      <c r="E37" s="130" t="n"/>
      <c r="F37" s="130" t="n"/>
    </row>
    <row r="38" ht="39.75" customHeight="1" s="105">
      <c r="A38" s="194" t="inlineStr">
        <is>
          <t>📋 CAHIER DE TEXTE
Travail à faire
(copier-coller Pronote)</t>
        </is>
      </c>
      <c r="B38" s="195" t="inlineStr">
        <is>
          <t>Terminer le croquis de la solution retenue (15 min, faisable sur téléphone).</t>
        </is>
      </c>
      <c r="C38" s="130" t="n"/>
      <c r="D38" s="130" t="n"/>
      <c r="E38" s="130" t="n"/>
      <c r="F38" s="130" t="n"/>
    </row>
    <row r="39" ht="15" customHeight="1" s="105">
      <c r="A39" s="196" t="inlineStr">
        <is>
          <t>Suivi enseignant</t>
        </is>
      </c>
      <c r="B39" s="197" t="inlineStr">
        <is>
          <t>Fait le : ____________</t>
        </is>
      </c>
      <c r="C39" s="198" t="inlineStr">
        <is>
          <t xml:space="preserve">Report / aléa / remarques : </t>
        </is>
      </c>
      <c r="D39" s="130" t="n"/>
      <c r="E39" s="130" t="n"/>
      <c r="F39" s="130" t="n"/>
    </row>
    <row r="41" ht="15" customHeight="1" s="105">
      <c r="A41" s="202" t="inlineStr">
        <is>
          <t>■ Séance 2 — semaine S29 — — — Conception de la solution retenue</t>
        </is>
      </c>
    </row>
    <row r="42" ht="27.75" customHeight="1" s="105">
      <c r="A42" s="185" t="inlineStr">
        <is>
          <t>Question directrice</t>
        </is>
      </c>
      <c r="B42" s="192" t="inlineStr">
        <is>
          <t>Comment préciser la solution choisie (matériaux, forme, contraintes) ?</t>
        </is>
      </c>
      <c r="C42" s="130" t="n"/>
      <c r="D42" s="130" t="n"/>
      <c r="E42" s="130" t="n"/>
      <c r="F42" s="130" t="n"/>
    </row>
    <row r="43" ht="27.75" customHeight="1" s="105">
      <c r="A43" s="185" t="inlineStr">
        <is>
          <t>Activités &amp; supports</t>
        </is>
      </c>
      <c r="B43" s="192" t="inlineStr">
        <is>
          <t>Croquis coté + liste de matériaux + contraintes</t>
        </is>
      </c>
      <c r="C43" s="130" t="n"/>
      <c r="D43" s="130" t="n"/>
      <c r="E43" s="130" t="n"/>
      <c r="F43" s="130" t="n"/>
    </row>
    <row r="44" ht="27.75" customHeight="1" s="105">
      <c r="A44" s="185" t="inlineStr">
        <is>
          <t>Démarche / organisation</t>
        </is>
      </c>
      <c r="B44" s="192" t="inlineStr">
        <is>
          <t>Travail guidé en équipe</t>
        </is>
      </c>
      <c r="C44" s="130" t="n"/>
      <c r="D44" s="130" t="n"/>
      <c r="E44" s="130" t="n"/>
      <c r="F44" s="130" t="n"/>
    </row>
    <row r="45" ht="27.75" customHeight="1" s="105">
      <c r="A45" s="185" t="inlineStr">
        <is>
          <t>Bilan / trace écrite</t>
        </is>
      </c>
      <c r="B45" s="192" t="inlineStr">
        <is>
          <t>Fiche technique de la solution (matériaux + contraintes)</t>
        </is>
      </c>
      <c r="C45" s="130" t="n"/>
      <c r="D45" s="130" t="n"/>
      <c r="E45" s="130" t="n"/>
      <c r="F45" s="130" t="n"/>
    </row>
    <row r="46" ht="39.75" customHeight="1" s="105">
      <c r="A46" s="194" t="inlineStr">
        <is>
          <t>📋 CAHIER DE TEXTE
Contenu de la séance
(copier-coller Pronote)</t>
        </is>
      </c>
      <c r="B46" s="195" t="inlineStr">
        <is>
          <t>Précision de la solution retenue (matériaux, forme, contraintes).</t>
        </is>
      </c>
      <c r="C46" s="130" t="n"/>
      <c r="D46" s="130" t="n"/>
      <c r="E46" s="130" t="n"/>
      <c r="F46" s="130" t="n"/>
    </row>
    <row r="47" ht="39.75" customHeight="1" s="105">
      <c r="A47" s="194" t="inlineStr">
        <is>
          <t>📋 CAHIER DE TEXTE
Travail à faire
(copier-coller Pronote)</t>
        </is>
      </c>
      <c r="B47" s="195" t="inlineStr">
        <is>
          <t>Compléter la liste des matériaux (10 min).</t>
        </is>
      </c>
      <c r="C47" s="130" t="n"/>
      <c r="D47" s="130" t="n"/>
      <c r="E47" s="130" t="n"/>
      <c r="F47" s="130" t="n"/>
    </row>
    <row r="48" ht="15" customHeight="1" s="105">
      <c r="A48" s="196" t="inlineStr">
        <is>
          <t>Suivi enseignant</t>
        </is>
      </c>
      <c r="B48" s="197" t="inlineStr">
        <is>
          <t>Fait le : ____________</t>
        </is>
      </c>
      <c r="C48" s="198" t="inlineStr">
        <is>
          <t xml:space="preserve">Report / aléa / remarques : </t>
        </is>
      </c>
      <c r="D48" s="130" t="n"/>
      <c r="E48" s="130" t="n"/>
      <c r="F48" s="130" t="n"/>
    </row>
    <row r="50" ht="15" customHeight="1" s="105">
      <c r="A50" s="202" t="inlineStr">
        <is>
          <t>■ Séance 3 — semaine S30 — — — Protocole de test et validation</t>
        </is>
      </c>
    </row>
    <row r="51" ht="27.75" customHeight="1" s="105">
      <c r="A51" s="185" t="inlineStr">
        <is>
          <t>Question directrice</t>
        </is>
      </c>
      <c r="B51" s="192" t="inlineStr">
        <is>
          <t>Comment tester la solution avant de la généraliser ?</t>
        </is>
      </c>
      <c r="C51" s="130" t="n"/>
      <c r="D51" s="130" t="n"/>
      <c r="E51" s="130" t="n"/>
      <c r="F51" s="130" t="n"/>
    </row>
    <row r="52" ht="27.75" customHeight="1" s="105">
      <c r="A52" s="185" t="inlineStr">
        <is>
          <t>Activités &amp; supports</t>
        </is>
      </c>
      <c r="B52" s="192" t="inlineStr">
        <is>
          <t>Rédaction d'un protocole de test + réalisation des tests</t>
        </is>
      </c>
      <c r="C52" s="130" t="n"/>
      <c r="D52" s="130" t="n"/>
      <c r="E52" s="130" t="n"/>
      <c r="F52" s="130" t="n"/>
    </row>
    <row r="53" ht="27.75" customHeight="1" s="105">
      <c r="A53" s="185" t="inlineStr">
        <is>
          <t>Démarche / organisation</t>
        </is>
      </c>
      <c r="B53" s="192" t="inlineStr">
        <is>
          <t>Écriture guidée du protocole puis mise en œuvre</t>
        </is>
      </c>
      <c r="C53" s="130" t="n"/>
      <c r="D53" s="130" t="n"/>
      <c r="E53" s="130" t="n"/>
      <c r="F53" s="130" t="n"/>
    </row>
    <row r="54" ht="27.75" customHeight="1" s="105">
      <c r="A54" s="185" t="inlineStr">
        <is>
          <t>Bilan / trace écrite</t>
        </is>
      </c>
      <c r="B54" s="192" t="inlineStr">
        <is>
          <t>Résultats des tests + décision (validée / à améliorer)</t>
        </is>
      </c>
      <c r="C54" s="130" t="n"/>
      <c r="D54" s="130" t="n"/>
      <c r="E54" s="130" t="n"/>
      <c r="F54" s="130" t="n"/>
    </row>
    <row r="55" ht="39.75" customHeight="1" s="105">
      <c r="A55" s="194" t="inlineStr">
        <is>
          <t>📋 CAHIER DE TEXTE
Contenu de la séance
(copier-coller Pronote)</t>
        </is>
      </c>
      <c r="B55" s="195" t="inlineStr">
        <is>
          <t>Rédaction et réalisation d'un protocole de test.</t>
        </is>
      </c>
      <c r="C55" s="130" t="n"/>
      <c r="D55" s="130" t="n"/>
      <c r="E55" s="130" t="n"/>
      <c r="F55" s="130" t="n"/>
    </row>
    <row r="56" ht="39.75" customHeight="1" s="105">
      <c r="A56" s="194" t="inlineStr">
        <is>
          <t>📋 CAHIER DE TEXTE
Travail à faire
(copier-coller Pronote)</t>
        </is>
      </c>
      <c r="B56" s="195" t="inlineStr">
        <is>
          <t>Compléter le tableau de résultats (10 min).</t>
        </is>
      </c>
      <c r="C56" s="130" t="n"/>
      <c r="D56" s="130" t="n"/>
      <c r="E56" s="130" t="n"/>
      <c r="F56" s="130" t="n"/>
    </row>
    <row r="57" ht="15" customHeight="1" s="105">
      <c r="A57" s="196" t="inlineStr">
        <is>
          <t>Suivi enseignant</t>
        </is>
      </c>
      <c r="B57" s="197" t="inlineStr">
        <is>
          <t>Fait le : ____________</t>
        </is>
      </c>
      <c r="C57" s="198" t="inlineStr">
        <is>
          <t xml:space="preserve">Report / aléa / remarques : </t>
        </is>
      </c>
      <c r="D57" s="130" t="n"/>
      <c r="E57" s="130" t="n"/>
      <c r="F57" s="130" t="n"/>
    </row>
    <row r="59" ht="15" customHeight="1" s="105">
      <c r="A59" s="202" t="inlineStr">
        <is>
          <t>■ Séance 4 — semaine S31 — — — Améliorations et préparation à la programmation</t>
        </is>
      </c>
    </row>
    <row r="60" ht="27.75" customHeight="1" s="105">
      <c r="A60" s="185" t="inlineStr">
        <is>
          <t>Question directrice</t>
        </is>
      </c>
      <c r="B60" s="192" t="inlineStr">
        <is>
          <t>Quelles améliorations proposer et comment préparer le programme ?</t>
        </is>
      </c>
      <c r="C60" s="130" t="n"/>
      <c r="D60" s="130" t="n"/>
      <c r="E60" s="130" t="n"/>
      <c r="F60" s="130" t="n"/>
    </row>
    <row r="61" ht="27.75" customHeight="1" s="105">
      <c r="A61" s="185" t="inlineStr">
        <is>
          <t>Activités &amp; supports</t>
        </is>
      </c>
      <c r="B61" s="192" t="inlineStr">
        <is>
          <t>Analyse des résultats + proposition d'améliorations + algorithme en langage naturel</t>
        </is>
      </c>
      <c r="C61" s="130" t="n"/>
      <c r="D61" s="130" t="n"/>
      <c r="E61" s="130" t="n"/>
      <c r="F61" s="130" t="n"/>
    </row>
    <row r="62" ht="27.75" customHeight="1" s="105">
      <c r="A62" s="185" t="inlineStr">
        <is>
          <t>Démarche / organisation</t>
        </is>
      </c>
      <c r="B62" s="192" t="inlineStr">
        <is>
          <t>Travail d'équipe + mise en commun</t>
        </is>
      </c>
      <c r="C62" s="130" t="n"/>
      <c r="D62" s="130" t="n"/>
      <c r="E62" s="130" t="n"/>
      <c r="F62" s="130" t="n"/>
    </row>
    <row r="63" ht="27.75" customHeight="1" s="105">
      <c r="A63" s="185" t="inlineStr">
        <is>
          <t>Bilan / trace écrite</t>
        </is>
      </c>
      <c r="B63" s="192" t="inlineStr">
        <is>
          <t>Liste d'améliorations + algorithme simple</t>
        </is>
      </c>
      <c r="C63" s="130" t="n"/>
      <c r="D63" s="130" t="n"/>
      <c r="E63" s="130" t="n"/>
      <c r="F63" s="130" t="n"/>
    </row>
    <row r="64" ht="39.75" customHeight="1" s="105">
      <c r="A64" s="194" t="inlineStr">
        <is>
          <t>📋 CAHIER DE TEXTE
Contenu de la séance
(copier-coller Pronote)</t>
        </is>
      </c>
      <c r="B64" s="195" t="inlineStr">
        <is>
          <t>Améliorations et algorithme en langage naturel.</t>
        </is>
      </c>
      <c r="C64" s="130" t="n"/>
      <c r="D64" s="130" t="n"/>
      <c r="E64" s="130" t="n"/>
      <c r="F64" s="130" t="n"/>
    </row>
    <row r="65" ht="39.75" customHeight="1" s="105">
      <c r="A65" s="194" t="inlineStr">
        <is>
          <t>📋 CAHIER DE TEXTE
Travail à faire
(copier-coller Pronote)</t>
        </is>
      </c>
      <c r="B65" s="195" t="inlineStr">
        <is>
          <t>Écrire l'algorithme sur le cahier (10 min).</t>
        </is>
      </c>
      <c r="C65" s="130" t="n"/>
      <c r="D65" s="130" t="n"/>
      <c r="E65" s="130" t="n"/>
      <c r="F65" s="130" t="n"/>
    </row>
    <row r="66" ht="15" customHeight="1" s="105">
      <c r="A66" s="196" t="inlineStr">
        <is>
          <t>Suivi enseignant</t>
        </is>
      </c>
      <c r="B66" s="197" t="inlineStr">
        <is>
          <t>Fait le : ____________</t>
        </is>
      </c>
      <c r="C66" s="198" t="inlineStr">
        <is>
          <t xml:space="preserve">Report / aléa / remarques : </t>
        </is>
      </c>
      <c r="D66" s="130" t="n"/>
      <c r="E66" s="130" t="n"/>
      <c r="F66" s="130" t="n"/>
    </row>
    <row r="68" ht="15" customHeight="1" s="105">
      <c r="A68" s="202" t="inlineStr">
        <is>
          <t>■ Séance 5 — semaine S32 — — — Programmation de la solution</t>
        </is>
      </c>
    </row>
    <row r="69" ht="27.75" customHeight="1" s="105">
      <c r="A69" s="185" t="inlineStr">
        <is>
          <t>Question directrice</t>
        </is>
      </c>
      <c r="B69" s="192" t="inlineStr">
        <is>
          <t>Comment programmer une partie de la solution ?</t>
        </is>
      </c>
      <c r="C69" s="130" t="n"/>
      <c r="D69" s="130" t="n"/>
      <c r="E69" s="130" t="n"/>
      <c r="F69" s="130" t="n"/>
    </row>
    <row r="70" ht="27.75" customHeight="1" s="105">
      <c r="A70" s="185" t="inlineStr">
        <is>
          <t>Activités &amp; supports</t>
        </is>
      </c>
      <c r="B70" s="192" t="inlineStr">
        <is>
          <t>CodeLab Techno (ou équivalent) + écriture et test du programme</t>
        </is>
      </c>
      <c r="C70" s="130" t="n"/>
      <c r="D70" s="130" t="n"/>
      <c r="E70" s="130" t="n"/>
      <c r="F70" s="130" t="n"/>
    </row>
    <row r="71" ht="27.75" customHeight="1" s="105">
      <c r="A71" s="185" t="inlineStr">
        <is>
          <t>Démarche / organisation</t>
        </is>
      </c>
      <c r="B71" s="192" t="inlineStr">
        <is>
          <t>Découverte de l'éditeur puis écriture guidée</t>
        </is>
      </c>
      <c r="C71" s="130" t="n"/>
      <c r="D71" s="130" t="n"/>
      <c r="E71" s="130" t="n"/>
      <c r="F71" s="130" t="n"/>
    </row>
    <row r="72" ht="27.75" customHeight="1" s="105">
      <c r="A72" s="185" t="inlineStr">
        <is>
          <t>Bilan / trace écrite</t>
        </is>
      </c>
      <c r="B72" s="192" t="inlineStr">
        <is>
          <t>Programme commenté + test réussi</t>
        </is>
      </c>
      <c r="C72" s="130" t="n"/>
      <c r="D72" s="130" t="n"/>
      <c r="E72" s="130" t="n"/>
      <c r="F72" s="130" t="n"/>
    </row>
    <row r="73" ht="39.75" customHeight="1" s="105">
      <c r="A73" s="194" t="inlineStr">
        <is>
          <t>📋 CAHIER DE TEXTE
Contenu de la séance
(copier-coller Pronote)</t>
        </is>
      </c>
      <c r="B73" s="195" t="inlineStr">
        <is>
          <t>Écriture et test d'un programme simple lié à la solution.</t>
        </is>
      </c>
      <c r="C73" s="130" t="n"/>
      <c r="D73" s="130" t="n"/>
      <c r="E73" s="130" t="n"/>
      <c r="F73" s="130" t="n"/>
    </row>
    <row r="74" ht="39.75" customHeight="1" s="105">
      <c r="A74" s="194" t="inlineStr">
        <is>
          <t>📋 CAHIER DE TEXTE
Travail à faire
(copier-coller Pronote)</t>
        </is>
      </c>
      <c r="B74" s="195" t="inlineStr">
        <is>
          <t>Ajouter un commentaire dans le programme (5 min).</t>
        </is>
      </c>
      <c r="C74" s="130" t="n"/>
      <c r="D74" s="130" t="n"/>
      <c r="E74" s="130" t="n"/>
      <c r="F74" s="130" t="n"/>
    </row>
    <row r="75" ht="15" customHeight="1" s="105">
      <c r="A75" s="196" t="inlineStr">
        <is>
          <t>Suivi enseignant</t>
        </is>
      </c>
      <c r="B75" s="197" t="inlineStr">
        <is>
          <t>Fait le : ____________</t>
        </is>
      </c>
      <c r="C75" s="198" t="inlineStr">
        <is>
          <t xml:space="preserve">Report / aléa / remarques : </t>
        </is>
      </c>
      <c r="D75" s="130" t="n"/>
      <c r="E75" s="130" t="n"/>
      <c r="F75" s="130" t="n"/>
    </row>
    <row r="77" ht="15" customHeight="1" s="105">
      <c r="A77" s="202" t="inlineStr">
        <is>
          <t>■ Séance 6 — semaine S33 — — — Restitution et bilan</t>
        </is>
      </c>
    </row>
    <row r="78" ht="27.75" customHeight="1" s="105">
      <c r="A78" s="185" t="inlineStr">
        <is>
          <t>Question directrice</t>
        </is>
      </c>
      <c r="B78" s="192" t="inlineStr">
        <is>
          <t>Que retenir et comment présenter le travail ?</t>
        </is>
      </c>
      <c r="C78" s="130" t="n"/>
      <c r="D78" s="130" t="n"/>
      <c r="E78" s="130" t="n"/>
      <c r="F78" s="130" t="n"/>
    </row>
    <row r="79" ht="27.75" customHeight="1" s="105">
      <c r="A79" s="185" t="inlineStr">
        <is>
          <t>Activités &amp; supports</t>
        </is>
      </c>
      <c r="B79" s="192" t="inlineStr">
        <is>
          <t>Préparation de la restitution orale + auto-évaluation</t>
        </is>
      </c>
      <c r="C79" s="130" t="n"/>
      <c r="D79" s="130" t="n"/>
      <c r="E79" s="130" t="n"/>
      <c r="F79" s="130" t="n"/>
    </row>
    <row r="80" ht="27.75" customHeight="1" s="105">
      <c r="A80" s="185" t="inlineStr">
        <is>
          <t>Démarche / organisation</t>
        </is>
      </c>
      <c r="B80" s="192" t="inlineStr">
        <is>
          <t>Synthèse d'équipe + présentation courte</t>
        </is>
      </c>
      <c r="C80" s="130" t="n"/>
      <c r="D80" s="130" t="n"/>
      <c r="E80" s="130" t="n"/>
      <c r="F80" s="130" t="n"/>
    </row>
    <row r="81" ht="27.75" customHeight="1" s="105">
      <c r="A81" s="185" t="inlineStr">
        <is>
          <t>Bilan / trace écrite</t>
        </is>
      </c>
      <c r="B81" s="192" t="inlineStr">
        <is>
          <t>Fiche de restitution + grille d'auto-évaluation</t>
        </is>
      </c>
      <c r="C81" s="130" t="n"/>
      <c r="D81" s="130" t="n"/>
      <c r="E81" s="130" t="n"/>
      <c r="F81" s="130" t="n"/>
    </row>
    <row r="82" ht="39.75" customHeight="1" s="105">
      <c r="A82" s="194" t="inlineStr">
        <is>
          <t>📋 CAHIER DE TEXTE
Contenu de la séance
(copier-coller Pronote)</t>
        </is>
      </c>
      <c r="B82" s="195" t="inlineStr">
        <is>
          <t>Restitution du mini-projet et bilan personnel.</t>
        </is>
      </c>
      <c r="C82" s="130" t="n"/>
      <c r="D82" s="130" t="n"/>
      <c r="E82" s="130" t="n"/>
      <c r="F82" s="130" t="n"/>
    </row>
    <row r="83" ht="39.75" customHeight="1" s="105">
      <c r="A83" s="194" t="inlineStr">
        <is>
          <t>📋 CAHIER DE TEXTE
Travail à faire
(copier-coller Pronote)</t>
        </is>
      </c>
      <c r="B83" s="195" t="inlineStr">
        <is>
          <t>Aucune (fin de séquence).</t>
        </is>
      </c>
      <c r="C83" s="130" t="n"/>
      <c r="D83" s="130" t="n"/>
      <c r="E83" s="130" t="n"/>
      <c r="F83" s="130" t="n"/>
    </row>
    <row r="84" ht="15" customHeight="1" s="105">
      <c r="A84" s="196" t="inlineStr">
        <is>
          <t>Suivi enseignant</t>
        </is>
      </c>
      <c r="B84" s="197" t="inlineStr">
        <is>
          <t>Fait le : ____________</t>
        </is>
      </c>
      <c r="C84" s="198" t="inlineStr">
        <is>
          <t xml:space="preserve">Report / aléa / remarques : </t>
        </is>
      </c>
      <c r="D84" s="130" t="n"/>
      <c r="E84" s="130" t="n"/>
      <c r="F84" s="130" t="n"/>
    </row>
  </sheetData>
  <mergeCells count="61">
    <mergeCell ref="B4:F4"/>
    <mergeCell ref="A41:F41"/>
    <mergeCell ref="C48:F48"/>
    <mergeCell ref="B7:F7"/>
    <mergeCell ref="C39:F39"/>
    <mergeCell ref="B47:F47"/>
    <mergeCell ref="B54:F54"/>
    <mergeCell ref="B62:F62"/>
    <mergeCell ref="B81:F81"/>
    <mergeCell ref="B72:F72"/>
    <mergeCell ref="B46:F46"/>
    <mergeCell ref="A50:F50"/>
    <mergeCell ref="B71:F71"/>
    <mergeCell ref="C57:F57"/>
    <mergeCell ref="B56:F56"/>
    <mergeCell ref="C66:F66"/>
    <mergeCell ref="B70:F70"/>
    <mergeCell ref="B52:F52"/>
    <mergeCell ref="A2:F2"/>
    <mergeCell ref="B43:F43"/>
    <mergeCell ref="B12:F12"/>
    <mergeCell ref="B11:F11"/>
    <mergeCell ref="B42:F42"/>
    <mergeCell ref="A32:F32"/>
    <mergeCell ref="B60:F60"/>
    <mergeCell ref="B61:F61"/>
    <mergeCell ref="B14:F14"/>
    <mergeCell ref="B8:F8"/>
    <mergeCell ref="B13:F13"/>
    <mergeCell ref="B44:F44"/>
    <mergeCell ref="B53:F53"/>
    <mergeCell ref="B82:F82"/>
    <mergeCell ref="B73:F73"/>
    <mergeCell ref="B69:F69"/>
    <mergeCell ref="B38:F38"/>
    <mergeCell ref="A68:F68"/>
    <mergeCell ref="B34:F34"/>
    <mergeCell ref="B78:F78"/>
    <mergeCell ref="B10:F10"/>
    <mergeCell ref="B37:F37"/>
    <mergeCell ref="A77:F77"/>
    <mergeCell ref="B9:F9"/>
    <mergeCell ref="A59:F59"/>
    <mergeCell ref="B74:F74"/>
    <mergeCell ref="C84:F84"/>
    <mergeCell ref="B65:F65"/>
    <mergeCell ref="B83:F83"/>
    <mergeCell ref="B55:F55"/>
    <mergeCell ref="B6:F6"/>
    <mergeCell ref="C75:F75"/>
    <mergeCell ref="B64:F64"/>
    <mergeCell ref="B33:F33"/>
    <mergeCell ref="A1:F1"/>
    <mergeCell ref="B5:F5"/>
    <mergeCell ref="B51:F51"/>
    <mergeCell ref="B80:F80"/>
    <mergeCell ref="B45:F45"/>
    <mergeCell ref="B63:F63"/>
    <mergeCell ref="B79:F79"/>
    <mergeCell ref="B36:F36"/>
    <mergeCell ref="B35:F35"/>
  </mergeCells>
  <hyperlinks>
    <hyperlink xmlns:r="http://schemas.openxmlformats.org/officeDocument/2006/relationships" ref="E3" location="'🧭%20Progression'!A1" display="◀ Progression" r:id="rId1"/>
    <hyperlink xmlns:r="http://schemas.openxmlformats.org/officeDocument/2006/relationships" ref="F3" location="'🏠%20Accueil'!A1" display="◀ Accueil" r:id="rId2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4" min="1" max="1"/>
    <col width="52" customWidth="1" style="104" min="2" max="2"/>
    <col width="60" customWidth="1" style="104" min="3" max="3"/>
  </cols>
  <sheetData>
    <row r="1" ht="15.75" customHeight="1" s="105">
      <c r="A1" s="108" t="inlineStr">
        <is>
          <t>⚙ MOTEUR DE LA PROGRESSION — ordre officiel des créneaux</t>
        </is>
      </c>
    </row>
    <row r="2" ht="39.75" customHeight="1" s="105">
      <c r="A2" s="175" t="inlineStr">
        <is>
          <t>Ne modifier cet onglet qu'en Conseil. Le calendrier place ces 37 créneaux, dans l'ordre, sur les semaines SANS imprévu. Marquer un imprévu dans le Calendrier (colonne ⚠) décale automatiquement tout ce qui suit ; la réserve de fin d'année absorbe le décalage.</t>
        </is>
      </c>
    </row>
    <row r="4" ht="15" customHeight="1" s="105">
      <c r="A4" s="203" t="inlineStr">
        <is>
          <t>N°</t>
        </is>
      </c>
      <c r="B4" s="203" t="inlineStr">
        <is>
          <t>Créneau</t>
        </is>
      </c>
    </row>
    <row r="5" ht="15" customHeight="1" s="105">
      <c r="A5" s="204" t="n">
        <v>1</v>
      </c>
      <c r="B5" s="204" t="inlineStr">
        <is>
          <t>S1 · séance 1</t>
        </is>
      </c>
    </row>
    <row r="6" ht="15" customHeight="1" s="105">
      <c r="A6" s="204" t="n">
        <v>2</v>
      </c>
      <c r="B6" s="204" t="inlineStr">
        <is>
          <t>S1 · séance 2</t>
        </is>
      </c>
    </row>
    <row r="7" ht="15" customHeight="1" s="105">
      <c r="A7" s="204" t="n">
        <v>3</v>
      </c>
      <c r="B7" s="204" t="inlineStr">
        <is>
          <t>S1 · séance 3</t>
        </is>
      </c>
    </row>
    <row r="8" ht="15" customHeight="1" s="105">
      <c r="A8" s="204" t="n">
        <v>4</v>
      </c>
      <c r="B8" s="204" t="inlineStr">
        <is>
          <t>S2 · séance 1</t>
        </is>
      </c>
    </row>
    <row r="9" ht="15" customHeight="1" s="105">
      <c r="A9" s="204" t="n">
        <v>5</v>
      </c>
      <c r="B9" s="204" t="inlineStr">
        <is>
          <t>S2 · séance 2</t>
        </is>
      </c>
    </row>
    <row r="10" ht="15" customHeight="1" s="105">
      <c r="A10" s="204" t="n">
        <v>6</v>
      </c>
      <c r="B10" s="204" t="inlineStr">
        <is>
          <t>S2 · séance 3</t>
        </is>
      </c>
    </row>
    <row r="11" ht="15" customHeight="1" s="105">
      <c r="A11" s="204" t="n">
        <v>7</v>
      </c>
      <c r="B11" s="204" t="inlineStr">
        <is>
          <t>S2 · séance 4</t>
        </is>
      </c>
    </row>
    <row r="12" ht="15" customHeight="1" s="105">
      <c r="A12" s="205" t="n">
        <v>8</v>
      </c>
      <c r="B12" s="205" t="inlineStr">
        <is>
          <t>⏳ TAMPON P1 — rattrapage / remédiation</t>
        </is>
      </c>
    </row>
    <row r="13" ht="15" customHeight="1" s="105">
      <c r="A13" s="204" t="n">
        <v>9</v>
      </c>
      <c r="B13" s="204" t="inlineStr">
        <is>
          <t>S3 · séance 1</t>
        </is>
      </c>
    </row>
    <row r="14" ht="15" customHeight="1" s="105">
      <c r="A14" s="204" t="n">
        <v>10</v>
      </c>
      <c r="B14" s="204" t="inlineStr">
        <is>
          <t>S3 · séance 2</t>
        </is>
      </c>
    </row>
    <row r="15" ht="15" customHeight="1" s="105">
      <c r="A15" s="204" t="n">
        <v>11</v>
      </c>
      <c r="B15" s="204" t="inlineStr">
        <is>
          <t>S3 · séance 3</t>
        </is>
      </c>
    </row>
    <row r="16" ht="15" customHeight="1" s="105">
      <c r="A16" s="204" t="n">
        <v>12</v>
      </c>
      <c r="B16" s="204" t="inlineStr">
        <is>
          <t>S3 · séance 4</t>
        </is>
      </c>
    </row>
    <row r="17" ht="15" customHeight="1" s="105">
      <c r="A17" s="204" t="n">
        <v>13</v>
      </c>
      <c r="B17" s="204" t="inlineStr">
        <is>
          <t>S4 · séance 1</t>
        </is>
      </c>
    </row>
    <row r="18" ht="15" customHeight="1" s="105">
      <c r="A18" s="204" t="n">
        <v>14</v>
      </c>
      <c r="B18" s="204" t="inlineStr">
        <is>
          <t>S4 · séance 2</t>
        </is>
      </c>
    </row>
    <row r="19" ht="15" customHeight="1" s="105">
      <c r="A19" s="205" t="n">
        <v>15</v>
      </c>
      <c r="B19" s="205" t="inlineStr">
        <is>
          <t>⏳ TAMPON P2 — rattrapage / remédiation</t>
        </is>
      </c>
    </row>
    <row r="20" ht="15" customHeight="1" s="105">
      <c r="A20" s="204" t="n">
        <v>16</v>
      </c>
      <c r="B20" s="204" t="inlineStr">
        <is>
          <t>S4 · séance 3</t>
        </is>
      </c>
    </row>
    <row r="21" ht="15" customHeight="1" s="105">
      <c r="A21" s="204" t="n">
        <v>17</v>
      </c>
      <c r="B21" s="204" t="inlineStr">
        <is>
          <t>S4 · séance 4</t>
        </is>
      </c>
    </row>
    <row r="22" ht="15" customHeight="1" s="105">
      <c r="A22" s="204" t="n">
        <v>18</v>
      </c>
      <c r="B22" s="204" t="inlineStr">
        <is>
          <t>S4 · séance 5</t>
        </is>
      </c>
    </row>
    <row r="23" ht="15" customHeight="1" s="105">
      <c r="A23" s="204" t="n">
        <v>19</v>
      </c>
      <c r="B23" s="204" t="inlineStr">
        <is>
          <t>S5 · séance 1</t>
        </is>
      </c>
    </row>
    <row r="24" ht="15" customHeight="1" s="105">
      <c r="A24" s="205" t="n">
        <v>20</v>
      </c>
      <c r="B24" s="205" t="inlineStr">
        <is>
          <t>⏳ TAMPON P3 — rattrapage / remédiation</t>
        </is>
      </c>
    </row>
    <row r="25" ht="15" customHeight="1" s="105">
      <c r="A25" s="204" t="n">
        <v>21</v>
      </c>
      <c r="B25" s="204" t="inlineStr">
        <is>
          <t>S5 · séance 2</t>
        </is>
      </c>
    </row>
    <row r="26" ht="15" customHeight="1" s="105">
      <c r="A26" s="204" t="n">
        <v>22</v>
      </c>
      <c r="B26" s="204" t="inlineStr">
        <is>
          <t>S5 · séance 3</t>
        </is>
      </c>
    </row>
    <row r="27" ht="15" customHeight="1" s="105">
      <c r="A27" s="204" t="n">
        <v>23</v>
      </c>
      <c r="B27" s="204" t="inlineStr">
        <is>
          <t>S6 · séance 1</t>
        </is>
      </c>
    </row>
    <row r="28" ht="15" customHeight="1" s="105">
      <c r="A28" s="204" t="n">
        <v>24</v>
      </c>
      <c r="B28" s="204" t="inlineStr">
        <is>
          <t>S6 · séance 2</t>
        </is>
      </c>
    </row>
    <row r="29" ht="15" customHeight="1" s="105">
      <c r="A29" s="204" t="n">
        <v>25</v>
      </c>
      <c r="B29" s="204" t="inlineStr">
        <is>
          <t>S6 · séance 3</t>
        </is>
      </c>
    </row>
    <row r="30" ht="15" customHeight="1" s="105">
      <c r="A30" s="204" t="n">
        <v>26</v>
      </c>
      <c r="B30" s="204" t="inlineStr">
        <is>
          <t>S6 · séance 4</t>
        </is>
      </c>
    </row>
    <row r="31" ht="15" customHeight="1" s="105">
      <c r="A31" s="204" t="n">
        <v>27</v>
      </c>
      <c r="B31" s="204" t="inlineStr">
        <is>
          <t>S7 · séance 1</t>
        </is>
      </c>
    </row>
    <row r="32" ht="15" customHeight="1" s="105">
      <c r="A32" s="205" t="n">
        <v>28</v>
      </c>
      <c r="B32" s="205" t="inlineStr">
        <is>
          <t>⏳ TAMPON P4 — rattrapage / remédiation</t>
        </is>
      </c>
    </row>
    <row r="33" ht="15" customHeight="1" s="105">
      <c r="A33" s="204" t="n">
        <v>29</v>
      </c>
      <c r="B33" s="204" t="inlineStr">
        <is>
          <t>S7 · séance 2</t>
        </is>
      </c>
    </row>
    <row r="34" ht="15" customHeight="1" s="105">
      <c r="A34" s="204" t="n">
        <v>30</v>
      </c>
      <c r="B34" s="204" t="inlineStr">
        <is>
          <t>S7 · séance 3</t>
        </is>
      </c>
    </row>
    <row r="35" ht="15" customHeight="1" s="105">
      <c r="A35" s="204" t="n">
        <v>31</v>
      </c>
      <c r="B35" s="204" t="inlineStr">
        <is>
          <t>S7 · séance 4</t>
        </is>
      </c>
    </row>
    <row r="36" ht="15" customHeight="1" s="105">
      <c r="A36" s="204" t="n">
        <v>32</v>
      </c>
      <c r="B36" s="204" t="inlineStr">
        <is>
          <t>S7 · séance 5</t>
        </is>
      </c>
    </row>
    <row r="37" ht="15" customHeight="1" s="105">
      <c r="A37" s="204" t="n">
        <v>33</v>
      </c>
      <c r="B37" s="204" t="inlineStr">
        <is>
          <t>S7 · séance 6</t>
        </is>
      </c>
    </row>
    <row r="38" ht="15" customHeight="1" s="105">
      <c r="A38" s="205" t="n">
        <v>34</v>
      </c>
      <c r="B38" s="205" t="inlineStr">
        <is>
          <t>⏳ TAMPON P5 — réserve a</t>
        </is>
      </c>
    </row>
    <row r="39" ht="15" customHeight="1" s="105">
      <c r="A39" s="205" t="n">
        <v>35</v>
      </c>
      <c r="B39" s="205" t="inlineStr">
        <is>
          <t>⏳ TAMPON P5 — réserve b (revue de projet de secours)</t>
        </is>
      </c>
    </row>
    <row r="40" ht="15" customHeight="1" s="105">
      <c r="A40" s="205" t="n">
        <v>36</v>
      </c>
      <c r="B40" s="205" t="inlineStr">
        <is>
          <t>⏳ TAMPON P5 — réserve c (bilan de l'année)</t>
        </is>
      </c>
    </row>
    <row r="41" ht="15" customHeight="1" s="105">
      <c r="A41" s="205" t="n">
        <v>37</v>
      </c>
      <c r="B41" s="205" t="inlineStr">
        <is>
          <t>⏳ TAMPON P5 — réserve d (fin des cours)</t>
        </is>
      </c>
    </row>
  </sheetData>
  <mergeCells count="1"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2026-07-23T02:11:31Z</dcterms:created>
  <dcterms:modified xsi:type="dcterms:W3CDTF">2026-07-23T14:30:50Z</dcterms:modified>
  <cp:revision>0</cp:revision>
</cp:coreProperties>
</file>