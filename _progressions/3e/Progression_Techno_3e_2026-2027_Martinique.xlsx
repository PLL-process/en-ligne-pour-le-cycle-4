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5.xml.rels" ContentType="application/vnd.openxmlformats-package.relationships+xml"/>
  <Override PartName="/xl/worksheets/_rels/sheet14.xml.rels" ContentType="application/vnd.openxmlformats-package.relationships+xml"/>
  <Override PartName="/xl/worksheets/_rels/sheet11.xml.rels" ContentType="application/vnd.openxmlformats-package.relationships+xml"/>
  <Override PartName="/xl/worksheets/_rels/sheet6.xml.rels" ContentType="application/vnd.openxmlformats-package.relationships+xml"/>
  <Override PartName="/xl/worksheets/_rels/sheet12.xml.rels" ContentType="application/vnd.openxmlformats-package.relationships+xml"/>
  <Override PartName="/xl/worksheets/_rels/sheet15.xml.rels" ContentType="application/vnd.openxmlformats-package.relationships+xml"/>
  <Override PartName="/xl/worksheets/_rels/sheet9.xml.rels" ContentType="application/vnd.openxmlformats-package.relationships+xml"/>
  <Override PartName="/xl/worksheets/_rels/sheet1.xml.rels" ContentType="application/vnd.openxmlformats-package.relationships+xml"/>
  <Override PartName="/xl/worksheets/_rels/sheet2.xml.rels" ContentType="application/vnd.openxmlformats-package.relationships+xml"/>
  <Override PartName="/xl/worksheets/_rels/sheet3.xml.rels" ContentType="application/vnd.openxmlformats-package.relationships+xml"/>
  <Override PartName="/xl/worksheets/_rels/sheet4.xml.rels" ContentType="application/vnd.openxmlformats-package.relationships+xml"/>
  <Override PartName="/xl/worksheets/_rels/sheet10.xml.rels" ContentType="application/vnd.openxmlformats-package.relationships+xml"/>
  <Override PartName="/xl/worksheets/_rels/sheet7.xml.rels" ContentType="application/vnd.openxmlformats-package.relationships+xml"/>
  <Override PartName="/xl/worksheets/_rels/sheet13.xml.rels" ContentType="application/vnd.openxmlformats-package.relationships+xml"/>
  <Override PartName="/xl/worksheets/_rels/sheet8.xml.rels" ContentType="application/vnd.openxmlformats-package.relationships+xml"/>
  <Override PartName="/xl/worksheets/sheet11.xml" ContentType="application/vnd.openxmlformats-officedocument.spreadsheetml.worksheet+xml"/>
  <Override PartName="/xl/worksheets/sheet6.xml" ContentType="application/vnd.openxmlformats-officedocument.spreadsheetml.worksheet+xml"/>
  <Override PartName="/xl/worksheets/sheet16.xml" ContentType="application/vnd.openxmlformats-officedocument.spreadsheetml.worksheet+xml"/>
  <Override PartName="/xl/worksheets/sheet10.xml" ContentType="application/vnd.openxmlformats-officedocument.spreadsheetml.worksheet+xml"/>
  <Override PartName="/xl/worksheets/sheet5.xml" ContentType="application/vnd.openxmlformats-officedocument.spreadsheetml.worksheet+xml"/>
  <Override PartName="/xl/worksheets/sheet15.xml" ContentType="application/vnd.openxmlformats-officedocument.spreadsheetml.worksheet+xml"/>
  <Override PartName="/xl/worksheets/sheet4.xml" ContentType="application/vnd.openxmlformats-officedocument.spreadsheetml.worksheet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2.xml" ContentType="application/vnd.openxmlformats-officedocument.spreadsheetml.worksheet+xml"/>
  <Override PartName="/xl/worksheets/sheet7.xml" ContentType="application/vnd.openxmlformats-officedocument.spreadsheetml.worksheet+xml"/>
  <Override PartName="/xl/worksheets/sheet13.xml" ContentType="application/vnd.openxmlformats-officedocument.spreadsheetml.worksheet+xml"/>
  <Override PartName="/xl/worksheets/sheet8.xml" ContentType="application/vnd.openxmlformats-officedocument.spreadsheetml.worksheet+xml"/>
  <Override PartName="/xl/worksheets/sheet14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🏠 Accueil" sheetId="1" state="visible" r:id="rId3"/>
    <sheet name="📅 Calendrier" sheetId="2" state="visible" r:id="rId4"/>
    <sheet name="🗓 Frise de l'année" sheetId="3" state="visible" r:id="rId5"/>
    <sheet name="📚 Référentiel Cycle 4" sheetId="4" state="visible" r:id="rId6"/>
    <sheet name="📗 Référentiel 3e" sheetId="5" state="visible" r:id="rId7"/>
    <sheet name="🧭 Progression" sheetId="6" state="visible" r:id="rId8"/>
    <sheet name="S1" sheetId="7" state="visible" r:id="rId9"/>
    <sheet name="S2" sheetId="8" state="visible" r:id="rId10"/>
    <sheet name="S3" sheetId="9" state="visible" r:id="rId11"/>
    <sheet name="S4" sheetId="10" state="visible" r:id="rId12"/>
    <sheet name="S5" sheetId="11" state="visible" r:id="rId13"/>
    <sheet name="S6" sheetId="12" state="visible" r:id="rId14"/>
    <sheet name="S7" sheetId="13" state="visible" r:id="rId15"/>
    <sheet name="S8" sheetId="14" state="visible" r:id="rId16"/>
    <sheet name="S9" sheetId="15" state="visible" r:id="rId17"/>
    <sheet name="⚙ Moteur" sheetId="16" state="visible" r:id="rId18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<sst xmlns="http://schemas.openxmlformats.org/spreadsheetml/2006/main" count="2439" uniqueCount="839">
  <si>
    <t xml:space="preserve">TECHNOLOGIE 3e
Progression annuelle 2026-2027 · Académie de Martinique · année du DNB</t>
  </si>
  <si>
    <t xml:space="preserve">Programme 2024 (BO n°9 du 29/02/2024) · 1 h 30 / semaine · cahier Nathan 3e (éd. 2024) · ressources en ligne du dépôt — Thème 2 : 4 séquences complètes ✅</t>
  </si>
  <si>
    <t xml:space="preserve">📊 L'année en un coup d'œil</t>
  </si>
  <si>
    <t xml:space="preserve">37</t>
  </si>
  <si>
    <t xml:space="preserve">4 + 3</t>
  </si>
  <si>
    <t xml:space="preserve">Semaines de cours</t>
  </si>
  <si>
    <t xml:space="preserve">Séances planifiées</t>
  </si>
  <si>
    <t xml:space="preserve">Tampons + révisions DNB</t>
  </si>
  <si>
    <t xml:space="preserve">9</t>
  </si>
  <si>
    <t xml:space="preserve">38</t>
  </si>
  <si>
    <t xml:space="preserve">5 ✅ (C4 complet)</t>
  </si>
  <si>
    <t xml:space="preserve">Séquences</t>
  </si>
  <si>
    <t xml:space="preserve">Codes 3e travaillés</t>
  </si>
  <si>
    <t xml:space="preserve">Séquences Thème 2 en ligne</t>
  </si>
  <si>
    <t xml:space="preserve">🧭 Naviguer dans le classeur (cliquer)</t>
  </si>
  <si>
    <t xml:space="preserve">▸ 📅 Calendrier</t>
  </si>
  <si>
    <t xml:space="preserve">37 semaines, DNB, tampons, imprévus</t>
  </si>
  <si>
    <t xml:space="preserve">▸ 🗓 Frise de l'année</t>
  </si>
  <si>
    <t xml:space="preserve">les 9 séquences posées sur l'année</t>
  </si>
  <si>
    <t xml:space="preserve">▸ 📚 Référentiel Cycle 4</t>
  </si>
  <si>
    <t xml:space="preserve">les 114 sous-compétences du cycle</t>
  </si>
  <si>
    <t xml:space="preserve">▸ 📗 Référentiel 3e</t>
  </si>
  <si>
    <t xml:space="preserve">les 38 sous-compétences du niveau</t>
  </si>
  <si>
    <t xml:space="preserve">▸ 🧭 Progression</t>
  </si>
  <si>
    <t xml:space="preserve">9 séquences : codes, répartition, ressources</t>
  </si>
  <si>
    <t xml:space="preserve">▸ S1</t>
  </si>
  <si>
    <t xml:space="preserve">Innovation et rupture — IA Thème 1</t>
  </si>
  <si>
    <t xml:space="preserve">▸ S2</t>
  </si>
  <si>
    <t xml:space="preserve">Numérique et société — IA Thème 1</t>
  </si>
  <si>
    <t xml:space="preserve">▸ S3</t>
  </si>
  <si>
    <t xml:space="preserve">Choisir face au DD — IA Thème 1</t>
  </si>
  <si>
    <t xml:space="preserve">▸ S4</t>
  </si>
  <si>
    <t xml:space="preserve">Station cyclonique : chaînes — Fable ✅ (C4.1-2 🔜)</t>
  </si>
  <si>
    <t xml:space="preserve">▸ S5</t>
  </si>
  <si>
    <t xml:space="preserve">Internet Sainte-Luce : réseaux — Fable ✅</t>
  </si>
  <si>
    <t xml:space="preserve">▸ S6</t>
  </si>
  <si>
    <t xml:space="preserve">SOS station + Programmer l'alerte — Fable ✅✅</t>
  </si>
  <si>
    <t xml:space="preserve">▸ S7</t>
  </si>
  <si>
    <t xml:space="preserve">Fil rouge V1 : cadrage — IA Thème 3</t>
  </si>
  <si>
    <t xml:space="preserve">▸ S8</t>
  </si>
  <si>
    <t xml:space="preserve">Fil rouge V2 : prototypage — IA Thème 3</t>
  </si>
  <si>
    <t xml:space="preserve">▸ S9</t>
  </si>
  <si>
    <t xml:space="preserve">Fil rouge V3 : validation — IA Thème 3</t>
  </si>
  <si>
    <t xml:space="preserve">📖 Mode d'emploi express</t>
  </si>
  <si>
    <t xml:space="preserve">🏫 / 🏠 / 🔁</t>
  </si>
  <si>
    <t xml:space="preserve">En classe · À la maison (QCM avec corrections intégrées, simulateurs — faisables sur téléphone) · Hybride/classe inversée.</t>
  </si>
  <si>
    <t xml:space="preserve">🎓 Année du DNB</t>
  </si>
  <si>
    <t xml:space="preserve">AUCUNE séance nouvelle après début juin : les semaines S35-S37 sont réservées aux révisions (annales, oraux blancs, mode « Uniquement mes erreurs » des QCM). Le référentiel prévoyait 35 séances : IMPOSSIBLE avec le DNB à 1 h 30/sem — ajusté à 30 séances (compressions signalées dans chaque générateur, à entériner au Conseil).</t>
  </si>
  <si>
    <t xml:space="preserve">⏳ Tampons</t>
  </si>
  <si>
    <t xml:space="preserve">4 tampons de période + 3 semaines DNB absorbent les aléas (moteur automatique : colonne « ⚠ Imprévu ? » du Calendrier). Alerte 🛑 au-delà de 7 imprévus.</t>
  </si>
  <si>
    <t xml:space="preserve">📋 Cahier de texte</t>
  </si>
  <si>
    <t xml:space="preserve">Blocs jaunes prêts pour Pronote ; un clic les copie (version macros).</t>
  </si>
  <si>
    <t xml:space="preserve">⚠ À produire (Fable)</t>
  </si>
  <si>
    <t xml:space="preserve">RÉSOLU le 23/07 : la séquence « L'énergie de la station » (LOT 06) couvre 3e_C4.1 et C4.2 — le générateur S4 pointe vers elle. La compétence C4 de 3e est 100 % outillée en ligne.</t>
  </si>
  <si>
    <t xml:space="preserve">📆 Calendrier</t>
  </si>
  <si>
    <t xml:space="preserve">Martinique 2026-2027 (rectorat) — à confirmer sur ac-martinique.fr. Dates DNB nationales : publiées en cours d'année, à reporter dans « Repères ».</t>
  </si>
  <si>
    <t xml:space="preserve">Classeur généré par Fable (IA du Thème 2) — canevas validé par Pascal · pll-process.github.io/en-ligne-pour-le-cycle-4</t>
  </si>
  <si>
    <t xml:space="preserve">CALENDRIER 3e — année scolaire 2026-2027 (académie de Martinique) — 1 séance de 1 h 30 par semaine — année du DNB</t>
  </si>
  <si>
    <t xml:space="preserve">◀ Accueil</t>
  </si>
  <si>
    <t xml:space="preserve">Sem.</t>
  </si>
  <si>
    <t xml:space="preserve">Lundi de la semaine</t>
  </si>
  <si>
    <t xml:space="preserve">Période</t>
  </si>
  <si>
    <t xml:space="preserve">Affectation (AUTO — se recalcule)</t>
  </si>
  <si>
    <t xml:space="preserve">Repères / jours fériés / DNB</t>
  </si>
  <si>
    <t xml:space="preserve">Aléas / notes (à remplir)</t>
  </si>
  <si>
    <t xml:space="preserve">⚠ Imprévu ? (menu déroulant)</t>
  </si>
  <si>
    <t xml:space="preserve">n° créneau (auto)</t>
  </si>
  <si>
    <t xml:space="preserve">S01</t>
  </si>
  <si>
    <t xml:space="preserve">31/08/2026</t>
  </si>
  <si>
    <t xml:space="preserve">P1</t>
  </si>
  <si>
    <t xml:space="preserve">Rentrée des élèves mardi 1er septembre.</t>
  </si>
  <si>
    <t xml:space="preserve">S02</t>
  </si>
  <si>
    <t xml:space="preserve">07/09/2026</t>
  </si>
  <si>
    <t xml:space="preserve">S03</t>
  </si>
  <si>
    <t xml:space="preserve">14/09/2026</t>
  </si>
  <si>
    <t xml:space="preserve">S04</t>
  </si>
  <si>
    <t xml:space="preserve">21/09/2026</t>
  </si>
  <si>
    <t xml:space="preserve">S05</t>
  </si>
  <si>
    <t xml:space="preserve">28/09/2026</t>
  </si>
  <si>
    <t xml:space="preserve">S06</t>
  </si>
  <si>
    <t xml:space="preserve">05/10/2026</t>
  </si>
  <si>
    <t xml:space="preserve">S07</t>
  </si>
  <si>
    <t xml:space="preserve">12/10/2026</t>
  </si>
  <si>
    <t xml:space="preserve">S08</t>
  </si>
  <si>
    <t xml:space="preserve">19/10/2026</t>
  </si>
  <si>
    <t xml:space="preserve">🏖 Vacances de la Toussaint : 20/10 → 3/11</t>
  </si>
  <si>
    <t xml:space="preserve">S09</t>
  </si>
  <si>
    <t xml:space="preserve">02/11/2026</t>
  </si>
  <si>
    <t xml:space="preserve">P2</t>
  </si>
  <si>
    <t xml:space="preserve">S10</t>
  </si>
  <si>
    <t xml:space="preserve">09/11/2026</t>
  </si>
  <si>
    <t xml:space="preserve">Mer. 11/11 férié (Armistice)</t>
  </si>
  <si>
    <t xml:space="preserve">S11</t>
  </si>
  <si>
    <t xml:space="preserve">16/11/2026</t>
  </si>
  <si>
    <t xml:space="preserve">S12</t>
  </si>
  <si>
    <t xml:space="preserve">23/11/2026</t>
  </si>
  <si>
    <t xml:space="preserve">S13</t>
  </si>
  <si>
    <t xml:space="preserve">30/11/2026</t>
  </si>
  <si>
    <t xml:space="preserve">S14</t>
  </si>
  <si>
    <t xml:space="preserve">07/12/2026</t>
  </si>
  <si>
    <t xml:space="preserve">S15</t>
  </si>
  <si>
    <t xml:space="preserve">14/12/2026</t>
  </si>
  <si>
    <t xml:space="preserve">🏖 Vacances de Noël : 19/12 → 4/01</t>
  </si>
  <si>
    <t xml:space="preserve">S16</t>
  </si>
  <si>
    <t xml:space="preserve">04/01/2027</t>
  </si>
  <si>
    <t xml:space="preserve">P3</t>
  </si>
  <si>
    <t xml:space="preserve">S17</t>
  </si>
  <si>
    <t xml:space="preserve">11/01/2027</t>
  </si>
  <si>
    <t xml:space="preserve">S18</t>
  </si>
  <si>
    <t xml:space="preserve">18/01/2027</t>
  </si>
  <si>
    <t xml:space="preserve">S19</t>
  </si>
  <si>
    <t xml:space="preserve">25/01/2027</t>
  </si>
  <si>
    <t xml:space="preserve">S20</t>
  </si>
  <si>
    <t xml:space="preserve">01/02/2027</t>
  </si>
  <si>
    <t xml:space="preserve">🏖 Vacances de Carnaval : 6/02 → 22/02</t>
  </si>
  <si>
    <t xml:space="preserve">S21</t>
  </si>
  <si>
    <t xml:space="preserve">22/02/2027</t>
  </si>
  <si>
    <t xml:space="preserve">P4</t>
  </si>
  <si>
    <t xml:space="preserve">S22</t>
  </si>
  <si>
    <t xml:space="preserve">01/03/2027</t>
  </si>
  <si>
    <t xml:space="preserve">S23</t>
  </si>
  <si>
    <t xml:space="preserve">08/03/2027</t>
  </si>
  <si>
    <t xml:space="preserve">S24</t>
  </si>
  <si>
    <t xml:space="preserve">15/03/2027</t>
  </si>
  <si>
    <t xml:space="preserve">S25</t>
  </si>
  <si>
    <t xml:space="preserve">22/03/2027</t>
  </si>
  <si>
    <t xml:space="preserve">Ven. 26/03 férié (Vendredi saint)</t>
  </si>
  <si>
    <t xml:space="preserve">S26</t>
  </si>
  <si>
    <t xml:space="preserve">29/03/2027</t>
  </si>
  <si>
    <t xml:space="preserve">Lun. 29/03 férié (lundi de Pâques)</t>
  </si>
  <si>
    <t xml:space="preserve">S27</t>
  </si>
  <si>
    <t xml:space="preserve">05/04/2027</t>
  </si>
  <si>
    <t xml:space="preserve">S28</t>
  </si>
  <si>
    <t xml:space="preserve">12/04/2027</t>
  </si>
  <si>
    <t xml:space="preserve">🏖 Vacances de Pâques : 20/04 → 3/05</t>
  </si>
  <si>
    <t xml:space="preserve">S29</t>
  </si>
  <si>
    <t xml:space="preserve">03/05/2027</t>
  </si>
  <si>
    <t xml:space="preserve">P5</t>
  </si>
  <si>
    <t xml:space="preserve">Jeu. 6/05 férié (Ascension) — pont probable</t>
  </si>
  <si>
    <t xml:space="preserve">S30</t>
  </si>
  <si>
    <t xml:space="preserve">10/05/2027</t>
  </si>
  <si>
    <t xml:space="preserve">S31</t>
  </si>
  <si>
    <t xml:space="preserve">17/05/2027</t>
  </si>
  <si>
    <t xml:space="preserve">Lun. 17/05 férié (Pentecôte)</t>
  </si>
  <si>
    <t xml:space="preserve">S32</t>
  </si>
  <si>
    <t xml:space="preserve">24/05/2027</t>
  </si>
  <si>
    <t xml:space="preserve">S33</t>
  </si>
  <si>
    <t xml:space="preserve">31/05/2027</t>
  </si>
  <si>
    <t xml:space="preserve">S34</t>
  </si>
  <si>
    <t xml:space="preserve">07/06/2027</t>
  </si>
  <si>
    <t xml:space="preserve">S35</t>
  </si>
  <si>
    <t xml:space="preserve">14/06/2027</t>
  </si>
  <si>
    <t xml:space="preserve">S36</t>
  </si>
  <si>
    <t xml:space="preserve">21/06/2027</t>
  </si>
  <si>
    <t xml:space="preserve">⚑ DNB : épreuves écrites fin juin (dates officielles à reporter ici)</t>
  </si>
  <si>
    <t xml:space="preserve">S37</t>
  </si>
  <si>
    <t xml:space="preserve">28/06/2027</t>
  </si>
  <si>
    <t xml:space="preserve">🏖 Fin des cours : 3 juillet 2027</t>
  </si>
  <si>
    <t xml:space="preserve">Synthèse</t>
  </si>
  <si>
    <t xml:space="preserve">Semaines de cours au total</t>
  </si>
  <si>
    <t xml:space="preserve">… dont tampons + révisions DNB</t>
  </si>
  <si>
    <t xml:space="preserve">… dont semaines avec séance planifiée</t>
  </si>
  <si>
    <t xml:space="preserve">Année DNB : ajusté de 35 → 30 séances (référentiel sur-planifié pour 1 h 30/sem + DNB — à entériner au Conseil). Les dates officielles du DNB seront reportées dans « Repères » dès parution.</t>
  </si>
  <si>
    <t xml:space="preserve">FRISE DE L'ANNÉE 3e — se recalcule automatiquement selon les imprévus du Calendrier</t>
  </si>
  <si>
    <t xml:space="preserve">P1 (8 sem.)</t>
  </si>
  <si>
    <t xml:space="preserve">P2 (7 sem.)</t>
  </si>
  <si>
    <t xml:space="preserve">P3 (5 sem.)</t>
  </si>
  <si>
    <t xml:space="preserve">P4 (8 sem.)</t>
  </si>
  <si>
    <t xml:space="preserve">P5 (9 sem.)</t>
  </si>
  <si>
    <t xml:space="preserve">31/08</t>
  </si>
  <si>
    <t xml:space="preserve">07/09</t>
  </si>
  <si>
    <t xml:space="preserve">14/09</t>
  </si>
  <si>
    <t xml:space="preserve">21/09</t>
  </si>
  <si>
    <t xml:space="preserve">28/09</t>
  </si>
  <si>
    <t xml:space="preserve">05/10</t>
  </si>
  <si>
    <t xml:space="preserve">12/10</t>
  </si>
  <si>
    <t xml:space="preserve">19/10</t>
  </si>
  <si>
    <t xml:space="preserve">02/11</t>
  </si>
  <si>
    <t xml:space="preserve">09/11</t>
  </si>
  <si>
    <t xml:space="preserve">16/11</t>
  </si>
  <si>
    <t xml:space="preserve">23/11</t>
  </si>
  <si>
    <t xml:space="preserve">30/11</t>
  </si>
  <si>
    <t xml:space="preserve">07/12</t>
  </si>
  <si>
    <t xml:space="preserve">14/12</t>
  </si>
  <si>
    <t xml:space="preserve">04/01</t>
  </si>
  <si>
    <t xml:space="preserve">11/01</t>
  </si>
  <si>
    <t xml:space="preserve">18/01</t>
  </si>
  <si>
    <t xml:space="preserve">25/01</t>
  </si>
  <si>
    <t xml:space="preserve">01/02</t>
  </si>
  <si>
    <t xml:space="preserve">22/02</t>
  </si>
  <si>
    <t xml:space="preserve">01/03</t>
  </si>
  <si>
    <t xml:space="preserve">08/03</t>
  </si>
  <si>
    <t xml:space="preserve">15/03</t>
  </si>
  <si>
    <t xml:space="preserve">22/03</t>
  </si>
  <si>
    <t xml:space="preserve">29/03</t>
  </si>
  <si>
    <t xml:space="preserve">05/04</t>
  </si>
  <si>
    <t xml:space="preserve">12/04</t>
  </si>
  <si>
    <t xml:space="preserve">03/05</t>
  </si>
  <si>
    <t xml:space="preserve">10/05</t>
  </si>
  <si>
    <t xml:space="preserve">17/05</t>
  </si>
  <si>
    <t xml:space="preserve">24/05</t>
  </si>
  <si>
    <t xml:space="preserve">31/05</t>
  </si>
  <si>
    <t xml:space="preserve">07/06</t>
  </si>
  <si>
    <t xml:space="preserve">14/06</t>
  </si>
  <si>
    <t xml:space="preserve">21/06</t>
  </si>
  <si>
    <t xml:space="preserve">28/06</t>
  </si>
  <si>
    <t xml:space="preserve">S1 · Innovation et rupture</t>
  </si>
  <si>
    <t xml:space="preserve">S2 · Numérique et société</t>
  </si>
  <si>
    <t xml:space="preserve">S3 · Choisir face au DD</t>
  </si>
  <si>
    <t xml:space="preserve">S4 · Station cyclonique : chaînes</t>
  </si>
  <si>
    <t xml:space="preserve">S5 · Internet Sainte-Luce : réseaux</t>
  </si>
  <si>
    <t xml:space="preserve">S6 · SOS station + Programmer</t>
  </si>
  <si>
    <t xml:space="preserve">S7 · Fil rouge V1 : cadrage</t>
  </si>
  <si>
    <t xml:space="preserve">S8 · Fil rouge V2 : prototypage</t>
  </si>
  <si>
    <t xml:space="preserve">S9 · Fil rouge V3 : validation</t>
  </si>
  <si>
    <t xml:space="preserve">⏳ Tampons + 🎓 révisions DNB</t>
  </si>
  <si>
    <t xml:space="preserve">⚠ Imprévus (saisis au Calendrier)</t>
  </si>
  <si>
    <t xml:space="preserve">Une case = 1 semaine (1 séance de 1 h 30) ; le numéro = n° de séance dans la séquence. Imprévu : onglet 📅 Calendrier, colonne « ⚠ Imprévu ? » (ou la grande fenêtre de la version macros) — tout se recalcule immédiatement.</t>
  </si>
  <si>
    <t xml:space="preserve">RÉFÉRENTIEL DE COMPÉTENCES — TECHNOLOGIE CYCLE 4</t>
  </si>
  <si>
    <t xml:space="preserve">9 compétences × 3 niveaux (5e / 4e / 3e) — programme 2024 · vision complète du cycle pour situer la 3e</t>
  </si>
  <si>
    <t xml:space="preserve">Code</t>
  </si>
  <si>
    <t xml:space="preserve">Niveau</t>
  </si>
  <si>
    <t xml:space="preserve">Compétence / sous-compétence (intitulé officiel 2024)</t>
  </si>
  <si>
    <t xml:space="preserve">Thème</t>
  </si>
  <si>
    <t xml:space="preserve">Domaine(s) socle</t>
  </si>
  <si>
    <t xml:space="preserve">Évaluable</t>
  </si>
  <si>
    <t xml:space="preserve">C1</t>
  </si>
  <si>
    <t xml:space="preserve">—</t>
  </si>
  <si>
    <t xml:space="preserve">Décrire les liens entre usages et évolutions technologiques des objets et des systèmes techniques</t>
  </si>
  <si>
    <t xml:space="preserve">Thème 1 : Les objets et les systèmes techniques : leurs usages et leurs interactions à découvrir et à analyser</t>
  </si>
  <si>
    <t xml:space="preserve">D2, D3, D4, D5</t>
  </si>
  <si>
    <t xml:space="preserve">Oui</t>
  </si>
  <si>
    <t xml:space="preserve">5e_C1.1</t>
  </si>
  <si>
    <t xml:space="preserve">5e</t>
  </si>
  <si>
    <t xml:space="preserve">Collecter, trier et analyser des données.</t>
  </si>
  <si>
    <t xml:space="preserve">Thème 1</t>
  </si>
  <si>
    <t xml:space="preserve">D2, D4</t>
  </si>
  <si>
    <t xml:space="preserve">5e_C1.2</t>
  </si>
  <si>
    <t xml:space="preserve">Comparer des principes techniques pour une même fonction technique.</t>
  </si>
  <si>
    <t xml:space="preserve">5e_C1.3</t>
  </si>
  <si>
    <t xml:space="preserve">Décrire le rôle des systèmes d’information dans le partage d’information.</t>
  </si>
  <si>
    <t xml:space="preserve">D2, D5</t>
  </si>
  <si>
    <t xml:space="preserve">5e_C1.4</t>
  </si>
  <si>
    <t xml:space="preserve">Recenser des données, les identifier, les classer, les représenter, les stocker, les retrouver dans une arborescence.</t>
  </si>
  <si>
    <t xml:space="preserve">D2</t>
  </si>
  <si>
    <t xml:space="preserve">5e_C1.5</t>
  </si>
  <si>
    <t xml:space="preserve">Identifier des règles permettant de sécuriser un environnement numérique (bases de la cybersécurité) et des règles de respect de la propriété intellectuelle.</t>
  </si>
  <si>
    <t xml:space="preserve">D3</t>
  </si>
  <si>
    <t xml:space="preserve">5e_C1.6</t>
  </si>
  <si>
    <t xml:space="preserve">Appréhender la responsabilité de chacun dans les dérives (cyberviolence, atteinte à la vie privée, aux données personnelles, usurpation d’identité).</t>
  </si>
  <si>
    <t xml:space="preserve">4e_C1.1</t>
  </si>
  <si>
    <t xml:space="preserve">4e</t>
  </si>
  <si>
    <t xml:space="preserve">Mettre en relation les OST avec leurs usages.</t>
  </si>
  <si>
    <t xml:space="preserve">D4, D5</t>
  </si>
  <si>
    <t xml:space="preserve">4e_C1.2</t>
  </si>
  <si>
    <t xml:space="preserve">Identifier les avantages et les inconvénients associés aux évolutions technologiques et informatiques.</t>
  </si>
  <si>
    <t xml:space="preserve">D3, D4, D5</t>
  </si>
  <si>
    <t xml:space="preserve">4e_C1.3</t>
  </si>
  <si>
    <t xml:space="preserve">Justifier l’évolution d’un OST pour répondre à l’évolution des besoins.</t>
  </si>
  <si>
    <t xml:space="preserve">4e_C1.4</t>
  </si>
  <si>
    <t xml:space="preserve">Identifier et appliquer les règles pour un usage raisonné des objets communicants et des environnements numériques (propriété intellectuelle, identité numérique, témoins de connexion, géolocalisation).</t>
  </si>
  <si>
    <t xml:space="preserve">D1.3, D2, D3, D4</t>
  </si>
  <si>
    <t xml:space="preserve">3e_C1.1</t>
  </si>
  <si>
    <t xml:space="preserve">3e</t>
  </si>
  <si>
    <t xml:space="preserve">Identifier les innovations de rupture qui sont attachées à l’évolution d’un OST.</t>
  </si>
  <si>
    <t xml:space="preserve">3e_C1.2</t>
  </si>
  <si>
    <t xml:space="preserve">Mettre en relation une découverte scientifique avec ses développements technologiques et leurs effets sur la société.</t>
  </si>
  <si>
    <t xml:space="preserve">3e_C1.3</t>
  </si>
  <si>
    <t xml:space="preserve">Exprimer dans un argumentaire court l’incidence d’un OST sur la société.</t>
  </si>
  <si>
    <t xml:space="preserve">3e_C1.4</t>
  </si>
  <si>
    <t xml:space="preserve">Exprimer dans un argumentaire court l’incidence des contraintes sociétales sur les OST.</t>
  </si>
  <si>
    <t xml:space="preserve">3e_C1.5</t>
  </si>
  <si>
    <t xml:space="preserve">Exprimer dans un argumentaire court le rôle du développement stratégique du numérique au sein de la société et des environnements professionnels (ou des métiers).</t>
  </si>
  <si>
    <t xml:space="preserve">D1.3, D2, D3</t>
  </si>
  <si>
    <t xml:space="preserve">C2</t>
  </si>
  <si>
    <t xml:space="preserve">Décrire les interactions entre un objet ou un système technique, son environnement et les utilisateurs</t>
  </si>
  <si>
    <t xml:space="preserve">5e_C2.1</t>
  </si>
  <si>
    <t xml:space="preserve">Faire la liste des interacteurs extérieurs d’un OST.</t>
  </si>
  <si>
    <t xml:space="preserve">D4</t>
  </si>
  <si>
    <t xml:space="preserve">5e_C2.2</t>
  </si>
  <si>
    <t xml:space="preserve">Repérer et expliquer les choix de conception dans les domaines de l’ergonomie et de la sécurité ou en lien avec des objectifs de développement durable.</t>
  </si>
  <si>
    <t xml:space="preserve">4e_C2.1</t>
  </si>
  <si>
    <t xml:space="preserve">Décrire l’expérience de l’utilisateur (ressenti et facilité d’usage) d’un OST en partant du langage naturel (texte, croquis) pour aboutir aux schémas, graphiques, algorithmes.</t>
  </si>
  <si>
    <t xml:space="preserve">D1.3, D4, D5</t>
  </si>
  <si>
    <t xml:space="preserve">4e_C2.2</t>
  </si>
  <si>
    <t xml:space="preserve">Repérer et expliquer les contraintes, exigences prises en compte (sécurité, incidences environnementales, formes et fonctions, ergonomie, qualité, fiabilité) pour répondre aux attentes des utilisateurs.</t>
  </si>
  <si>
    <t xml:space="preserve">3e_C2.1</t>
  </si>
  <si>
    <t xml:space="preserve">Décrire l’expérience de l’utilisateur d’un OST à l’aide de modes de représentation choisis.</t>
  </si>
  <si>
    <t xml:space="preserve">C3</t>
  </si>
  <si>
    <t xml:space="preserve">Caractériser et choisir un objet ou un système technique selon différents critères</t>
  </si>
  <si>
    <t xml:space="preserve">D1.3, D2, D3, D4, D5</t>
  </si>
  <si>
    <t xml:space="preserve">5e_C3.1</t>
  </si>
  <si>
    <t xml:space="preserve">Repérer pour un OST les matériaux, les sources et les formes d’énergies, le traitement de l’information.</t>
  </si>
  <si>
    <t xml:space="preserve">5e_C3.2</t>
  </si>
  <si>
    <t xml:space="preserve">Identifier les étapes du cycle de vie d’un OST influencées par les choix de matériaux et d’énergie.</t>
  </si>
  <si>
    <t xml:space="preserve">5e_C3.3</t>
  </si>
  <si>
    <t xml:space="preserve">Choisir un OST parmi plusieurs propositions en vue de répondre à un besoin.</t>
  </si>
  <si>
    <t xml:space="preserve">5e_C3.4</t>
  </si>
  <si>
    <t xml:space="preserve">Mesurer et comparer une performance d’un OST à partir d’un protocole fourni.</t>
  </si>
  <si>
    <t xml:space="preserve">D1.3, D2, D4</t>
  </si>
  <si>
    <t xml:space="preserve">4e_C3.1</t>
  </si>
  <si>
    <t xml:space="preserve">Identifier les caractéristiques à prendre en compte dans le choix d’un OST en vue de répondre à un besoin.</t>
  </si>
  <si>
    <t xml:space="preserve">4e_C3.2</t>
  </si>
  <si>
    <t xml:space="preserve">Comparer qualitativement et/ou quantitativement (incidences environnementales, bilan carbone, efficacité énergétique) plusieurs OST répondant au même besoin et arrêter un choix.</t>
  </si>
  <si>
    <t xml:space="preserve">4e_C3.3</t>
  </si>
  <si>
    <t xml:space="preserve">Choisir les appareils de mesure à utiliser pour mesurer une performance d’un OST à partir d’un protocole donné.</t>
  </si>
  <si>
    <t xml:space="preserve">3e_C3.1</t>
  </si>
  <si>
    <t xml:space="preserve">Établir une liste d’OST possibles en vue de répondre à un besoin.</t>
  </si>
  <si>
    <t xml:space="preserve">3e_C3.2</t>
  </si>
  <si>
    <t xml:space="preserve">Choisir un OST et argumenter ce choix en prenant en compte son cycle de vie et les trois piliers du développement durable.</t>
  </si>
  <si>
    <t xml:space="preserve">3e_C3.3</t>
  </si>
  <si>
    <t xml:space="preserve">Évaluer les OST selon des exigences ou des critères identifiés (caractéristiques, performances, coût, indice de réparabilité).</t>
  </si>
  <si>
    <t xml:space="preserve">3e_C3.4</t>
  </si>
  <si>
    <t xml:space="preserve">Définir et mettre en œuvre un protocole pour mesurer une caractéristique, une performance d’un OST.</t>
  </si>
  <si>
    <t xml:space="preserve">C4</t>
  </si>
  <si>
    <t xml:space="preserve">Décrire et caractériser l’organisation interne d’un objet ou d’un système technique et ses échanges avec son environnement (énergies, données)</t>
  </si>
  <si>
    <t xml:space="preserve">Thème 2 : Structure, fonctionnement, comportement : des objets et des systèmes techniques à comprendre</t>
  </si>
  <si>
    <t xml:space="preserve">D1.3, D1.4, D2, D4, D5</t>
  </si>
  <si>
    <t xml:space="preserve">5e_C4.1</t>
  </si>
  <si>
    <t xml:space="preserve">Associer des solutions techniques à une ou des fonctions techniques.</t>
  </si>
  <si>
    <t xml:space="preserve">Thème 2</t>
  </si>
  <si>
    <t xml:space="preserve">D2, D4, D5</t>
  </si>
  <si>
    <t xml:space="preserve">5e_C4.2</t>
  </si>
  <si>
    <t xml:space="preserve">Identifier des constituants de la chaîne d’énergie d’un objet technique (l’organisation de la chaîne d’énergie étant fournie).</t>
  </si>
  <si>
    <t xml:space="preserve">5e_C4.3</t>
  </si>
  <si>
    <t xml:space="preserve">Indiquer la nature des énergies en entrée et en sortie des constituants de la chaîne d’énergie.</t>
  </si>
  <si>
    <t xml:space="preserve">D1.3, D4</t>
  </si>
  <si>
    <t xml:space="preserve">5e_C4.4</t>
  </si>
  <si>
    <t xml:space="preserve">Identifier les principaux matériaux constitutifs d’un OST.</t>
  </si>
  <si>
    <t xml:space="preserve">5e_C4.5</t>
  </si>
  <si>
    <t xml:space="preserve">Identifier des constituants de la chaîne d’information d’un OST (l’organisation de la chaîne d’information étant fournie).</t>
  </si>
  <si>
    <t xml:space="preserve">5e_C4.6</t>
  </si>
  <si>
    <t xml:space="preserve">Déterminer des descripteurs permettant de décrire des objets sous forme de données en précisant leurs types et leurs formats.</t>
  </si>
  <si>
    <t xml:space="preserve">5e_C4.7</t>
  </si>
  <si>
    <t xml:space="preserve">Identifier les composants qui constituent un réseau local (terminaux, commutateurs, liaisons filaires et sans fil (WiFi)) et sa topologie.</t>
  </si>
  <si>
    <t xml:space="preserve">5e_C4.8</t>
  </si>
  <si>
    <t xml:space="preserve">Justifier la nécessité d’identifier les terminaux pour communiquer sur un réseau local (activité débranchée et vérification par un outil de simulation).</t>
  </si>
  <si>
    <t xml:space="preserve">4e_C4.1</t>
  </si>
  <si>
    <t xml:space="preserve">Identifier les constituants d’une chaîne d’énergie et les associer à leurs fonctions.</t>
  </si>
  <si>
    <t xml:space="preserve">4e_C4.2</t>
  </si>
  <si>
    <t xml:space="preserve">Repérer les transformations d’énergie et les flux d’énergie au sein de l’OST.</t>
  </si>
  <si>
    <t xml:space="preserve">4e_C4.3</t>
  </si>
  <si>
    <t xml:space="preserve">Mettre en relation la forme d’une pièce avec le procédé de réalisation.</t>
  </si>
  <si>
    <t xml:space="preserve">4e_C4.4</t>
  </si>
  <si>
    <t xml:space="preserve">Identifier les constituants de la chaîne d’information d’un objet réel et les associer à leur fonction.</t>
  </si>
  <si>
    <t xml:space="preserve">4e_C4.5</t>
  </si>
  <si>
    <t xml:space="preserve">Décrire et analyser la transformation des données téléversées ou issues d’un OST.</t>
  </si>
  <si>
    <t xml:space="preserve">4e_C4.6</t>
  </si>
  <si>
    <t xml:space="preserve">Décrire et analyser la structuration d’une table de données qui permet une exploitation et une interprétation du comportement d’un OST.</t>
  </si>
  <si>
    <t xml:space="preserve">4e_C4.7</t>
  </si>
  <si>
    <t xml:space="preserve">Paramétrer une adresse IP fixe pour ajouter un objet connecté à un réseau local.</t>
  </si>
  <si>
    <t xml:space="preserve">4e_C4.8</t>
  </si>
  <si>
    <t xml:space="preserve">Résoudre des problèmes pour assurer la communication entre les différents terminaux dans un réseau informatique (simulation ou réseau local déconnecté du réseau pédagogique).</t>
  </si>
  <si>
    <t xml:space="preserve">4e_C4.9</t>
  </si>
  <si>
    <t xml:space="preserve">Compléter une simulation fournie pour valider le comportement d’un réseau informatique.</t>
  </si>
  <si>
    <t xml:space="preserve">3e_C4.1</t>
  </si>
  <si>
    <t xml:space="preserve">Élaborer, à l’aide d’un schéma bloc, la chaîne d’énergie d’un OST.</t>
  </si>
  <si>
    <t xml:space="preserve">3e_C4.2</t>
  </si>
  <si>
    <t xml:space="preserve">Justifier le choix d’un matériau et de son procédé de mise en forme au regard des contraintes techniques et environnementales.</t>
  </si>
  <si>
    <t xml:space="preserve">3e_C4.3</t>
  </si>
  <si>
    <t xml:space="preserve">Décrire un OST en caractérisant sa chaîne d’information.</t>
  </si>
  <si>
    <t xml:space="preserve">3e_C4.4</t>
  </si>
  <si>
    <t xml:space="preserve">Associer des grandeurs analogiques issues d’un OST à des données exploitables.</t>
  </si>
  <si>
    <t xml:space="preserve">3e_C4.5</t>
  </si>
  <si>
    <t xml:space="preserve">Représenter sous forme de données les informations de diverses natures utilisées par un OST.</t>
  </si>
  <si>
    <t xml:space="preserve">3e_C4.6</t>
  </si>
  <si>
    <t xml:space="preserve">Identifier, selon les cas, leur mise en forme, leur transmission ou leur stockage dans des fichiers (texte, image, nombre) afin de comprendre le fonctionnement de l’OST.</t>
  </si>
  <si>
    <t xml:space="preserve">3e_C4.7</t>
  </si>
  <si>
    <t xml:space="preserve">Identifier et représenter la circulation d’une information dans le réseau Internet.</t>
  </si>
  <si>
    <t xml:space="preserve">3e_C4.8</t>
  </si>
  <si>
    <t xml:space="preserve">Justifier la nécessité d’un protocole de routage pour faire communiquer plusieurs réseaux (activité débranchée, table de routage donnée).</t>
  </si>
  <si>
    <t xml:space="preserve">C5</t>
  </si>
  <si>
    <t xml:space="preserve">Identifier un dysfonctionnement d’un objet technique et y remédier</t>
  </si>
  <si>
    <t xml:space="preserve">5e_C5.1</t>
  </si>
  <si>
    <t xml:space="preserve">Repérer visuellement une pièce défectueuse.</t>
  </si>
  <si>
    <t xml:space="preserve">5e_C5.2</t>
  </si>
  <si>
    <t xml:space="preserve">Réaliser une réparation en suivant un protocole fourni.</t>
  </si>
  <si>
    <t xml:space="preserve">D2, D3, D4</t>
  </si>
  <si>
    <t xml:space="preserve">5e_C5.3</t>
  </si>
  <si>
    <t xml:space="preserve">Découvrir les procédés de réalisation présents dans un atelier de fabrication collaboratif.</t>
  </si>
  <si>
    <t xml:space="preserve">4e_C5.1</t>
  </si>
  <si>
    <t xml:space="preserve">Proposer un protocole permettant de vérifier l’origine d’un dysfonctionnement.</t>
  </si>
  <si>
    <t xml:space="preserve">4e_C5.2</t>
  </si>
  <si>
    <t xml:space="preserve">Remplacer une pièce défectueuse sans protocole fourni (la pièce de remplacement étant fournie).</t>
  </si>
  <si>
    <t xml:space="preserve">4e_C5.3</t>
  </si>
  <si>
    <t xml:space="preserve">Choisir les procédés de réalisation et les mettre en œuvre.</t>
  </si>
  <si>
    <t xml:space="preserve">3e_C5.1</t>
  </si>
  <si>
    <t xml:space="preserve">Formuler des hypothèses expliquant le dysfonctionnement d’un objet technique.</t>
  </si>
  <si>
    <t xml:space="preserve">3e_C5.2</t>
  </si>
  <si>
    <t xml:space="preserve">Proposer un protocole de dépannage puis de réparation.</t>
  </si>
  <si>
    <t xml:space="preserve">3e_C5.3</t>
  </si>
  <si>
    <t xml:space="preserve">Réaliser le dépannage ou la réparation d’un système défectueux.</t>
  </si>
  <si>
    <t xml:space="preserve">3e_C5.4</t>
  </si>
  <si>
    <t xml:space="preserve">Réaliser une pièce sur mesure pour réparer un objet technique.</t>
  </si>
  <si>
    <t xml:space="preserve">C6</t>
  </si>
  <si>
    <t xml:space="preserve">Comprendre et modifier un programme associé à une fonctionnalité d’un objet ou d’un système technique</t>
  </si>
  <si>
    <t xml:space="preserve">5e_C6.1</t>
  </si>
  <si>
    <t xml:space="preserve">Identifier les données utilisées et produites par le programme associé à une fonctionnalité d’un OST (à partir d’un programme existant).</t>
  </si>
  <si>
    <t xml:space="preserve">5e_C6.2</t>
  </si>
  <si>
    <t xml:space="preserve">Comprendre et traduire en un algorithme en langage naturel le programme associé à une fonctionnalité d’un OST.</t>
  </si>
  <si>
    <t xml:space="preserve">5e_C6.3</t>
  </si>
  <si>
    <t xml:space="preserve">Modifier les paramètres d’un programme et identifier ou évaluer ses effets en termes de fonctionnalité.</t>
  </si>
  <si>
    <t xml:space="preserve">4e_C6.1</t>
  </si>
  <si>
    <t xml:space="preserve">Analyser les données et en déduire des modifications à apporter au programme.</t>
  </si>
  <si>
    <t xml:space="preserve">4e_C6.2</t>
  </si>
  <si>
    <t xml:space="preserve">Compléter un programme pour répondre à une fonctionnalité d’un OST.</t>
  </si>
  <si>
    <t xml:space="preserve">4e_C6.3</t>
  </si>
  <si>
    <t xml:space="preserve">Tester et valider, dans un environnement simulé ou réel, une modification du programme.</t>
  </si>
  <si>
    <t xml:space="preserve">3e_C6.1</t>
  </si>
  <si>
    <t xml:space="preserve">Déterminer les données utilisées et produites par un programme associé à une fonctionnalité en vue de le modifier.</t>
  </si>
  <si>
    <t xml:space="preserve">3e_C6.2</t>
  </si>
  <si>
    <t xml:space="preserve">Programmer un algorithme lié à une nouvelle fonctionnalité.</t>
  </si>
  <si>
    <t xml:space="preserve">3e_C6.3</t>
  </si>
  <si>
    <t xml:space="preserve">Modifier et tester le programme associé à une nouvelle fonctionnalité d’un OST.</t>
  </si>
  <si>
    <t xml:space="preserve">C7</t>
  </si>
  <si>
    <t xml:space="preserve">Imaginer, concevoir et réaliser une ou des solutions en réponse à un besoin, à des exigences (de développement durable, par exemple) ou à la nécessité d’améliorations dans une démarche de créativité</t>
  </si>
  <si>
    <t xml:space="preserve">Thème 3 : Création, conception, réalisation, innovations : des objets à concevoir et à réaliser</t>
  </si>
  <si>
    <t xml:space="preserve">5e_C7.1</t>
  </si>
  <si>
    <t xml:space="preserve">Suivre un processus de conception et de réalisation dans une durée, avec des tâches identifiées.</t>
  </si>
  <si>
    <t xml:space="preserve">Thème 3</t>
  </si>
  <si>
    <t xml:space="preserve">5e_C7.2</t>
  </si>
  <si>
    <t xml:space="preserve">Fabriquer une solution pour améliorer un OST existant.</t>
  </si>
  <si>
    <t xml:space="preserve">5e_C7.3</t>
  </si>
  <si>
    <t xml:space="preserve">Choisir un matériau parmi plusieurs proposés en fonction de leurs caractéristiques.</t>
  </si>
  <si>
    <t xml:space="preserve">5e_C7.4</t>
  </si>
  <si>
    <t xml:space="preserve">Choisir une source d’énergie parmi plusieurs proposées et une forme d’énergie possible.</t>
  </si>
  <si>
    <t xml:space="preserve">5e_C7.5</t>
  </si>
  <si>
    <t xml:space="preserve">Assembler les constituants fournis pour réaliser un prototype.</t>
  </si>
  <si>
    <t xml:space="preserve">5e_C7.6</t>
  </si>
  <si>
    <t xml:space="preserve">Mettre en œuvre les moyens pour réaliser une forme selon une procédure fournie.</t>
  </si>
  <si>
    <t xml:space="preserve">4e_C7.1</t>
  </si>
  <si>
    <t xml:space="preserve">Organiser un processus de conception et de réalisation dans une durée, avec des tâches identifiées.</t>
  </si>
  <si>
    <t xml:space="preserve">4e_C7.2</t>
  </si>
  <si>
    <t xml:space="preserve">Proposer et fabriquer une solution pour ajouter une nouvelle fonction à un OST (croquis, schéma, graphique, algorithme, modélisation).</t>
  </si>
  <si>
    <t xml:space="preserve">4e_C7.3</t>
  </si>
  <si>
    <t xml:space="preserve">Comparer différents matériaux pour choisir le plus adapté.</t>
  </si>
  <si>
    <t xml:space="preserve">4e_C7.4</t>
  </si>
  <si>
    <t xml:space="preserve">Comparer différentes sources d’énergie pour choisir la plus adaptée.</t>
  </si>
  <si>
    <t xml:space="preserve">4e_C7.5</t>
  </si>
  <si>
    <t xml:space="preserve">Identifier les constituants manquants dans un prototype et le compléter.</t>
  </si>
  <si>
    <t xml:space="preserve">4e_C7.6</t>
  </si>
  <si>
    <t xml:space="preserve">Modifier une forme à l’aide d’une modélisation.</t>
  </si>
  <si>
    <t xml:space="preserve">4e_C7.7</t>
  </si>
  <si>
    <t xml:space="preserve">Choisir les moyens et produire la forme voulue.</t>
  </si>
  <si>
    <t xml:space="preserve">4e_C7.8</t>
  </si>
  <si>
    <t xml:space="preserve">Interfacer un objet technique avec un réseau.</t>
  </si>
  <si>
    <t xml:space="preserve">3e_C7.1</t>
  </si>
  <si>
    <t xml:space="preserve">Élaborer un processus de conception et de réalisation dans une durée, avec des tâches identifiées.</t>
  </si>
  <si>
    <t xml:space="preserve">3e_C7.2</t>
  </si>
  <si>
    <t xml:space="preserve">Proposer et fabriquer un ensemble de solutions pour produire un nouvel OST (croquis, schéma, graphique, algorithme, modélisation).</t>
  </si>
  <si>
    <t xml:space="preserve">3e_C7.3</t>
  </si>
  <si>
    <t xml:space="preserve">Choisir un matériau constitutif d’un objet et/ou système technique.</t>
  </si>
  <si>
    <t xml:space="preserve">3e_C7.4</t>
  </si>
  <si>
    <t xml:space="preserve">Choisir une source d’énergie pour un OST.</t>
  </si>
  <si>
    <t xml:space="preserve">3e_C7.5</t>
  </si>
  <si>
    <t xml:space="preserve">Choisir les constituants et assembler un prototype.</t>
  </si>
  <si>
    <t xml:space="preserve">3e_C7.6</t>
  </si>
  <si>
    <t xml:space="preserve">Modéliser une forme voulue.</t>
  </si>
  <si>
    <t xml:space="preserve">3e_C7.7</t>
  </si>
  <si>
    <t xml:space="preserve">3e_C7.8</t>
  </si>
  <si>
    <t xml:space="preserve">Interfacer deux objets techniques communicants.</t>
  </si>
  <si>
    <t xml:space="preserve">C8</t>
  </si>
  <si>
    <t xml:space="preserve">Valider les solutions techniques par des simulations ou par des protocoles de tests</t>
  </si>
  <si>
    <t xml:space="preserve">5e_C8.1</t>
  </si>
  <si>
    <t xml:space="preserve">Utiliser une simulation fournie pour valider la tenue mécanique d’un matériau.</t>
  </si>
  <si>
    <t xml:space="preserve">5e_C8.2</t>
  </si>
  <si>
    <t xml:space="preserve">Mettre en œuvre un protocole de test fourni pour valider la tenue mécanique d’un matériau.</t>
  </si>
  <si>
    <t xml:space="preserve">5e_C8.3</t>
  </si>
  <si>
    <t xml:space="preserve">Vérifier le comportement et les performances d’un objet technique en suivant un protocole fourni.</t>
  </si>
  <si>
    <t xml:space="preserve">D1.3, D2, D4, D5</t>
  </si>
  <si>
    <t xml:space="preserve">4e_C8.1</t>
  </si>
  <si>
    <t xml:space="preserve">Paramétrer une simulation fournie pour valider la tenue mécanique d’un matériau.</t>
  </si>
  <si>
    <t xml:space="preserve">4e_C8.2</t>
  </si>
  <si>
    <t xml:space="preserve">Proposer un protocole de test pour valider la tenue mécanique d’un matériau.</t>
  </si>
  <si>
    <t xml:space="preserve">4e_C8.3</t>
  </si>
  <si>
    <t xml:space="preserve">Proposer un protocole de test pour valider le comportement et les performances d’un objet technique.</t>
  </si>
  <si>
    <t xml:space="preserve">3e_C8.1</t>
  </si>
  <si>
    <t xml:space="preserve">Mettre en œuvre une simulation pour valider la tenue mécanique d’un matériau.</t>
  </si>
  <si>
    <t xml:space="preserve">3e_C8.2</t>
  </si>
  <si>
    <t xml:space="preserve">3e_C8.3</t>
  </si>
  <si>
    <t xml:space="preserve">C9</t>
  </si>
  <si>
    <t xml:space="preserve">Concevoir, écrire, tester et mettre au point un programme</t>
  </si>
  <si>
    <t xml:space="preserve">5e_C9.1</t>
  </si>
  <si>
    <t xml:space="preserve">Analyser un programme simple fourni et tester s’il répond au besoin ou au problème posé.</t>
  </si>
  <si>
    <t xml:space="preserve">5e_C9.2</t>
  </si>
  <si>
    <t xml:space="preserve">Modifier un programme fourni pour répondre au besoin ou à un problème posé.</t>
  </si>
  <si>
    <t xml:space="preserve">5e_C9.3</t>
  </si>
  <si>
    <t xml:space="preserve">Réaliser et mettre au point un programme simple commandant un OST.</t>
  </si>
  <si>
    <t xml:space="preserve">4e_C9.1</t>
  </si>
  <si>
    <t xml:space="preserve">Modifier un algorithme permettant de répondre au besoin ou au problème posé.</t>
  </si>
  <si>
    <t xml:space="preserve">4e_C9.2</t>
  </si>
  <si>
    <t xml:space="preserve">Traduire un algorithme permettant de répondre à un besoin ou à un problème simple en un programme.</t>
  </si>
  <si>
    <t xml:space="preserve">4e_C9.3</t>
  </si>
  <si>
    <t xml:space="preserve">Réaliser et mettre au point un programme commandant un système réel incluant éventuellement une interaction entre un humain et une machine.</t>
  </si>
  <si>
    <t xml:space="preserve">3e_C9.1</t>
  </si>
  <si>
    <t xml:space="preserve">Élaborer ou concevoir un algorithme permettant de répondre au besoin visé, puis le traduire en un programme structuré (appel de sous-programmes ou de fonctions), le tester et le mettre au point.</t>
  </si>
  <si>
    <t xml:space="preserve">3e_C9.2</t>
  </si>
  <si>
    <t xml:space="preserve">Réaliser et mettre au point un programme commandant un système réel incluant une interaction entre un humain et une machine.</t>
  </si>
  <si>
    <t xml:space="preserve">114 sous-compétences listées · Source : BO n°9 du 29/02/2024 · codes Nathan (éd. 2024).</t>
  </si>
  <si>
    <t xml:space="preserve">RÉFÉRENTIEL DE COMPÉTENCES — TECHNOLOGIE 3e</t>
  </si>
  <si>
    <t xml:space="preserve">Les compétences parentes C1 → C9 et leurs déclinaisons du niveau 3e — celles travaillées dans ce classeur</t>
  </si>
  <si>
    <t xml:space="preserve">38 sous-compétences listées · Source : BO n°9 du 29/02/2024 · codes Nathan (éd. 2024).</t>
  </si>
  <si>
    <t xml:space="preserve">PROGRESSION ANNUELLE 3e — 2026-2027 · 9 séquences · base : Référentiel 2024 (ajustée DNB : 35 → 30 séances)</t>
  </si>
  <si>
    <t xml:space="preserve">N°</t>
  </si>
  <si>
    <t xml:space="preserve">Titre</t>
  </si>
  <si>
    <t xml:space="preserve">Problématique</t>
  </si>
  <si>
    <t xml:space="preserve">Codes 2024</t>
  </si>
  <si>
    <t xml:space="preserve">Séances</t>
  </si>
  <si>
    <t xml:space="preserve">Répartition 🏫 / 🏠 / 🔁</t>
  </si>
  <si>
    <t xml:space="preserve">Ressources en ligne (dépôt)</t>
  </si>
  <si>
    <t xml:space="preserve">Cahier Nathan 3e (repères)</t>
  </si>
  <si>
    <t xml:space="preserve">IA responsable</t>
  </si>
  <si>
    <t xml:space="preserve">Début (AUTO)</t>
  </si>
  <si>
    <t xml:space="preserve">Fin (AUTO)</t>
  </si>
  <si>
    <t xml:space="preserve">Innovation et rupture : comment les objets techniques évoluent-ils ?</t>
  </si>
  <si>
    <t xml:space="preserve">Qu'est-ce qui distingue une invention, une innovation et une innovation de rupture ?</t>
  </si>
  <si>
    <t xml:space="preserve">3e_C1.1, C1.2, C1.3, C1.4</t>
  </si>
  <si>
    <t xml:space="preserve">Séances 1-2 🏫 · 3 🔁 (veille d'information à la maison, argumentaire en classe)</t>
  </si>
  <si>
    <t xml:space="preserve">🔜 À produire (Thème 1)</t>
  </si>
  <si>
    <t xml:space="preserve">Cahier Nathan 3e (spécimen) — chapitre évolution/innovation</t>
  </si>
  <si>
    <t xml:space="preserve">IA Thème 1</t>
  </si>
  <si>
    <t xml:space="preserve">Le numérique dans la société : quel rôle stratégique ?</t>
  </si>
  <si>
    <t xml:space="preserve">Quel est le rôle du numérique dans la société et le monde professionnel ?</t>
  </si>
  <si>
    <t xml:space="preserve">3e_C1.5, C2.1</t>
  </si>
  <si>
    <t xml:space="preserve">Séance 1 🏫 (étude de cas) · 2 🔁 (enquête métiers à la maison, restitution)</t>
  </si>
  <si>
    <t xml:space="preserve">Cahier Nathan 3e (spécimen) — chapitre numérique et société</t>
  </si>
  <si>
    <t xml:space="preserve">P1/P2</t>
  </si>
  <si>
    <t xml:space="preserve">Choisir un objet technique face aux enjeux du développement durable</t>
  </si>
  <si>
    <t xml:space="preserve">Comment choisir un objet technique adapté aux contraintes climatiques et environnementales ?</t>
  </si>
  <si>
    <t xml:space="preserve">3e_C3.1, C3.2, C3.3, C3.4</t>
  </si>
  <si>
    <t xml:space="preserve">Séances 1-2 🏫 (cycle de vie, 3 piliers, contexte cyclonique) · 3 🔁 (comparatif + éval.)</t>
  </si>
  <si>
    <t xml:space="preserve">🔜 À produire (Thème 1) — lien EDD : indice de réparabilité évoqué dans « SOS station » (Thème 2)</t>
  </si>
  <si>
    <t xml:space="preserve">Cahier Nathan 3e (spécimen) — chapitre développement durable</t>
  </si>
  <si>
    <t xml:space="preserve">La station d'alerte cyclonique : chaînes complètes d'un objet connecté</t>
  </si>
  <si>
    <t xml:space="preserve">Comment un objet connecté gère-t-il ses échanges d'énergie et d'information — et comment l'élaborer soi-même ?</t>
  </si>
  <si>
    <t xml:space="preserve">3e_C4.1, C4.2 🔜, C4.3, C4.4, C4.5, C4.6</t>
  </si>
  <si>
    <t xml:space="preserve">Séance 1 🔁 (simulateur CAN maison) · 2-3 🏫 (chaîne d'info, données) · 4 🏫 (élaborer chaîne d'énergie + matériaux — 🔜) · 5 🏠 QCM + 🏫 éval.</t>
  </si>
  <si>
    <t xml:space="preserve">✅ Séquence + QCM 32 q + synthèses (C4.3→C4.6, LOT 01) · ✅ « L'énergie de la station » (C4.1-C4.2, LOT 06 : séquence + QCM 30 q + synthèses)</t>
  </si>
  <si>
    <t xml:space="preserve">Cahier Nathan 3e (spécimen) — chapitres chaînes d'énergie/information</t>
  </si>
  <si>
    <t xml:space="preserve">Fable (Th. 2)</t>
  </si>
  <si>
    <t xml:space="preserve">Internet jusqu'à Sainte-Luce : réseaux et routage</t>
  </si>
  <si>
    <t xml:space="preserve">Comment un message circule-t-il d'un réseau à un autre, et comment s'en protéger ?</t>
  </si>
  <si>
    <t xml:space="preserve">3e_C4.7, C4.8</t>
  </si>
  <si>
    <t xml:space="preserve">Séance 1 🔁 (simulateurs paquets/routage maison) · 2 🏫 (jeu du routeur, panne de câble) · 3 🏠 QCM + 🏫 bilan</t>
  </si>
  <si>
    <t xml:space="preserve">✅ Séquence + QCM 30 q + synthèses (LOT 02 : découpage en paquets, routage, résilience)</t>
  </si>
  <si>
    <t xml:space="preserve">Cahier Nathan 3e (spécimen) — chapitre réseaux/Internet</t>
  </si>
  <si>
    <t xml:space="preserve">P3/P4</t>
  </si>
  <si>
    <t xml:space="preserve">SOS station + Programmer l'alerte : diagnostiquer, réparer, modifier</t>
  </si>
  <si>
    <t xml:space="preserve">Comment diagnostiquer une panne, la réparer, et modifier le programme sans rien casser ?</t>
  </si>
  <si>
    <t xml:space="preserve">3e_C5.1, C5.2, C5.3, C5.4 + 3e_C6.1, C6.2 (existant), C6.3</t>
  </si>
  <si>
    <t xml:space="preserve">Séances 1-2 🏫+🔁 (simulateur de dépannage 2 pannes) · 3-4 🏫 (CodeLab : modifier + plan de tests) · QCM 🏠 entre les séances</t>
  </si>
  <si>
    <t xml:space="preserve">✅ DEUX séquences complètes : « SOS station » (LOT 03) et « Programmer l'alerte » (LOT 04, CodeLab Techno) + 2 QCM (32 q + 30 q) + synthèses · C6.2 : séquence « Algorigrammes DNB » existante</t>
  </si>
  <si>
    <t xml:space="preserve">Cahier Nathan 3e (spécimen) — chapitres panne/programme</t>
  </si>
  <si>
    <t xml:space="preserve">Projet fil rouge — Volet 1 : cadrage, besoin et organisation</t>
  </si>
  <si>
    <t xml:space="preserve">Comment bien se préparer et s'organiser pour un projet d'innovation ?</t>
  </si>
  <si>
    <t xml:space="preserve">3e_C7.1 + 3e_C4.5 (réinvestie)</t>
  </si>
  <si>
    <t xml:space="preserve">Séances 1-3 🏫 (démarche de projet) · entre séances 🏠 (recherches)</t>
  </si>
  <si>
    <t xml:space="preserve">🔜 À produire (Thème 3)</t>
  </si>
  <si>
    <t xml:space="preserve">Cahier Nathan 3e (spécimen) — démarche de projet</t>
  </si>
  <si>
    <t xml:space="preserve">IA Thème 3</t>
  </si>
  <si>
    <t xml:space="preserve">P4/P5</t>
  </si>
  <si>
    <t xml:space="preserve">Projet fil rouge — Volet 2 : solutions techniques et prototypage</t>
  </si>
  <si>
    <t xml:space="preserve">Quelles solutions techniques retenir, et comment réaliser le prototype ?</t>
  </si>
  <si>
    <t xml:space="preserve">3e_C7.2→C7.8</t>
  </si>
  <si>
    <t xml:space="preserve">Séances 1-4 🏫 (conception, réalisation) · 🏠 (croquis, impression 3D à suivre)</t>
  </si>
  <si>
    <t xml:space="preserve">Cahier Nathan 3e (spécimen)</t>
  </si>
  <si>
    <t xml:space="preserve">Projet fil rouge — Volet 3 : validation et mise au point</t>
  </si>
  <si>
    <t xml:space="preserve">Comment vérifier que le prototype répond au cahier des charges ?</t>
  </si>
  <si>
    <t xml:space="preserve">3e_C8.1, C8.2, C8.3 + 3e_C9.1, C9.2</t>
  </si>
  <si>
    <t xml:space="preserve">Séances 1-2 🏫 (tests, mise au point) · 3 🏫 revue de projet finale (avant DNB)</t>
  </si>
  <si>
    <t xml:space="preserve">Total séances planifiées :</t>
  </si>
  <si>
    <t xml:space="preserve">+ 4 tampons + 3 semaines révisions DNB = 37 (voir Calendrier) · colonnes AUTO recalculées selon les imprévus</t>
  </si>
  <si>
    <t xml:space="preserve">GÉNÉRATEUR DE SÉQUENCE 2024 — S1 · Innovation et rupture : comment les objets techniques évoluent-ils ?</t>
  </si>
  <si>
    <t xml:space="preserve">Thème 1 · P1 · 3 séances de 1 h 30 · Responsable : IA Thème 1 · CANEVAS À REMPLIR par IA Thème 1 (règle : l'IA du thème est seule à modifier)</t>
  </si>
  <si>
    <t xml:space="preserve">◀ Progression</t>
  </si>
  <si>
    <t xml:space="preserve">Situation déclenchante</t>
  </si>
  <si>
    <t xml:space="preserve">⚠ À compléter par IA Thème 1 (canevas pré-rempli par Fable — codes, problématique et repères posés).</t>
  </si>
  <si>
    <t xml:space="preserve">Prérequis</t>
  </si>
  <si>
    <t xml:space="preserve">Éléments pour la synthèse (objectifs)</t>
  </si>
  <si>
    <t xml:space="preserve">Piste d'évaluation</t>
  </si>
  <si>
    <t xml:space="preserve">Frise invention/innovation argumentée</t>
  </si>
  <si>
    <t xml:space="preserve">Domaines du socle mobilisés</t>
  </si>
  <si>
    <t xml:space="preserve">D3, D4, D5  (détail par code ci-dessous)</t>
  </si>
  <si>
    <t xml:space="preserve">CRCN — compétences numériques (Pix)</t>
  </si>
  <si>
    <t xml:space="preserve">1.1 Mener une veille d'information (Niv. 3)</t>
  </si>
  <si>
    <t xml:space="preserve">Versions 🅰 / 🅱 / 🅲</t>
  </si>
  <si>
    <t xml:space="preserve">Liens EPI / parcours</t>
  </si>
  <si>
    <t xml:space="preserve">Cahier Nathan 3e</t>
  </si>
  <si>
    <t xml:space="preserve">Ressources en ligne</t>
  </si>
  <si>
    <t xml:space="preserve">Compétences du programme 2024</t>
  </si>
  <si>
    <t xml:space="preserve">Intitulé officiel</t>
  </si>
  <si>
    <t xml:space="preserve">Domaines du socle</t>
  </si>
  <si>
    <t xml:space="preserve">Travaillée en</t>
  </si>
  <si>
    <t xml:space="preserve">Évaluation LSU</t>
  </si>
  <si>
    <t xml:space="preserve">→ LSU</t>
  </si>
  <si>
    <t xml:space="preserve">Déroulé, séance par séance — avec cahier de texte Pronote prêt à coller</t>
  </si>
  <si>
    <t xml:space="preserve">■ Séance 1 — semaine S01 — — — [titre de la séance 1 — à compléter]</t>
  </si>
  <si>
    <t xml:space="preserve">Question directrice</t>
  </si>
  <si>
    <t xml:space="preserve">[question directrice]</t>
  </si>
  <si>
    <t xml:space="preserve">Activités &amp; supports</t>
  </si>
  <si>
    <t xml:space="preserve">[activités — repères : Cahier Nathan 3e (spécimen) — chapitre évolution/innovation]</t>
  </si>
  <si>
    <t xml:space="preserve">Démarche / organisation</t>
  </si>
  <si>
    <t xml:space="preserve">[démarche]</t>
  </si>
  <si>
    <t xml:space="preserve">Bilan / trace écrite</t>
  </si>
  <si>
    <t xml:space="preserve">[trace écrite]</t>
  </si>
  <si>
    <t xml:space="preserve">📋 CAHIER DE TEXTE
Contenu de la séance
👆 CLIC = copier pour Pronote</t>
  </si>
  <si>
    <t xml:space="preserve">[Cahier de texte — contenu de la séance 1 : à rédiger par IA Thème 1.]</t>
  </si>
  <si>
    <t xml:space="preserve">📋 CAHIER DE TEXTE
Travail à faire
👆 CLIC = copier pour Pronote</t>
  </si>
  <si>
    <t xml:space="preserve">[Cahier de texte — travail à faire : à rédiger — support, durée, « faisable sur téléphone » le cas échéant.]</t>
  </si>
  <si>
    <t xml:space="preserve">Suivi enseignant</t>
  </si>
  <si>
    <t xml:space="preserve">Fait le : ____________</t>
  </si>
  <si>
    <t xml:space="preserve">Report / aléa / remarques : </t>
  </si>
  <si>
    <t xml:space="preserve">■ Séance 2 — semaine S02 — — — [titre de la séance 2 — à compléter]</t>
  </si>
  <si>
    <t xml:space="preserve">[Cahier de texte — contenu de la séance 2 : à rédiger par IA Thème 1.]</t>
  </si>
  <si>
    <t xml:space="preserve">■ Séance 3 — semaine S03 — — — [titre de la séance 3 — à compléter]</t>
  </si>
  <si>
    <t xml:space="preserve">[Cahier de texte — contenu de la séance 3 : à rédiger par IA Thème 1.]</t>
  </si>
  <si>
    <t xml:space="preserve">GÉNÉRATEUR DE SÉQUENCE 2024 — S2 · Le numérique dans la société : quel rôle stratégique ?</t>
  </si>
  <si>
    <t xml:space="preserve">Thème 1 · P1 · 2 séances de 1 h 30 · Responsable : IA Thème 1 · CANEVAS À REMPLIR par IA Thème 1 (règle : l'IA du thème est seule à modifier)</t>
  </si>
  <si>
    <t xml:space="preserve">Étude de cas commentée</t>
  </si>
  <si>
    <t xml:space="preserve">D1.3, D2, D3, D4, D5  (détail par code ci-dessous)</t>
  </si>
  <si>
    <t xml:space="preserve">2.4 S'insérer dans le monde numérique (Niv. 3)</t>
  </si>
  <si>
    <t xml:space="preserve">■ Séance 1 — semaine S04 — — — [titre de la séance 1 — à compléter]</t>
  </si>
  <si>
    <t xml:space="preserve">[activités — repères : Cahier Nathan 3e (spécimen) — chapitre numérique et société]</t>
  </si>
  <si>
    <t xml:space="preserve">■ Séance 2 — semaine S05 — — — [titre de la séance 2 — à compléter]</t>
  </si>
  <si>
    <t xml:space="preserve">GÉNÉRATEUR DE SÉQUENCE 2024 — S3 · Choisir un objet technique face aux enjeux du développement durable</t>
  </si>
  <si>
    <t xml:space="preserve">Thème 1 · P1/P2 · 3 séances de 1 h 30 · Responsable : IA Thème 1 · CANEVAS À REMPLIR par IA Thème 1 (règle : l'IA du thème est seule à modifier)</t>
  </si>
  <si>
    <t xml:space="preserve">Choix argumenté (cycle de vie, 3 piliers)</t>
  </si>
  <si>
    <t xml:space="preserve">1.3 Traiter des données (Niv. 2-3)</t>
  </si>
  <si>
    <t xml:space="preserve">■ Séance 1 — semaine S06 — — — [titre de la séance 1 — à compléter]</t>
  </si>
  <si>
    <t xml:space="preserve">[activités — repères : Cahier Nathan 3e (spécimen) — chapitre développement durable]</t>
  </si>
  <si>
    <t xml:space="preserve">■ Séance 2 — semaine S07 — — — [titre de la séance 2 — à compléter]</t>
  </si>
  <si>
    <t xml:space="preserve">■ Séance 3 — semaine S09 — — — [titre de la séance 3 — à compléter]</t>
  </si>
  <si>
    <t xml:space="preserve">GÉNÉRATEUR DE SÉQUENCE 2024 — S4 · La station d'alerte cyclonique : chaînes complètes d'un objet connecté</t>
  </si>
  <si>
    <t xml:space="preserve">Thème 2 · P2 · 5 séances de 1 h 30 · Responsable : Fable (Th. 2) · ✅ TOUTES les ressources en ligne (LOT 01 + LOT 06) — séquence 100 % outillée</t>
  </si>
  <si>
    <t xml:space="preserve">Un cyclone menace la Martinique : la station d'alerte du collège doit mesurer, décider et alerter — comprendre ses chaînes pour pouvoir l'améliorer.</t>
  </si>
  <si>
    <t xml:space="preserve">5e/4e : chaînes fournies puis complétées. En 3e : on les élabore.</t>
  </si>
  <si>
    <t xml:space="preserve">Décrire un OST par sa chaîne d'information · grandeurs analogiques → données exploitables (CAN) · caractériser les données · ÉLABORER soi-même une chaîne d'énergie (schéma-bloc) et justifier matériau/procédé (montée 3e).</t>
  </si>
  <si>
    <t xml:space="preserve">Formative : vérificateurs de la séquence + QCM 32 q (bilan par code → LSU). Sommative séance 5 (corrigé non publié). Données 48 h simulées (CSV/ODS/XLSX) pour l'exploitation.</t>
  </si>
  <si>
    <t xml:space="preserve">1.3 Traiter des données (Niv. 3) · 5.1 Résoudre des problèmes techniques (Niv. 3)</t>
  </si>
  <si>
    <t xml:space="preserve">🅰 Arduino/Grove (TBT) · 🅱 VittaScience · 🅲 tout dans la page (simulateur CAN intégré).</t>
  </si>
  <si>
    <t xml:space="preserve">EDD / risques majeurs (contexte cyclonique Martinique) · mathématiques (données, graphiques).</t>
  </si>
  <si>
    <t xml:space="preserve">Séance 4 (✅ en ligne)</t>
  </si>
  <si>
    <t xml:space="preserve">Schéma-bloc élaboré → LSU</t>
  </si>
  <si>
    <t xml:space="preserve">Justification matériau/procédé → LSU</t>
  </si>
  <si>
    <t xml:space="preserve">Séances 1-2</t>
  </si>
  <si>
    <t xml:space="preserve">Formative (vérificateurs) + QCM → LSU</t>
  </si>
  <si>
    <t xml:space="preserve">Séance 2 (simulateur CAN)</t>
  </si>
  <si>
    <t xml:space="preserve">Formative + QCM → LSU</t>
  </si>
  <si>
    <t xml:space="preserve">Séance 3</t>
  </si>
  <si>
    <t xml:space="preserve">■ Séance 1 — semaine S10 — 🔁 Hybride — La station et sa chaîne d'information (C4.3)</t>
  </si>
  <si>
    <t xml:space="preserve">Comment la station « sait-elle » qu'un cyclone approche ?</t>
  </si>
  <si>
    <t xml:space="preserve">Séquence en ligne, activités 1-2 : constituants, chaîne d'information complète. Lancement en classe, poursuite à la maison. https://pll-process.github.io/en-ligne-pour-le-cycle-4/theme-2-structure-fonctionnement-comportement/C4-decrire-et-caracteriser-lorganisation/3e/3e_C4.3/sequence_3e_C4.3-C4.6_station_alerte_cyclonique.html</t>
  </si>
  <si>
    <t xml:space="preserve">Investigation ; binômes sur postes puis autonomie.</t>
  </si>
  <si>
    <t xml:space="preserve">Chaîne d'information caractérisée (ACQUÉRIR/TRAITER/COMMUNIQUER).</t>
  </si>
  <si>
    <t xml:space="preserve">Séquence « Station d'alerte cyclonique » — Séance 1 : la chaîne d'information de la station (activités en ligne 1-2).</t>
  </si>
  <si>
    <t xml:space="preserve">Terminer les activités 1-2 en ligne : https://pll-process.github.io/en-ligne-pour-le-cycle-4/theme-2-structure-fonctionnement-comportement/C4-decrire-et-caracteriser-lorganisation/3e/3e_C4.3/sequence_3e_C4.3-C4.6_station_alerte_cyclonique.html ≈ 25 min, faisable sur téléphone, sauvegarde automatique.</t>
  </si>
  <si>
    <t xml:space="preserve">■ Séance 2 — semaine S11 — 🏫 En classe — Du signal analogique à la donnée (C4.4)</t>
  </si>
  <si>
    <t xml:space="preserve">Comment 967,4 hPa devient-il un nombre dans la machine ?</t>
  </si>
  <si>
    <t xml:space="preserve">Activité simulateur de CAN de la séquence (verrou expérientiel) ; grandeurs analogiques → données exploitables. https://pll-process.github.io/en-ligne-pour-le-cycle-4/theme-2-structure-fonctionnement-comportement/C4-decrire-et-caracteriser-lorganisation/3e/3e_C4.3/sequence_3e_C4.3-C4.6_station_alerte_cyclonique.html</t>
  </si>
  <si>
    <t xml:space="preserve">Binômes ; le simulateur doit être RÉELLEMENT manipulé (la page le vérifie).</t>
  </si>
  <si>
    <t xml:space="preserve">CAN : échantillonner, quantifier, coder.</t>
  </si>
  <si>
    <t xml:space="preserve">Séance 2 : du signal analogique à la donnée — simulateur de conversion (CAN) de la station.</t>
  </si>
  <si>
    <t xml:space="preserve">QCM mode « Compétence ciblée » 3e_C4.4 : https://pll-process.github.io/en-ligne-pour-le-cycle-4/theme-2-structure-fonctionnement-comportement/C4-decrire-et-caracteriser-lorganisation/3e/3e_C4.3/qcm_3e_C4.3-C4.6_station_alerte_cyclonique.html ≈ 15 min.</t>
  </si>
  <si>
    <t xml:space="preserve">■ Séance 3 — semaine S12 — 🏫 En classe — Exploiter les données de la station (C4.5, C4.6)</t>
  </si>
  <si>
    <t xml:space="preserve">Que disent 48 h de données quand un cyclone approche ?</t>
  </si>
  <si>
    <t xml:space="preserve">Exploitation du jeu de données 48 h (CSV/tableur) : seuils d'alerte, durées, rafale max. Activités 5-6 en ligne. https://pll-process.github.io/en-ligne-pour-le-cycle-4/theme-2-structure-fonctionnement-comportement/C4-decrire-et-caracteriser-lorganisation/3e/3e_C4.3/sequence_3e_C4.3-C4.6_station_alerte_cyclonique.html</t>
  </si>
  <si>
    <t xml:space="preserve">Résolution de problème au tableur + vérificateurs en ligne.</t>
  </si>
  <si>
    <t xml:space="preserve">Caractériser des données pour DÉCIDER (niveaux de vigilance).</t>
  </si>
  <si>
    <t xml:space="preserve">Séance 3 : exploiter 48 h de données de la station (tableur + activités en ligne 5-6) — seuils et vigilances.</t>
  </si>
  <si>
    <t xml:space="preserve">Terminer l'activité 6 en ligne : https://pll-process.github.io/en-ligne-pour-le-cycle-4/theme-2-structure-fonctionnement-comportement/C4-decrire-et-caracteriser-lorganisation/3e/3e_C4.3/sequence_3e_C4.3-C4.6_station_alerte_cyclonique.html ≈ 20 min.</t>
  </si>
  <si>
    <t xml:space="preserve">■ Séance 4 — semaine S13 — 🏫 En classe — Élaborer la chaîne d'énergie, justifier les choix (C4.1, C4.2 — 🔜)</t>
  </si>
  <si>
    <t xml:space="preserve">À toi de concevoir : quelle chaîne d'énergie pour une station autonome, quels matériaux face aux embruns ?</t>
  </si>
  <si>
    <t xml:space="preserve">Séquence en ligne « L'énergie de la station » : élaboration du schéma-bloc (palette avec intrus), dimensionnement 72 h au simulateur (verrou expérientiel), contraintes du site et choix matériau/procédé justifiés. https://pll-process.github.io/en-ligne-pour-le-cycle-4/theme-2-structure-fonctionnement-comportement/C4-decrire-et-caracteriser-lorganisation/3e/3e_C4.1/sequence_3e_C4.1-C4.2_energie_station.html</t>
  </si>
  <si>
    <t xml:space="preserve">Conception en binômes, mise en commun critique.</t>
  </si>
  <si>
    <t xml:space="preserve">Élaborer ≠ compléter : on choisit ET on justifie.</t>
  </si>
  <si>
    <t xml:space="preserve">Séance 4 : élaborer la chaîne d'énergie de la station (schéma-bloc) et justifier le choix des matériaux face au climat martiniquais.</t>
  </si>
  <si>
    <t xml:space="preserve">Terminer l'activité 4 (justification matériau/procédé) en ligne : https://pll-process.github.io/en-ligne-pour-le-cycle-4/theme-2-structure-fonctionnement-comportement/C4-decrire-et-caracteriser-lorganisation/3e/3e_C4.1/sequence_3e_C4.1-C4.2_energie_station.html puis QCM ciblé 3e_C4.2 : https://pll-process.github.io/en-ligne-pour-le-cycle-4/theme-2-structure-fonctionnement-comportement/C4-decrire-et-caracteriser-lorganisation/3e/3e_C4.1/qcm_3e_C4.1-C4.2_energie_station.html ≈ 25 min, faisable sur téléphone.</t>
  </si>
  <si>
    <t xml:space="preserve">■ Séance 5 — semaine S14 — 🏠 puis 🏫 — Bilan et évaluation</t>
  </si>
  <si>
    <t xml:space="preserve">Où en suis-je, code par code ?</t>
  </si>
  <si>
    <t xml:space="preserve">QCM complet à la maison avant la séance ; correction commentée (bilan par compétence) ; évaluation sommative.</t>
  </si>
  <si>
    <t xml:space="preserve">Bilan 30 min + évaluation 45 min.</t>
  </si>
  <si>
    <t xml:space="preserve">Synthèse élève distribuée (1 page A4).</t>
  </si>
  <si>
    <t xml:space="preserve">Séance 5 : bilan de la séquence « Station d'alerte cyclonique » et évaluation (chaînes, CAN, données).</t>
  </si>
  <si>
    <t xml:space="preserve">Fait avant la séance : QCM complet (32 q) : https://pll-process.github.io/en-ligne-pour-le-cycle-4/theme-2-structure-fonctionnement-comportement/C4-decrire-et-caracteriser-lorganisation/3e/3e_C4.3/qcm_3e_C4.3-C4.6_station_alerte_cyclonique.html ≈ 30 min, en 2 fois si besoin (reprise automatique).</t>
  </si>
  <si>
    <t xml:space="preserve">GÉNÉRATEUR DE SÉQUENCE 2024 — S5 · Internet jusqu'à Sainte-Luce : réseaux et routage</t>
  </si>
  <si>
    <t xml:space="preserve">Thème 2 · P3 · 3 séances de 1 h 30 · Responsable : Fable (Th. 2) · ✅ Ressources en ligne complètes (LOT 02)</t>
  </si>
  <si>
    <t xml:space="preserve">Comment un message part-il du collège de Sainte-Luce pour traverser l'Atlantique — et pourquoi Internet résiste-t-il aux pannes de câbles ?</t>
  </si>
  <si>
    <t xml:space="preserve">5e (réseau local, identification) · 4e (adresse IP).</t>
  </si>
  <si>
    <t xml:space="preserve">Découpage en paquets, en-têtes, réassemblage · routage de proche en proche · résilience (chemins alternatifs) · protection des échanges.</t>
  </si>
  <si>
    <t xml:space="preserve">Formative : 3 simulateurs (paquets, jeu du routeur, panne de câble — verrous expérientiels) + QCM 30 q → LSU. Sommative courte séance 3.</t>
  </si>
  <si>
    <t xml:space="preserve">D2, D4  (détail par code ci-dessous)</t>
  </si>
  <si>
    <t xml:space="preserve">5.1 Résoudre des problèmes techniques (Niv. 3) · 4.1 Sécuriser (Niv. 3 : bonnes pratiques)</t>
  </si>
  <si>
    <t xml:space="preserve">🅰 jeu de rôle routeurs (élèves-routeurs, cartes-paquets) · 🅱 simulateurs intégrés à la page · 🅲 fiches papier.</t>
  </si>
  <si>
    <t xml:space="preserve">Géographie (câbles sous-marins, mondialisation) · EMC (protection des données).</t>
  </si>
  <si>
    <t xml:space="preserve">Formative (simulateurs) + QCM → LSU</t>
  </si>
  <si>
    <t xml:space="preserve">Séances 2-3</t>
  </si>
  <si>
    <t xml:space="preserve">Formative (jeu du routeur, résilience) + QCM → LSU</t>
  </si>
  <si>
    <t xml:space="preserve">■ Séance 1 — semaine S16 — 🔁 Hybride — Découper pour envoyer : les paquets (C4.7)</t>
  </si>
  <si>
    <t xml:space="preserve">Pourquoi découper un message en morceaux ?</t>
  </si>
  <si>
    <t xml:space="preserve">Simulateur de découpage/réassemblage de paquets (activités 1-2 en ligne) ; lancement en classe, fin à la maison. https://pll-process.github.io/en-ligne-pour-le-cycle-4/theme-2-structure-fonctionnement-comportement/C4-decrire-et-caracteriser-lorganisation/3e/3e_C4.7/sequence_3e_C4.7-C4.8_internet_sainte_luce.html</t>
  </si>
  <si>
    <t xml:space="preserve">Investigation ; binômes puis autonomie.</t>
  </si>
  <si>
    <t xml:space="preserve">Paquets + en-têtes : numéro, source, destination.</t>
  </si>
  <si>
    <t xml:space="preserve">Séquence « Internet jusqu'à Sainte-Luce » — Séance 1 : le découpage en paquets (simulateur en ligne).</t>
  </si>
  <si>
    <t xml:space="preserve">Terminer les activités 1-2 : https://pll-process.github.io/en-ligne-pour-le-cycle-4/theme-2-structure-fonctionnement-comportement/C4-decrire-et-caracteriser-lorganisation/3e/3e_C4.7/sequence_3e_C4.7-C4.8_internet_sainte_luce.html ≈ 20 min, sur téléphone possible.</t>
  </si>
  <si>
    <t xml:space="preserve">■ Séance 2 — semaine S17 — 🏫 En classe — Le jeu du routeur et la panne de câble (C4.8)</t>
  </si>
  <si>
    <t xml:space="preserve">Comment le message trouve-t-il son chemin — même quand un câble casse ?</t>
  </si>
  <si>
    <t xml:space="preserve">Jeu du routeur (version 🅰 possible en jeu de rôle) + simulateur de panne : le réseau recalcule un chemin (R1→R3→R5). https://pll-process.github.io/en-ligne-pour-le-cycle-4/theme-2-structure-fonctionnement-comportement/C4-decrire-et-caracteriser-lorganisation/3e/3e_C4.7/sequence_3e_C4.7-C4.8_internet_sainte_luce.html</t>
  </si>
  <si>
    <t xml:space="preserve">Jeu collectif + binômes au simulateur.</t>
  </si>
  <si>
    <t xml:space="preserve">Routage de proche en proche ; résilience = chemins alternatifs.</t>
  </si>
  <si>
    <t xml:space="preserve">Séance 2 : le routage et la résilience d'Internet — jeu du routeur et panne de câble simulée.</t>
  </si>
  <si>
    <t xml:space="preserve">QCM mode « Compétence ciblée » 3e_C4.8 : https://pll-process.github.io/en-ligne-pour-le-cycle-4/theme-2-structure-fonctionnement-comportement/C4-decrire-et-caracteriser-lorganisation/3e/3e_C4.7/qcm_3e_C4.7-C4.8_internet_sainte_luce.html ≈ 15 min.</t>
  </si>
  <si>
    <t xml:space="preserve">■ Séance 3 — semaine S18 — 🏠 puis 🏫 — Bilan réseaux + évaluation</t>
  </si>
  <si>
    <t xml:space="preserve">Où en suis-je sur C4.7-C4.8 ?</t>
  </si>
  <si>
    <t xml:space="preserve">QCM complet à la maison ; correction ; évaluation courte (schéma de routage à compléter).</t>
  </si>
  <si>
    <t xml:space="preserve">Bilan + évaluation 40 min.</t>
  </si>
  <si>
    <t xml:space="preserve">Synthèse distribuée.</t>
  </si>
  <si>
    <t xml:space="preserve">Séance 3 : bilan de la séquence Internet et évaluation (paquets, routage, résilience).</t>
  </si>
  <si>
    <t xml:space="preserve">Fait avant la séance : QCM complet (30 q) : https://pll-process.github.io/en-ligne-pour-le-cycle-4/theme-2-structure-fonctionnement-comportement/C4-decrire-et-caracteriser-lorganisation/3e/3e_C4.7/qcm_3e_C4.7-C4.8_internet_sainte_luce.html ≈ 25 min.</t>
  </si>
  <si>
    <t xml:space="preserve">GÉNÉRATEUR DE SÉQUENCE 2024 — S6 · SOS station + Programmer l'alerte : diagnostiquer, réparer, modifier</t>
  </si>
  <si>
    <t xml:space="preserve">Thème 2 · P3/P4 · 4 séances de 1 h 30 · Responsable : Fable (Th. 2) · ✅ DEUX séquences complètes en ligne (LOTS 03 + 04) — le générateur les enchaîne en 4 séances denses</t>
  </si>
  <si>
    <t xml:space="preserve">La station d'alerte tombe en panne à l'approche d'un cyclone, puis doit recevoir une alerte graduée : réparer, puis modifier le programme — en prouvant chaque étape.</t>
  </si>
  <si>
    <t xml:space="preserve">S4 (la station comprise) · S5 (la station connectée) · 4e C6 (compléter un programme).</t>
  </si>
  <si>
    <t xml:space="preserve">Hypothèses → mesures ordonnées → diagnostic (2 pannes) · pièce sur mesure (plan coté) · données d'un programme · modifier avec méthode · plan de tests aux frontières · non-régression.</t>
  </si>
  <si>
    <t xml:space="preserve">Formative : simulateur de dépannage (compteur de mesures, verrou) + CodeLab (analyse du code réellement écrit) + 2 QCM (32 q + 30 q) → LSU. Sommatives séances 2 et 4.</t>
  </si>
  <si>
    <t xml:space="preserve">D1.3, D2, D3, D4  (détail par code ci-dessous)</t>
  </si>
  <si>
    <t xml:space="preserve">3.4 Programmer (Niv. 3 : modifier, tester, mettre au point) · 5.1 Résoudre des problèmes techniques (Niv. 3)</t>
  </si>
  <si>
    <t xml:space="preserve">🅰 maquettes réelles + multimètre (TBT) / Arduino · 🅱 simulateurs + VittaScience · 🅲 tout dans les pages (CodeLab + plans de tests à la main).</t>
  </si>
  <si>
    <t xml:space="preserve">EDD (réparer plutôt que jeter) · parcours Avenir (maintenance, développement) · préparation DNB (algorithmique).</t>
  </si>
  <si>
    <t xml:space="preserve">Séance 1</t>
  </si>
  <si>
    <t xml:space="preserve">Formative (simulateur 2 pannes) → LSU</t>
  </si>
  <si>
    <t xml:space="preserve">Protocole suivi → LSU</t>
  </si>
  <si>
    <t xml:space="preserve">Séance 2</t>
  </si>
  <si>
    <t xml:space="preserve">Formative → LSU</t>
  </si>
  <si>
    <t xml:space="preserve">Pièce sur mesure (plan coté) → LSU</t>
  </si>
  <si>
    <t xml:space="preserve">Carte d'identité du programme → LSU</t>
  </si>
  <si>
    <t xml:space="preserve">(couvert par « Algorigrammes DNB » existant, lié en révision)</t>
  </si>
  <si>
    <t xml:space="preserve">Séances 3-4</t>
  </si>
  <si>
    <t xml:space="preserve">Programme modifié + plan de tests → LSU</t>
  </si>
  <si>
    <t xml:space="preserve">■ Séance 1 — semaine S19 — 🔁 Hybride — Diagnostiquer la panne (C5.1, C5.2)</t>
  </si>
  <si>
    <t xml:space="preserve">La station est muette : où est la panne — et comment le PROUVER ?</t>
  </si>
  <si>
    <t xml:space="preserve">Simulateur de dépannage (2 pannes successives, compteur de mesures) : hypothèses, mesures ordonnées, diagnostic prouvé. https://pll-process.github.io/en-ligne-pour-le-cycle-4/theme-2-structure-fonctionnement-comportement/C5-identifier-un-dysfonctionnement-dun-objet/3e/3e_C5.1/sequence_3e_C5.1-C5.4_sos_station_reparer.html</t>
  </si>
  <si>
    <t xml:space="preserve">Binômes ; le simulateur exige de vraies mesures (verrou).</t>
  </si>
  <si>
    <t xml:space="preserve">Arbre de diagnostic ; une mesure = une hypothèse testée.</t>
  </si>
  <si>
    <t xml:space="preserve">Séquence « SOS station » — Séance 1 : diagnostiquer les pannes au simulateur (hypothèses, mesures, preuve).</t>
  </si>
  <si>
    <t xml:space="preserve">Terminer le simulateur de dépannage (2 pannes) : https://pll-process.github.io/en-ligne-pour-le-cycle-4/theme-2-structure-fonctionnement-comportement/C5-identifier-un-dysfonctionnement-dun-objet/3e/3e_C5.1/sequence_3e_C5.1-C5.4_sos_station_reparer.html ≈ 25 min.</t>
  </si>
  <si>
    <t xml:space="preserve">■ Séance 2 — semaine S21 — 🏫 En classe — Réparer et refabriquer sur mesure (C5.3, C5.4)</t>
  </si>
  <si>
    <t xml:space="preserve">La pièce n'existe pas : comment la produire sur mesure ?</t>
  </si>
  <si>
    <t xml:space="preserve">Protocole de réparation + plan coté de la pièce sur mesure (impression 3D) ; évaluation courte. QCM à la maison ensuite. https://pll-process.github.io/en-ligne-pour-le-cycle-4/theme-2-structure-fonctionnement-comportement/C5-identifier-un-dysfonctionnement-dun-objet/3e/3e_C5.1/sequence_3e_C5.1-C5.4_sos_station_reparer.html</t>
  </si>
  <si>
    <t xml:space="preserve">Binômes ; plan coté individuel noté.</t>
  </si>
  <si>
    <t xml:space="preserve">Réparer avec méthode ; concevoir la pièce qui manque.</t>
  </si>
  <si>
    <t xml:space="preserve">Séance 2 : réparer la station et produire la pièce sur mesure (plan coté, impression 3D) ; évaluation courte.</t>
  </si>
  <si>
    <t xml:space="preserve">QCM « SOS station » complet (32 q) : https://pll-process.github.io/en-ligne-pour-le-cycle-4/theme-2-structure-fonctionnement-comportement/C5-identifier-un-dysfonctionnement-dun-objet/3e/3e_C5.1/qcm_3e_C5.1-C5.4_sos_station_reparer.html ≈ 25 min.</t>
  </si>
  <si>
    <t xml:space="preserve">■ Séance 3 — semaine S22 — 🏫 En classe — Lire le programme avant d'y toucher (C6.1)</t>
  </si>
  <si>
    <t xml:space="preserve">Quelles données le programme de la station utilise-t-il et produit-il ?</t>
  </si>
  <si>
    <t xml:space="preserve">CodeLab Techno : carte d'identité entrées/sorties du programme Python réel, trace d'exécution, piège des frontières. https://pll-process.github.io/en-ligne-pour-le-cycle-4/theme-2-structure-fonctionnement-comportement/C6-comprendre-et-modifier-un-programme-associe/3e/3e_C6.1/sequence_3e_C6.1-C6.3_programmer_alerte.html</t>
  </si>
  <si>
    <t xml:space="preserve">Binômes sur postes ; CodeLab analyse le code réellement écrit.</t>
  </si>
  <si>
    <t xml:space="preserve">Données utilisées/produites ; &gt; strict aux frontières.</t>
  </si>
  <si>
    <t xml:space="preserve">Séquence « Programmer l'alerte » — Séance 3 : la carte d'identité du programme de la station (CodeLab, trace d'exécution).</t>
  </si>
  <si>
    <t xml:space="preserve">Réviser « Algorigrammes DNB » (séquence existante liée) + activité 2 en ligne : https://pll-process.github.io/en-ligne-pour-le-cycle-4/theme-2-structure-fonctionnement-comportement/C6-comprendre-et-modifier-un-programme-associe/3e/3e_C6.1/sequence_3e_C6.1-C6.3_programmer_alerte.html ≈ 20 min.</t>
  </si>
  <si>
    <t xml:space="preserve">■ Séance 4 — semaine S23 — 🏠 puis 🏫 — Modifier, tester, prouver (C6.3)</t>
  </si>
  <si>
    <t xml:space="preserve">Comment ajouter l'alerte graduée SANS rien casser ?</t>
  </si>
  <si>
    <t xml:space="preserve">Implémentation de l'alerte graduée dans CodeLab (vérificateur du code de l'élève) + plan de tests aux frontières + non-régression ; évaluation.</t>
  </si>
  <si>
    <t xml:space="preserve">Binômes puis individuel (évaluation).</t>
  </si>
  <si>
    <t xml:space="preserve">UN test en échec = version refusée ; re-tester l'ancien comportement.</t>
  </si>
  <si>
    <t xml:space="preserve">Séance 4 : modifier le programme (alerte graduée) et le prouver par un plan de tests ; évaluation de fin de séquence.</t>
  </si>
  <si>
    <t xml:space="preserve">Fait avant la séance : QCM « Programmer l'alerte » (30 q) : https://pll-process.github.io/en-ligne-pour-le-cycle-4/theme-2-structure-fonctionnement-comportement/C6-comprendre-et-modifier-un-programme-associe/3e/3e_C6.1/qcm_3e_C6.1-C6.3_programmer_alerte.html ≈ 25 min. Après : rien — mode « Uniquement mes erreurs » pour le DNB.</t>
  </si>
  <si>
    <t xml:space="preserve">GÉNÉRATEUR DE SÉQUENCE 2024 — S7 · Projet fil rouge — Volet 1 : cadrage, besoin et organisation</t>
  </si>
  <si>
    <t xml:space="preserve">Thème 3 · P4 · 3 séances de 1 h 30 · Responsable : IA Thème 3 · CANEVAS À REMPLIR par IA Thème 3 (règle : l'IA du thème est seule à modifier)</t>
  </si>
  <si>
    <t xml:space="preserve">⚠ À compléter par IA Thème 3 (canevas pré-rempli par Fable — codes, problématique et repères posés).</t>
  </si>
  <si>
    <t xml:space="preserve">Cahier des charges + planning validés</t>
  </si>
  <si>
    <t xml:space="preserve">D1.3, D2, D4, D5  (détail par code ci-dessous)</t>
  </si>
  <si>
    <t xml:space="preserve">2.3 Collaborer (Niv. 3)</t>
  </si>
  <si>
    <t xml:space="preserve">(réinvestie — déjà travaillée en S4)</t>
  </si>
  <si>
    <t xml:space="preserve">rappel</t>
  </si>
  <si>
    <t xml:space="preserve">■ Séance 1 — semaine S24 — — — [titre de la séance 1 — à compléter]</t>
  </si>
  <si>
    <t xml:space="preserve">[activités — repères : Cahier Nathan 3e (spécimen) — démarche de projet]</t>
  </si>
  <si>
    <t xml:space="preserve">[Cahier de texte — contenu de la séance 1 : à rédiger par IA Thème 3.]</t>
  </si>
  <si>
    <t xml:space="preserve">■ Séance 2 — semaine S25 — — — [titre de la séance 2 — à compléter]</t>
  </si>
  <si>
    <t xml:space="preserve">[Cahier de texte — contenu de la séance 2 : à rédiger par IA Thème 3.]</t>
  </si>
  <si>
    <t xml:space="preserve">■ Séance 3 — semaine S26 — — — [titre de la séance 3 — à compléter]</t>
  </si>
  <si>
    <t xml:space="preserve">[Cahier de texte — contenu de la séance 3 : à rédiger par IA Thème 3.]</t>
  </si>
  <si>
    <t xml:space="preserve">GÉNÉRATEUR DE SÉQUENCE 2024 — S8 · Projet fil rouge — Volet 2 : solutions techniques et prototypage</t>
  </si>
  <si>
    <t xml:space="preserve">Thème 3 · P4/P5 · 4 séances de 1 h 30 · Responsable : IA Thème 3 · CANEVAS À REMPLIR par IA Thème 3 (règle : l'IA du thème est seule à modifier)</t>
  </si>
  <si>
    <t xml:space="preserve">Prototype en cours + revue intermédiaire</t>
  </si>
  <si>
    <t xml:space="preserve">D2, D3, D4, D5  (détail par code ci-dessous)</t>
  </si>
  <si>
    <t xml:space="preserve">3.4 Programmer (Niv. 3) · 3.2 Documents visuels (Niv. 2-3)</t>
  </si>
  <si>
    <t xml:space="preserve">■ Séance 1 — semaine S27 — — — [titre de la séance 1 — à compléter]</t>
  </si>
  <si>
    <t xml:space="preserve">[activités — repères : Cahier Nathan 3e (spécimen)]</t>
  </si>
  <si>
    <t xml:space="preserve">■ Séance 2 — semaine S29 — — — [titre de la séance 2 — à compléter]</t>
  </si>
  <si>
    <t xml:space="preserve">■ Séance 3 — semaine S30 — — — [titre de la séance 3 — à compléter]</t>
  </si>
  <si>
    <t xml:space="preserve">■ Séance 4 — semaine S31 — — — [titre de la séance 4 — à compléter]</t>
  </si>
  <si>
    <t xml:space="preserve">[Cahier de texte — contenu de la séance 4 : à rédiger par IA Thème 3.]</t>
  </si>
  <si>
    <t xml:space="preserve">GÉNÉRATEUR DE SÉQUENCE 2024 — S9 · Projet fil rouge — Volet 3 : validation et mise au point</t>
  </si>
  <si>
    <t xml:space="preserve">Thème 3 · P5 · 3 séances de 1 h 30 · Responsable : IA Thème 3 · CANEVAS À REMPLIR par IA Thème 3 (règle : l'IA du thème est seule à modifier)</t>
  </si>
  <si>
    <t xml:space="preserve">Revue de projet finale + prototype validé</t>
  </si>
  <si>
    <t xml:space="preserve">3.4 Programmer (Niv. 3) · 5.1 Résoudre des problèmes techniques (Niv. 3)</t>
  </si>
  <si>
    <t xml:space="preserve">■ Séance 1 — semaine S32 — — — [titre de la séance 1 — à compléter]</t>
  </si>
  <si>
    <t xml:space="preserve">■ Séance 2 — semaine S33 — — — [titre de la séance 2 — à compléter]</t>
  </si>
  <si>
    <t xml:space="preserve">■ Séance 3 — semaine S34 — — — [titre de la séance 3 — à compléter]</t>
  </si>
  <si>
    <t xml:space="preserve">⚙ MOTEUR DE LA PROGRESSION 3e — 37 créneaux (30 séances + 4 tampons + 3 révisions DNB)</t>
  </si>
  <si>
    <t xml:space="preserve">Ne modifier qu'en Conseil. Le Calendrier place ces créneaux, dans l'ordre, sur les semaines sans imprévu.</t>
  </si>
  <si>
    <t xml:space="preserve">Créneau</t>
  </si>
  <si>
    <t xml:space="preserve">S1 · séance 1</t>
  </si>
  <si>
    <t xml:space="preserve">S1 · séance 2</t>
  </si>
  <si>
    <t xml:space="preserve">S1 · séance 3</t>
  </si>
  <si>
    <t xml:space="preserve">S2 · séance 1</t>
  </si>
  <si>
    <t xml:space="preserve">S2 · séance 2</t>
  </si>
  <si>
    <t xml:space="preserve">S3 · séance 1</t>
  </si>
  <si>
    <t xml:space="preserve">S3 · séance 2</t>
  </si>
  <si>
    <t xml:space="preserve">⏳ TAMPON P1 — rattrapage / remédiation</t>
  </si>
  <si>
    <t xml:space="preserve">S3 · séance 3</t>
  </si>
  <si>
    <t xml:space="preserve">S4 · séance 1</t>
  </si>
  <si>
    <t xml:space="preserve">S4 · séance 2</t>
  </si>
  <si>
    <t xml:space="preserve">S4 · séance 3</t>
  </si>
  <si>
    <t xml:space="preserve">S4 · séance 4</t>
  </si>
  <si>
    <t xml:space="preserve">S4 · séance 5</t>
  </si>
  <si>
    <t xml:space="preserve">⏳ TAMPON P2 — rattrapage / remédiation</t>
  </si>
  <si>
    <t xml:space="preserve">S5 · séance 1</t>
  </si>
  <si>
    <t xml:space="preserve">S5 · séance 2</t>
  </si>
  <si>
    <t xml:space="preserve">S5 · séance 3</t>
  </si>
  <si>
    <t xml:space="preserve">S6 · séance 1</t>
  </si>
  <si>
    <t xml:space="preserve">⏳ TAMPON P3 — rattrapage / remédiation</t>
  </si>
  <si>
    <t xml:space="preserve">S6 · séance 2</t>
  </si>
  <si>
    <t xml:space="preserve">S6 · séance 3</t>
  </si>
  <si>
    <t xml:space="preserve">S6 · séance 4</t>
  </si>
  <si>
    <t xml:space="preserve">S7 · séance 1</t>
  </si>
  <si>
    <t xml:space="preserve">S7 · séance 2</t>
  </si>
  <si>
    <t xml:space="preserve">S7 · séance 3</t>
  </si>
  <si>
    <t xml:space="preserve">S8 · séance 1</t>
  </si>
  <si>
    <t xml:space="preserve">⏳ TAMPON P4 — rattrapage / remédiation</t>
  </si>
  <si>
    <t xml:space="preserve">S8 · séance 2</t>
  </si>
  <si>
    <t xml:space="preserve">S8 · séance 3</t>
  </si>
  <si>
    <t xml:space="preserve">S8 · séance 4</t>
  </si>
  <si>
    <t xml:space="preserve">S9 · séance 1</t>
  </si>
  <si>
    <t xml:space="preserve">S9 · séance 2</t>
  </si>
  <si>
    <t xml:space="preserve">S9 · séance 3</t>
  </si>
  <si>
    <t xml:space="preserve">⏳ 🎓 RÉVISIONS DNB — annales, oraux blancs (a)</t>
  </si>
  <si>
    <t xml:space="preserve">⏳ 🎓 RÉVISIONS DNB — annales, oraux blancs (b)</t>
  </si>
  <si>
    <t xml:space="preserve">⏳ 🎓 RÉVISIONS DNB + rattrapages (c)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</si>
</sst>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General"/>
  </numFmts>
  <fonts count="3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22"/>
      <color rgb="FFFFFFFF"/>
      <name val="Arial"/>
      <family val="0"/>
      <charset val="1"/>
    </font>
    <font>
      <i val="true"/>
      <sz val="10"/>
      <color rgb="FF595959"/>
      <name val="Arial"/>
      <family val="0"/>
      <charset val="1"/>
    </font>
    <font>
      <b val="true"/>
      <sz val="13"/>
      <color rgb="FF1F4E79"/>
      <name val="Arial"/>
      <family val="0"/>
      <charset val="1"/>
    </font>
    <font>
      <b val="true"/>
      <sz val="16"/>
      <color rgb="FFFFFFFF"/>
      <name val="Arial"/>
      <family val="0"/>
      <charset val="1"/>
    </font>
    <font>
      <b val="true"/>
      <sz val="10"/>
      <color rgb="FF1F7A6E"/>
      <name val="Arial"/>
      <family val="0"/>
      <charset val="1"/>
    </font>
    <font>
      <b val="true"/>
      <sz val="10"/>
      <color rgb="FFBF8F00"/>
      <name val="Arial"/>
      <family val="0"/>
      <charset val="1"/>
    </font>
    <font>
      <b val="true"/>
      <sz val="10"/>
      <color rgb="FF808080"/>
      <name val="Arial"/>
      <family val="0"/>
      <charset val="1"/>
    </font>
    <font>
      <b val="true"/>
      <sz val="10"/>
      <color rgb="FF2E75B6"/>
      <name val="Arial"/>
      <family val="0"/>
      <charset val="1"/>
    </font>
    <font>
      <b val="true"/>
      <sz val="10"/>
      <color rgb="FF7030A0"/>
      <name val="Arial"/>
      <family val="0"/>
      <charset val="1"/>
    </font>
    <font>
      <b val="true"/>
      <sz val="10"/>
      <color rgb="FF538135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9"/>
      <color rgb="FF595959"/>
      <name val="Arial"/>
      <family val="0"/>
      <charset val="1"/>
    </font>
    <font>
      <b val="true"/>
      <sz val="10"/>
      <color rgb="FF1F4E79"/>
      <name val="Arial"/>
      <family val="0"/>
      <charset val="1"/>
    </font>
    <font>
      <sz val="9.5"/>
      <name val="Arial"/>
      <family val="0"/>
      <charset val="1"/>
    </font>
    <font>
      <i val="true"/>
      <sz val="9"/>
      <color rgb="FF595959"/>
      <name val="Arial"/>
      <family val="0"/>
      <charset val="1"/>
    </font>
    <font>
      <b val="true"/>
      <sz val="16"/>
      <color rgb="FF1F4E79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8"/>
      <color rgb="FF808080"/>
      <name val="Arial"/>
      <family val="0"/>
      <charset val="1"/>
    </font>
    <font>
      <b val="true"/>
      <sz val="10"/>
      <color rgb="FFC55A11"/>
      <name val="Arial"/>
      <family val="0"/>
      <charset val="1"/>
    </font>
    <font>
      <sz val="10"/>
      <name val="Arial"/>
      <family val="0"/>
      <charset val="1"/>
    </font>
    <font>
      <sz val="8"/>
      <color rgb="FF808080"/>
      <name val="Arial"/>
      <family val="0"/>
      <charset val="1"/>
    </font>
    <font>
      <b val="true"/>
      <sz val="11"/>
      <color rgb="FF1F4E79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5"/>
      <color rgb="FF1F4E79"/>
      <name val="Arial"/>
      <family val="0"/>
      <charset val="1"/>
    </font>
    <font>
      <b val="true"/>
      <sz val="8"/>
      <name val="Arial"/>
      <family val="0"/>
      <charset val="1"/>
    </font>
    <font>
      <sz val="7"/>
      <color rgb="FF595959"/>
      <name val="Arial"/>
      <family val="0"/>
      <charset val="1"/>
    </font>
    <font>
      <b val="true"/>
      <sz val="8"/>
      <color rgb="FFFFFFFF"/>
      <name val="Arial"/>
      <family val="0"/>
      <charset val="1"/>
    </font>
    <font>
      <sz val="8"/>
      <name val="Arial"/>
      <family val="0"/>
      <charset val="1"/>
    </font>
    <font>
      <b val="true"/>
      <sz val="10"/>
      <color rgb="FFC00000"/>
      <name val="Arial"/>
      <family val="0"/>
      <charset val="1"/>
    </font>
    <font>
      <b val="true"/>
      <sz val="8"/>
      <color rgb="FFC00000"/>
      <name val="Arial"/>
      <family val="0"/>
      <charset val="1"/>
    </font>
    <font>
      <b val="true"/>
      <sz val="10.5"/>
      <color rgb="FF1F4E79"/>
      <name val="Arial"/>
      <family val="0"/>
      <charset val="1"/>
    </font>
    <font>
      <sz val="9"/>
      <name val="Arial"/>
      <family val="0"/>
      <charset val="1"/>
    </font>
    <font>
      <b val="true"/>
      <sz val="14"/>
      <color rgb="FFC55A11"/>
      <name val="Arial"/>
      <family val="0"/>
      <charset val="1"/>
    </font>
    <font>
      <b val="true"/>
      <sz val="14"/>
      <color rgb="FF2E75B6"/>
      <name val="Arial"/>
      <family val="0"/>
      <charset val="1"/>
    </font>
    <font>
      <b val="true"/>
      <sz val="14"/>
      <color rgb="FF538135"/>
      <name val="Arial"/>
      <family val="0"/>
      <charset val="1"/>
    </font>
  </fonts>
  <fills count="19">
    <fill>
      <patternFill patternType="none"/>
    </fill>
    <fill>
      <patternFill patternType="gray125"/>
    </fill>
    <fill>
      <patternFill patternType="solid">
        <fgColor rgb="FF0D2347"/>
        <bgColor rgb="FF333333"/>
      </patternFill>
    </fill>
    <fill>
      <patternFill patternType="solid">
        <fgColor rgb="FF1F7A6E"/>
        <bgColor rgb="FF008080"/>
      </patternFill>
    </fill>
    <fill>
      <patternFill patternType="solid">
        <fgColor rgb="FFBF8F00"/>
        <bgColor rgb="FF808000"/>
      </patternFill>
    </fill>
    <fill>
      <patternFill patternType="solid">
        <fgColor rgb="FF808080"/>
        <bgColor rgb="FF969696"/>
      </patternFill>
    </fill>
    <fill>
      <patternFill patternType="solid">
        <fgColor rgb="FFFAFAFA"/>
        <bgColor rgb="FFFFFFFF"/>
      </patternFill>
    </fill>
    <fill>
      <patternFill patternType="solid">
        <fgColor rgb="FF2E75B6"/>
        <bgColor rgb="FF1F7A6E"/>
      </patternFill>
    </fill>
    <fill>
      <patternFill patternType="solid">
        <fgColor rgb="FF7030A0"/>
        <bgColor rgb="FF993366"/>
      </patternFill>
    </fill>
    <fill>
      <patternFill patternType="solid">
        <fgColor rgb="FF538135"/>
        <bgColor rgb="FF808000"/>
      </patternFill>
    </fill>
    <fill>
      <patternFill patternType="solid">
        <fgColor rgb="FFC55A11"/>
        <bgColor rgb="FF993300"/>
      </patternFill>
    </fill>
    <fill>
      <patternFill patternType="solid">
        <fgColor rgb="FFDDEBF7"/>
        <bgColor rgb="FFE2EFDA"/>
      </patternFill>
    </fill>
    <fill>
      <patternFill patternType="solid">
        <fgColor rgb="FFC00000"/>
        <bgColor rgb="FF800000"/>
      </patternFill>
    </fill>
    <fill>
      <patternFill patternType="solid">
        <fgColor rgb="FFFCE4D6"/>
        <bgColor rgb="FFFFF2CC"/>
      </patternFill>
    </fill>
    <fill>
      <patternFill patternType="solid">
        <fgColor rgb="FFFFF2CC"/>
        <bgColor rgb="FFFCE4D6"/>
      </patternFill>
    </fill>
    <fill>
      <patternFill patternType="solid">
        <fgColor rgb="FFFDF2F2"/>
        <bgColor rgb="FFF2F2F2"/>
      </patternFill>
    </fill>
    <fill>
      <patternFill patternType="solid">
        <fgColor rgb="FFE2EFDA"/>
        <bgColor rgb="FFDDEBF7"/>
      </patternFill>
    </fill>
    <fill>
      <patternFill patternType="solid">
        <fgColor rgb="FFE6DEEF"/>
        <bgColor rgb="FFDDEBF7"/>
      </patternFill>
    </fill>
    <fill>
      <patternFill patternType="solid">
        <fgColor rgb="FFF2F2F2"/>
        <bgColor rgb="FFFDF2F2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 diagonalUp="false" diagonalDown="false">
      <left style="thin">
        <color rgb="FFBFBFBF"/>
      </left>
      <right/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0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" fillId="3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7" fillId="4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5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6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6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6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7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8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9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6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6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6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3" borderId="0" xfId="0" applyFont="true" applyBorder="false" applyAlignment="true" applyProtection="false">
      <alignment horizontal="general" vertical="center" textRotation="0" wrapText="false" indent="1" shrinkToFit="false"/>
      <protection locked="true" hidden="false"/>
    </xf>
    <xf numFmtId="164" fontId="15" fillId="0" borderId="0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5" fillId="0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14" fillId="8" borderId="0" xfId="0" applyFont="true" applyBorder="false" applyAlignment="true" applyProtection="false">
      <alignment horizontal="general" vertical="center" textRotation="0" wrapText="false" indent="1" shrinkToFit="false"/>
      <protection locked="true" hidden="false"/>
    </xf>
    <xf numFmtId="164" fontId="14" fillId="4" borderId="0" xfId="0" applyFont="true" applyBorder="false" applyAlignment="true" applyProtection="false">
      <alignment horizontal="general" vertical="center" textRotation="0" wrapText="false" indent="1" shrinkToFit="false"/>
      <protection locked="true" hidden="false"/>
    </xf>
    <xf numFmtId="164" fontId="14" fillId="10" borderId="0" xfId="0" applyFont="true" applyBorder="false" applyAlignment="true" applyProtection="false">
      <alignment horizontal="general" vertical="center" textRotation="0" wrapText="false" indent="1" shrinkToFit="false"/>
      <protection locked="true" hidden="false"/>
    </xf>
    <xf numFmtId="164" fontId="14" fillId="7" borderId="0" xfId="0" applyFont="true" applyBorder="false" applyAlignment="true" applyProtection="false">
      <alignment horizontal="general" vertical="center" textRotation="0" wrapText="false" indent="1" shrinkToFit="false"/>
      <protection locked="true" hidden="false"/>
    </xf>
    <xf numFmtId="164" fontId="14" fillId="9" borderId="0" xfId="0" applyFont="true" applyBorder="false" applyAlignment="true" applyProtection="false">
      <alignment horizontal="general" vertical="center" textRotation="0" wrapText="false" indent="1" shrinkToFit="false"/>
      <protection locked="true" hidden="false"/>
    </xf>
    <xf numFmtId="164" fontId="16" fillId="11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7" fillId="0" borderId="2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6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20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20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0" fillId="1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1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2" fillId="13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23" fillId="13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23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23" fillId="1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0" fillId="14" borderId="1" xfId="0" applyFont="false" applyBorder="true" applyAlignment="true" applyProtection="false">
      <alignment horizontal="general" vertical="top" textRotation="0" wrapText="true" indent="0" shrinkToFit="false"/>
      <protection locked="true" hidden="false"/>
    </xf>
    <xf numFmtId="164" fontId="0" fillId="15" borderId="1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24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0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11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23" fillId="11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3" fillId="16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23" fillId="16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2" fillId="17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23" fillId="17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9" fillId="14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23" fillId="14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2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8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27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6" fillId="0" borderId="0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20" fillId="10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0" fillId="7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0" fillId="9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0" fillId="8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0" fillId="4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8" fillId="1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8" fillId="11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8" fillId="1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8" fillId="1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8" fillId="1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9" fillId="0" borderId="1" xfId="0" applyFont="true" applyBorder="true" applyAlignment="true" applyProtection="false">
      <alignment horizontal="center" vertical="center" textRotation="90" wrapText="false" indent="0" shrinkToFit="false"/>
      <protection locked="true" hidden="false"/>
    </xf>
    <xf numFmtId="164" fontId="22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30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13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1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31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32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33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8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34" fillId="11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26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23" fillId="1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6" fillId="1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23" fillId="1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35" fillId="1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3" fillId="11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6" fillId="11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23" fillId="11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35" fillId="11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3" fillId="1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6" fillId="16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23" fillId="16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35" fillId="1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6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5" fontId="26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36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20" fillId="4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23" fillId="0" borderId="2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4" fillId="1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26" fillId="1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23" fillId="14" borderId="2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8" fillId="18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8" fillId="18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8" fillId="18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37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4" fillId="7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38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4" fillId="9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20" fillId="7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23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23" fillId="18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7">
    <dxf>
      <font>
        <name val="Arial"/>
        <charset val="1"/>
        <family val="0"/>
        <color rgb="FF808080"/>
        <sz val="10"/>
      </font>
      <fill>
        <patternFill>
          <bgColor rgb="FFF2F2F2"/>
        </patternFill>
      </fill>
    </dxf>
    <dxf>
      <font>
        <name val="Arial"/>
        <charset val="1"/>
        <family val="0"/>
        <b val="1"/>
        <color rgb="FFC00000"/>
        <sz val="10"/>
      </font>
      <fill>
        <patternFill>
          <bgColor rgb="FFF8CBAD"/>
        </patternFill>
      </fill>
    </dxf>
    <dxf>
      <font>
        <name val="Arial"/>
        <charset val="1"/>
        <family val="0"/>
        <b val="1"/>
        <color rgb="FFFFFFFF"/>
        <sz val="8"/>
      </font>
      <fill>
        <patternFill>
          <bgColor rgb="FFC55A11"/>
        </patternFill>
      </fill>
    </dxf>
    <dxf>
      <font>
        <name val="Arial"/>
        <charset val="1"/>
        <family val="0"/>
        <b val="1"/>
        <color rgb="FFFFFFFF"/>
        <sz val="8"/>
      </font>
      <fill>
        <patternFill>
          <bgColor rgb="FF2E75B6"/>
        </patternFill>
      </fill>
    </dxf>
    <dxf>
      <font>
        <name val="Arial"/>
        <charset val="1"/>
        <family val="0"/>
        <b val="1"/>
        <color rgb="FFFFFFFF"/>
        <sz val="8"/>
      </font>
      <fill>
        <patternFill>
          <bgColor rgb="FF538135"/>
        </patternFill>
      </fill>
    </dxf>
    <dxf>
      <fill>
        <patternFill>
          <bgColor rgb="FFF2F2F2"/>
        </patternFill>
      </fill>
    </dxf>
    <dxf>
      <fill>
        <patternFill>
          <bgColor rgb="FFF8CBAD"/>
        </patternFill>
      </fill>
    </dxf>
  </dxf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1F7A6E"/>
      <rgbColor rgb="FFBFBFBF"/>
      <rgbColor rgb="FF808080"/>
      <rgbColor rgb="FF9999FF"/>
      <rgbColor rgb="FF7030A0"/>
      <rgbColor rgb="FFFFF2CC"/>
      <rgbColor rgb="FFDDEBF7"/>
      <rgbColor rgb="FF660066"/>
      <rgbColor rgb="FFFF8080"/>
      <rgbColor rgb="FF0066CC"/>
      <rgbColor rgb="FFE6DEE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2F2F2"/>
      <rgbColor rgb="FFE2EFDA"/>
      <rgbColor rgb="FFFCE4D6"/>
      <rgbColor rgb="FFFDF2F2"/>
      <rgbColor rgb="FFFAFAFA"/>
      <rgbColor rgb="FFCC99FF"/>
      <rgbColor rgb="FFF8CBAD"/>
      <rgbColor rgb="FF2E75B6"/>
      <rgbColor rgb="FF33CCCC"/>
      <rgbColor rgb="FF99CC00"/>
      <rgbColor rgb="FFFFCC00"/>
      <rgbColor rgb="FFBF8F00"/>
      <rgbColor rgb="FFC55A11"/>
      <rgbColor rgb="FF595959"/>
      <rgbColor rgb="FF969696"/>
      <rgbColor rgb="FF0D2347"/>
      <rgbColor rgb="FF538135"/>
      <rgbColor rgb="FF003300"/>
      <rgbColor rgb="FF333300"/>
      <rgbColor rgb="FF993300"/>
      <rgbColor rgb="FF993366"/>
      <rgbColor rgb="FF1F4E7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worksheet" Target="worksheets/sheet14.xml"/><Relationship Id="rId17" Type="http://schemas.openxmlformats.org/officeDocument/2006/relationships/worksheet" Target="worksheets/sheet15.xml"/><Relationship Id="rId18" Type="http://schemas.openxmlformats.org/officeDocument/2006/relationships/worksheet" Target="worksheets/sheet16.xml"/><Relationship Id="rId19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Progression_Techno_3e_2026-2027_Martinique.xlsx" TargetMode="External"/><Relationship Id="rId2" Type="http://schemas.openxmlformats.org/officeDocument/2006/relationships/hyperlink" Target="Progression_Techno_3e_2026-2027_Martinique.xlsx" TargetMode="External"/><Relationship Id="rId3" Type="http://schemas.openxmlformats.org/officeDocument/2006/relationships/hyperlink" Target="Progression_Techno_3e_2026-2027_Martinique.xlsx" TargetMode="External"/><Relationship Id="rId4" Type="http://schemas.openxmlformats.org/officeDocument/2006/relationships/hyperlink" Target="Progression_Techno_3e_2026-2027_Martinique.xlsx" TargetMode="External"/><Relationship Id="rId5" Type="http://schemas.openxmlformats.org/officeDocument/2006/relationships/hyperlink" Target="Progression_Techno_3e_2026-2027_Martinique.xlsx" TargetMode="External"/><Relationship Id="rId6" Type="http://schemas.openxmlformats.org/officeDocument/2006/relationships/hyperlink" Target="Progression_Techno_3e_2026-2027_Martinique.xlsx" TargetMode="External"/><Relationship Id="rId7" Type="http://schemas.openxmlformats.org/officeDocument/2006/relationships/hyperlink" Target="Progression_Techno_3e_2026-2027_Martinique.xlsx" TargetMode="External"/><Relationship Id="rId8" Type="http://schemas.openxmlformats.org/officeDocument/2006/relationships/hyperlink" Target="Progression_Techno_3e_2026-2027_Martinique.xlsx" TargetMode="External"/><Relationship Id="rId9" Type="http://schemas.openxmlformats.org/officeDocument/2006/relationships/hyperlink" Target="Progression_Techno_3e_2026-2027_Martinique.xlsx" TargetMode="External"/><Relationship Id="rId10" Type="http://schemas.openxmlformats.org/officeDocument/2006/relationships/hyperlink" Target="Progression_Techno_3e_2026-2027_Martinique.xlsx" TargetMode="External"/><Relationship Id="rId11" Type="http://schemas.openxmlformats.org/officeDocument/2006/relationships/hyperlink" Target="Progression_Techno_3e_2026-2027_Martinique.xlsx" TargetMode="External"/><Relationship Id="rId12" Type="http://schemas.openxmlformats.org/officeDocument/2006/relationships/hyperlink" Target="Progression_Techno_3e_2026-2027_Martinique.xlsx" TargetMode="External"/><Relationship Id="rId13" Type="http://schemas.openxmlformats.org/officeDocument/2006/relationships/hyperlink" Target="Progression_Techno_3e_2026-2027_Martinique.xlsx" TargetMode="External"/><Relationship Id="rId14" Type="http://schemas.openxmlformats.org/officeDocument/2006/relationships/hyperlink" Target="Progression_Techno_3e_2026-2027_Martinique.xlsx" TargetMode="Externa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hyperlink" Target="Progression_Techno_3e_2026-2027_Martinique.xlsx" TargetMode="Externa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hyperlink" Target="Progression_Techno_3e_2026-2027_Martinique.xlsx" TargetMode="External"/><Relationship Id="rId2" Type="http://schemas.openxmlformats.org/officeDocument/2006/relationships/hyperlink" Target="Progression_Techno_3e_2026-2027_Martinique.xlsx" TargetMode="External"/><Relationship Id="rId3" Type="http://schemas.openxmlformats.org/officeDocument/2006/relationships/hyperlink" Target="Progression_Techno_3e_2026-2027_Martinique.xlsx" TargetMode="External"/><Relationship Id="rId4" Type="http://schemas.openxmlformats.org/officeDocument/2006/relationships/hyperlink" Target="Progression_Techno_3e_2026-2027_Martinique.xlsx" TargetMode="External"/><Relationship Id="rId5" Type="http://schemas.openxmlformats.org/officeDocument/2006/relationships/hyperlink" Target="Progression_Techno_3e_2026-2027_Martinique.xlsx" TargetMode="External"/><Relationship Id="rId6" Type="http://schemas.openxmlformats.org/officeDocument/2006/relationships/hyperlink" Target="Progression_Techno_3e_2026-2027_Martinique.xlsx" TargetMode="External"/><Relationship Id="rId7" Type="http://schemas.openxmlformats.org/officeDocument/2006/relationships/hyperlink" Target="Progression_Techno_3e_2026-2027_Martinique.xlsx" TargetMode="External"/><Relationship Id="rId8" Type="http://schemas.openxmlformats.org/officeDocument/2006/relationships/hyperlink" Target="Progression_Techno_3e_2026-2027_Martinique.xlsx" TargetMode="External"/><Relationship Id="rId9" Type="http://schemas.openxmlformats.org/officeDocument/2006/relationships/hyperlink" Target="Progression_Techno_3e_2026-2027_Martinique.xlsx" TargetMode="External"/><Relationship Id="rId10" Type="http://schemas.openxmlformats.org/officeDocument/2006/relationships/hyperlink" Target="Progression_Techno_3e_2026-2027_Martinique.xlsx" TargetMode="Externa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hyperlink" Target="Progression_Techno_3e_2026-2027_Martinique.xlsx" TargetMode="Externa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hyperlink" Target="Progression_Techno_3e_2026-2027_Martinique.xlsx" TargetMode="Externa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hyperlink" Target="Progression_Techno_3e_2026-2027_Martinique.xlsx" TargetMode="External"/>
</Relationships>
</file>

<file path=xl/worksheets/_rels/sheet7.xml.rels><?xml version="1.0" encoding="UTF-8"?>
<Relationships xmlns="http://schemas.openxmlformats.org/package/2006/relationships"><Relationship Id="rId1" Type="http://schemas.openxmlformats.org/officeDocument/2006/relationships/hyperlink" Target="Progression_Techno_3e_2026-2027_Martinique.xlsx" TargetMode="External"/><Relationship Id="rId2" Type="http://schemas.openxmlformats.org/officeDocument/2006/relationships/hyperlink" Target="Progression_Techno_3e_2026-2027_Martinique.xlsx" TargetMode="External"/>
</Relationships>
</file>

<file path=xl/worksheets/_rels/sheet8.xml.rels><?xml version="1.0" encoding="UTF-8"?>
<Relationships xmlns="http://schemas.openxmlformats.org/package/2006/relationships"><Relationship Id="rId1" Type="http://schemas.openxmlformats.org/officeDocument/2006/relationships/hyperlink" Target="Progression_Techno_3e_2026-2027_Martinique.xlsx" TargetMode="External"/><Relationship Id="rId2" Type="http://schemas.openxmlformats.org/officeDocument/2006/relationships/hyperlink" Target="Progression_Techno_3e_2026-2027_Martinique.xlsx" TargetMode="External"/>
</Relationships>
</file>

<file path=xl/worksheets/_rels/sheet9.xml.rels><?xml version="1.0" encoding="UTF-8"?>
<Relationships xmlns="http://schemas.openxmlformats.org/package/2006/relationships"><Relationship Id="rId1" Type="http://schemas.openxmlformats.org/officeDocument/2006/relationships/hyperlink" Target="Progression_Techno_3e_2026-2027_Martinique.xlsx" TargetMode="External"/><Relationship Id="rId2" Type="http://schemas.openxmlformats.org/officeDocument/2006/relationships/hyperlink" Target="Progression_Techno_3e_2026-2027_Martinique.xlsx" TargetMode="External"/>
</Relationships>
</file>

<file path=xl/worksheets/_rels/sheet10.xml.rels><?xml version="1.0" encoding="UTF-8"?>
<Relationships xmlns="http://schemas.openxmlformats.org/package/2006/relationships"><Relationship Id="rId1" Type="http://schemas.openxmlformats.org/officeDocument/2006/relationships/hyperlink" Target="Progression_Techno_3e_2026-2027_Martinique.xlsx" TargetMode="External"/><Relationship Id="rId2" Type="http://schemas.openxmlformats.org/officeDocument/2006/relationships/hyperlink" Target="Progression_Techno_3e_2026-2027_Martinique.xlsx" TargetMode="External"/>
</Relationships>
</file>

<file path=xl/worksheets/_rels/sheet11.xml.rels><?xml version="1.0" encoding="UTF-8"?>
<Relationships xmlns="http://schemas.openxmlformats.org/package/2006/relationships"><Relationship Id="rId1" Type="http://schemas.openxmlformats.org/officeDocument/2006/relationships/hyperlink" Target="Progression_Techno_3e_2026-2027_Martinique.xlsx" TargetMode="External"/><Relationship Id="rId2" Type="http://schemas.openxmlformats.org/officeDocument/2006/relationships/hyperlink" Target="Progression_Techno_3e_2026-2027_Martinique.xlsx" TargetMode="External"/>
</Relationships>
</file>

<file path=xl/worksheets/_rels/sheet12.xml.rels><?xml version="1.0" encoding="UTF-8"?>
<Relationships xmlns="http://schemas.openxmlformats.org/package/2006/relationships"><Relationship Id="rId1" Type="http://schemas.openxmlformats.org/officeDocument/2006/relationships/hyperlink" Target="Progression_Techno_3e_2026-2027_Martinique.xlsx" TargetMode="External"/><Relationship Id="rId2" Type="http://schemas.openxmlformats.org/officeDocument/2006/relationships/hyperlink" Target="Progression_Techno_3e_2026-2027_Martinique.xlsx" TargetMode="External"/>
</Relationships>
</file>

<file path=xl/worksheets/_rels/sheet13.xml.rels><?xml version="1.0" encoding="UTF-8"?>
<Relationships xmlns="http://schemas.openxmlformats.org/package/2006/relationships"><Relationship Id="rId1" Type="http://schemas.openxmlformats.org/officeDocument/2006/relationships/hyperlink" Target="Progression_Techno_3e_2026-2027_Martinique.xlsx" TargetMode="External"/><Relationship Id="rId2" Type="http://schemas.openxmlformats.org/officeDocument/2006/relationships/hyperlink" Target="Progression_Techno_3e_2026-2027_Martinique.xlsx" TargetMode="External"/>
</Relationships>
</file>

<file path=xl/worksheets/_rels/sheet14.xml.rels><?xml version="1.0" encoding="UTF-8"?>
<Relationships xmlns="http://schemas.openxmlformats.org/package/2006/relationships"><Relationship Id="rId1" Type="http://schemas.openxmlformats.org/officeDocument/2006/relationships/hyperlink" Target="Progression_Techno_3e_2026-2027_Martinique.xlsx" TargetMode="External"/><Relationship Id="rId2" Type="http://schemas.openxmlformats.org/officeDocument/2006/relationships/hyperlink" Target="Progression_Techno_3e_2026-2027_Martinique.xlsx" TargetMode="External"/>
</Relationships>
</file>

<file path=xl/worksheets/_rels/sheet15.xml.rels><?xml version="1.0" encoding="UTF-8"?>
<Relationships xmlns="http://schemas.openxmlformats.org/package/2006/relationships"><Relationship Id="rId1" Type="http://schemas.openxmlformats.org/officeDocument/2006/relationships/hyperlink" Target="Progression_Techno_3e_2026-2027_Martinique.xlsx" TargetMode="External"/><Relationship Id="rId2" Type="http://schemas.openxmlformats.org/officeDocument/2006/relationships/hyperlink" Target="Progression_Techno_3e_2026-2027_Martinique.xlsx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D2347"/>
    <pageSetUpPr fitToPage="false"/>
  </sheetPr>
  <dimension ref="A1:H31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"/>
    <col collapsed="false" customWidth="true" hidden="false" outlineLevel="0" max="7" min="2" style="1" width="30"/>
    <col collapsed="false" customWidth="true" hidden="false" outlineLevel="0" max="8" min="8" style="1" width="2"/>
  </cols>
  <sheetData>
    <row r="1" customFormat="false" ht="15" hidden="false" customHeight="true" outlineLevel="0" collapsed="false">
      <c r="A1" s="2" t="s">
        <v>0</v>
      </c>
      <c r="B1" s="2"/>
      <c r="C1" s="2"/>
      <c r="D1" s="2"/>
      <c r="E1" s="2"/>
      <c r="F1" s="2"/>
      <c r="G1" s="2"/>
      <c r="H1" s="2"/>
    </row>
    <row r="2" customFormat="false" ht="15" hidden="false" customHeight="true" outlineLevel="0" collapsed="false">
      <c r="A2" s="2"/>
      <c r="B2" s="2"/>
      <c r="C2" s="2"/>
      <c r="D2" s="2"/>
      <c r="E2" s="2"/>
      <c r="F2" s="2"/>
      <c r="G2" s="2"/>
      <c r="H2" s="2"/>
    </row>
    <row r="3" customFormat="false" ht="15" hidden="false" customHeight="true" outlineLevel="0" collapsed="false">
      <c r="A3" s="2"/>
      <c r="B3" s="2"/>
      <c r="C3" s="2"/>
      <c r="D3" s="2"/>
      <c r="E3" s="2"/>
      <c r="F3" s="2"/>
      <c r="G3" s="2"/>
      <c r="H3" s="2"/>
    </row>
    <row r="4" customFormat="false" ht="15" hidden="false" customHeight="true" outlineLevel="0" collapsed="false">
      <c r="A4" s="2"/>
      <c r="B4" s="2"/>
      <c r="C4" s="2"/>
      <c r="D4" s="2"/>
      <c r="E4" s="2"/>
      <c r="F4" s="2"/>
      <c r="G4" s="2"/>
      <c r="H4" s="2"/>
    </row>
    <row r="5" customFormat="false" ht="15" hidden="false" customHeight="true" outlineLevel="0" collapsed="false">
      <c r="A5" s="3" t="s">
        <v>1</v>
      </c>
      <c r="B5" s="3"/>
      <c r="C5" s="3"/>
      <c r="D5" s="3"/>
      <c r="E5" s="3"/>
      <c r="F5" s="3"/>
      <c r="G5" s="3"/>
      <c r="H5" s="3"/>
    </row>
    <row r="7" customFormat="false" ht="15.75" hidden="false" customHeight="true" outlineLevel="0" collapsed="false">
      <c r="B7" s="4" t="s">
        <v>2</v>
      </c>
    </row>
    <row r="8" customFormat="false" ht="30" hidden="false" customHeight="true" outlineLevel="0" collapsed="false">
      <c r="B8" s="5" t="s">
        <v>3</v>
      </c>
      <c r="C8" s="5"/>
      <c r="D8" s="6" t="n">
        <f aca="false">'🧭 Progression'!G13</f>
        <v>30</v>
      </c>
      <c r="E8" s="6"/>
      <c r="F8" s="7" t="s">
        <v>4</v>
      </c>
      <c r="G8" s="7"/>
    </row>
    <row r="9" customFormat="false" ht="15" hidden="false" customHeight="true" outlineLevel="0" collapsed="false">
      <c r="B9" s="8" t="s">
        <v>5</v>
      </c>
      <c r="C9" s="8"/>
      <c r="D9" s="9" t="s">
        <v>6</v>
      </c>
      <c r="E9" s="9"/>
      <c r="F9" s="10" t="s">
        <v>7</v>
      </c>
      <c r="G9" s="10"/>
    </row>
    <row r="11" customFormat="false" ht="30" hidden="false" customHeight="true" outlineLevel="0" collapsed="false">
      <c r="B11" s="11" t="s">
        <v>8</v>
      </c>
      <c r="C11" s="11"/>
      <c r="D11" s="12" t="s">
        <v>9</v>
      </c>
      <c r="E11" s="12"/>
      <c r="F11" s="13" t="s">
        <v>10</v>
      </c>
      <c r="G11" s="13"/>
    </row>
    <row r="12" customFormat="false" ht="15" hidden="false" customHeight="true" outlineLevel="0" collapsed="false">
      <c r="B12" s="14" t="s">
        <v>11</v>
      </c>
      <c r="C12" s="14"/>
      <c r="D12" s="15" t="s">
        <v>12</v>
      </c>
      <c r="E12" s="15"/>
      <c r="F12" s="16" t="s">
        <v>13</v>
      </c>
      <c r="G12" s="16"/>
    </row>
    <row r="14" customFormat="false" ht="15.75" hidden="false" customHeight="true" outlineLevel="0" collapsed="false">
      <c r="B14" s="4" t="s">
        <v>14</v>
      </c>
    </row>
    <row r="15" customFormat="false" ht="24" hidden="false" customHeight="true" outlineLevel="0" collapsed="false">
      <c r="B15" s="17" t="s">
        <v>15</v>
      </c>
      <c r="C15" s="18" t="s">
        <v>16</v>
      </c>
      <c r="D15" s="18"/>
      <c r="E15" s="17" t="s">
        <v>17</v>
      </c>
      <c r="F15" s="19" t="s">
        <v>18</v>
      </c>
    </row>
    <row r="16" customFormat="false" ht="24" hidden="false" customHeight="true" outlineLevel="0" collapsed="false">
      <c r="B16" s="20" t="s">
        <v>19</v>
      </c>
      <c r="C16" s="18" t="s">
        <v>20</v>
      </c>
      <c r="D16" s="18"/>
      <c r="E16" s="20" t="s">
        <v>21</v>
      </c>
      <c r="F16" s="19" t="s">
        <v>22</v>
      </c>
    </row>
    <row r="17" customFormat="false" ht="24" hidden="false" customHeight="true" outlineLevel="0" collapsed="false">
      <c r="B17" s="21" t="s">
        <v>23</v>
      </c>
      <c r="C17" s="18" t="s">
        <v>24</v>
      </c>
      <c r="D17" s="18"/>
      <c r="E17" s="22" t="s">
        <v>25</v>
      </c>
      <c r="F17" s="19" t="s">
        <v>26</v>
      </c>
    </row>
    <row r="18" customFormat="false" ht="24" hidden="false" customHeight="true" outlineLevel="0" collapsed="false">
      <c r="B18" s="22" t="s">
        <v>27</v>
      </c>
      <c r="C18" s="18" t="s">
        <v>28</v>
      </c>
      <c r="D18" s="18"/>
      <c r="E18" s="22" t="s">
        <v>29</v>
      </c>
      <c r="F18" s="19" t="s">
        <v>30</v>
      </c>
    </row>
    <row r="19" customFormat="false" ht="24" hidden="false" customHeight="true" outlineLevel="0" collapsed="false">
      <c r="B19" s="23" t="s">
        <v>31</v>
      </c>
      <c r="C19" s="18" t="s">
        <v>32</v>
      </c>
      <c r="D19" s="18"/>
      <c r="E19" s="23" t="s">
        <v>33</v>
      </c>
      <c r="F19" s="19" t="s">
        <v>34</v>
      </c>
    </row>
    <row r="20" customFormat="false" ht="24" hidden="false" customHeight="true" outlineLevel="0" collapsed="false">
      <c r="B20" s="23" t="s">
        <v>35</v>
      </c>
      <c r="C20" s="18" t="s">
        <v>36</v>
      </c>
      <c r="D20" s="18"/>
      <c r="E20" s="24" t="s">
        <v>37</v>
      </c>
      <c r="F20" s="19" t="s">
        <v>38</v>
      </c>
    </row>
    <row r="21" customFormat="false" ht="24" hidden="false" customHeight="true" outlineLevel="0" collapsed="false">
      <c r="B21" s="24" t="s">
        <v>39</v>
      </c>
      <c r="C21" s="18" t="s">
        <v>40</v>
      </c>
      <c r="D21" s="18"/>
      <c r="E21" s="24" t="s">
        <v>41</v>
      </c>
      <c r="F21" s="19" t="s">
        <v>42</v>
      </c>
    </row>
    <row r="23" customFormat="false" ht="15.75" hidden="false" customHeight="true" outlineLevel="0" collapsed="false">
      <c r="B23" s="4" t="s">
        <v>43</v>
      </c>
    </row>
    <row r="24" customFormat="false" ht="30" hidden="false" customHeight="true" outlineLevel="0" collapsed="false">
      <c r="B24" s="25" t="s">
        <v>44</v>
      </c>
      <c r="C24" s="26" t="s">
        <v>45</v>
      </c>
      <c r="D24" s="26"/>
      <c r="E24" s="26"/>
      <c r="F24" s="26"/>
      <c r="G24" s="26"/>
    </row>
    <row r="25" customFormat="false" ht="48" hidden="false" customHeight="true" outlineLevel="0" collapsed="false">
      <c r="B25" s="25" t="s">
        <v>46</v>
      </c>
      <c r="C25" s="26" t="s">
        <v>47</v>
      </c>
      <c r="D25" s="26"/>
      <c r="E25" s="26"/>
      <c r="F25" s="26"/>
      <c r="G25" s="26"/>
    </row>
    <row r="26" customFormat="false" ht="30" hidden="false" customHeight="true" outlineLevel="0" collapsed="false">
      <c r="B26" s="25" t="s">
        <v>48</v>
      </c>
      <c r="C26" s="26" t="s">
        <v>49</v>
      </c>
      <c r="D26" s="26"/>
      <c r="E26" s="26"/>
      <c r="F26" s="26"/>
      <c r="G26" s="26"/>
    </row>
    <row r="27" customFormat="false" ht="30" hidden="false" customHeight="true" outlineLevel="0" collapsed="false">
      <c r="B27" s="25" t="s">
        <v>50</v>
      </c>
      <c r="C27" s="26" t="s">
        <v>51</v>
      </c>
      <c r="D27" s="26"/>
      <c r="E27" s="26"/>
      <c r="F27" s="26"/>
      <c r="G27" s="26"/>
    </row>
    <row r="28" customFormat="false" ht="30" hidden="false" customHeight="true" outlineLevel="0" collapsed="false">
      <c r="B28" s="25" t="s">
        <v>52</v>
      </c>
      <c r="C28" s="26" t="s">
        <v>53</v>
      </c>
      <c r="D28" s="26"/>
      <c r="E28" s="26"/>
      <c r="F28" s="26"/>
      <c r="G28" s="26"/>
    </row>
    <row r="29" customFormat="false" ht="30" hidden="false" customHeight="true" outlineLevel="0" collapsed="false">
      <c r="B29" s="25" t="s">
        <v>54</v>
      </c>
      <c r="C29" s="26" t="s">
        <v>55</v>
      </c>
      <c r="D29" s="26"/>
      <c r="E29" s="26"/>
      <c r="F29" s="26"/>
      <c r="G29" s="26"/>
    </row>
    <row r="31" customFormat="false" ht="15" hidden="false" customHeight="true" outlineLevel="0" collapsed="false">
      <c r="B31" s="27" t="s">
        <v>56</v>
      </c>
    </row>
  </sheetData>
  <mergeCells count="27">
    <mergeCell ref="A1:H4"/>
    <mergeCell ref="A5:H5"/>
    <mergeCell ref="B8:C8"/>
    <mergeCell ref="D8:E8"/>
    <mergeCell ref="F8:G8"/>
    <mergeCell ref="B9:C9"/>
    <mergeCell ref="D9:E9"/>
    <mergeCell ref="F9:G9"/>
    <mergeCell ref="B11:C11"/>
    <mergeCell ref="D11:E11"/>
    <mergeCell ref="F11:G11"/>
    <mergeCell ref="B12:C12"/>
    <mergeCell ref="D12:E12"/>
    <mergeCell ref="F12:G12"/>
    <mergeCell ref="C15:D15"/>
    <mergeCell ref="C16:D16"/>
    <mergeCell ref="C17:D17"/>
    <mergeCell ref="C18:D18"/>
    <mergeCell ref="C19:D19"/>
    <mergeCell ref="C20:D20"/>
    <mergeCell ref="C21:D21"/>
    <mergeCell ref="C24:G24"/>
    <mergeCell ref="C25:G25"/>
    <mergeCell ref="C26:G26"/>
    <mergeCell ref="C27:G27"/>
    <mergeCell ref="C28:G28"/>
    <mergeCell ref="C29:G29"/>
  </mergeCells>
  <hyperlinks>
    <hyperlink ref="B15" r:id="rId1" location="'📅%20Calendrier'!A1" display="▸ 📅 Calendrier"/>
    <hyperlink ref="E15" r:id="rId2" location="'🗓%20Frise%20de%20l'année'!A1" display="▸ 🗓 Frise de l'année"/>
    <hyperlink ref="B16" r:id="rId3" location="'📚%20Référentiel%20Cycle%204'!A1" display="▸ 📚 Référentiel Cycle 4"/>
    <hyperlink ref="E16" r:id="rId4" location="'📗%20Référentiel%203e'!A1" display="▸ 📗 Référentiel 3e"/>
    <hyperlink ref="B17" r:id="rId5" location="'🧭%20Progression'!A1" display="▸ 🧭 Progression"/>
    <hyperlink ref="E17" r:id="rId6" location="'S1'!A1" display="▸ S1"/>
    <hyperlink ref="B18" r:id="rId7" location="'S2'!A1" display="▸ S2"/>
    <hyperlink ref="E18" r:id="rId8" location="'S3'!A1" display="▸ S3"/>
    <hyperlink ref="B19" r:id="rId9" location="'S4'!A1" display="▸ S4"/>
    <hyperlink ref="E19" r:id="rId10" location="'S5'!A1" display="▸ S5"/>
    <hyperlink ref="B20" r:id="rId11" location="'S6'!A1" display="▸ S6"/>
    <hyperlink ref="E20" r:id="rId12" location="'S7'!A1" display="▸ S7"/>
    <hyperlink ref="B21" r:id="rId13" location="'S8'!A1" display="▸ S8"/>
    <hyperlink ref="E21" r:id="rId14" location="'S9'!A1" display="▸ S9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7A6E"/>
    <pageSetUpPr fitToPage="false"/>
  </sheetPr>
  <dimension ref="A1:H5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6"/>
    <col collapsed="false" customWidth="true" hidden="false" outlineLevel="0" max="2" min="2" style="1" width="13"/>
    <col collapsed="false" customWidth="true" hidden="false" outlineLevel="0" max="3" min="3" style="1" width="9"/>
    <col collapsed="false" customWidth="true" hidden="false" outlineLevel="0" max="4" min="4" style="1" width="28"/>
    <col collapsed="false" customWidth="true" hidden="false" outlineLevel="0" max="5" min="5" style="1" width="34"/>
    <col collapsed="false" customWidth="true" hidden="false" outlineLevel="0" max="6" min="6" style="1" width="26"/>
    <col collapsed="false" customWidth="true" hidden="false" outlineLevel="0" max="7" min="7" style="1" width="24"/>
    <col collapsed="false" customWidth="true" hidden="false" outlineLevel="0" max="8" min="8" style="1" width="7"/>
    <col collapsed="false" customWidth="true" hidden="false" outlineLevel="0" max="10" min="9" style="1" width="22"/>
    <col collapsed="false" customWidth="true" hidden="false" outlineLevel="0" max="11" min="11" style="1" width="24"/>
    <col collapsed="false" customWidth="true" hidden="false" outlineLevel="0" max="12" min="12" style="1" width="26"/>
  </cols>
  <sheetData>
    <row r="1" customFormat="false" ht="19.5" hidden="false" customHeight="true" outlineLevel="0" collapsed="false">
      <c r="A1" s="28" t="s">
        <v>57</v>
      </c>
    </row>
    <row r="2" customFormat="false" ht="27.75" hidden="false" customHeight="true" outlineLevel="0" collapsed="false">
      <c r="D2" s="29" t="str">
        <f aca="false">IF(COUNTIF($G$4:$G$44,"&lt;&gt;")&gt;7,"🛑 "&amp;COUNTIF($G$4:$G$44,"&lt;&gt;")&amp;" imprévus : la réserve (7 = 4 tampons + 3 sem. DNB) est dépassée — arbitrage nécessaire !","✔ Réserve d'aléas : "&amp;(7-COUNTIF($G$4:$G$44,"&lt;&gt;"))&amp;" semaine(s) restante(s) sur 7 (4 tampons + 3 sem. DNB)")</f>
        <v>✔ Réserve d'aléas : 7 semaine(s) restante(s) sur 7 (4 tampons + 3 sem. DNB)</v>
      </c>
      <c r="E2" s="29"/>
      <c r="F2" s="30" t="s">
        <v>58</v>
      </c>
    </row>
    <row r="3" customFormat="false" ht="27.75" hidden="false" customHeight="true" outlineLevel="0" collapsed="false">
      <c r="A3" s="31" t="s">
        <v>59</v>
      </c>
      <c r="B3" s="31" t="s">
        <v>60</v>
      </c>
      <c r="C3" s="31" t="s">
        <v>61</v>
      </c>
      <c r="D3" s="31" t="s">
        <v>62</v>
      </c>
      <c r="E3" s="31" t="s">
        <v>63</v>
      </c>
      <c r="F3" s="31" t="s">
        <v>64</v>
      </c>
      <c r="G3" s="32" t="s">
        <v>65</v>
      </c>
      <c r="H3" s="33" t="s">
        <v>66</v>
      </c>
    </row>
    <row r="4" customFormat="false" ht="15" hidden="false" customHeight="true" outlineLevel="0" collapsed="false">
      <c r="A4" s="34" t="s">
        <v>67</v>
      </c>
      <c r="B4" s="35" t="s">
        <v>68</v>
      </c>
      <c r="C4" s="34" t="s">
        <v>69</v>
      </c>
      <c r="D4" s="36" t="str">
        <f aca="false">IF($G4&lt;&gt;"",$G4&amp;" — les séances suivantes se décalent d'une semaine",INDEX('⚙ Moteur'!$B$5:$B$41,$H4))</f>
        <v>S1 · séance 1</v>
      </c>
      <c r="E4" s="37" t="s">
        <v>70</v>
      </c>
      <c r="F4" s="38"/>
      <c r="G4" s="39"/>
      <c r="H4" s="40" t="n">
        <f aca="false">IF($G4&lt;&gt;"",0,0+1)</f>
        <v>1</v>
      </c>
    </row>
    <row r="5" customFormat="false" ht="15" hidden="false" customHeight="true" outlineLevel="0" collapsed="false">
      <c r="A5" s="34" t="s">
        <v>71</v>
      </c>
      <c r="B5" s="35" t="s">
        <v>72</v>
      </c>
      <c r="C5" s="34" t="s">
        <v>69</v>
      </c>
      <c r="D5" s="36" t="str">
        <f aca="false">IF($G5&lt;&gt;"",$G5&amp;" — les séances suivantes se décalent d'une semaine",INDEX('⚙ Moteur'!$B$5:$B$41,$H5))</f>
        <v>S1 · séance 2</v>
      </c>
      <c r="E5" s="36"/>
      <c r="F5" s="38"/>
      <c r="G5" s="39"/>
      <c r="H5" s="40" t="n">
        <f aca="false">IF($G5&lt;&gt;"",H4,H4+1)</f>
        <v>2</v>
      </c>
    </row>
    <row r="6" customFormat="false" ht="15" hidden="false" customHeight="true" outlineLevel="0" collapsed="false">
      <c r="A6" s="34" t="s">
        <v>73</v>
      </c>
      <c r="B6" s="35" t="s">
        <v>74</v>
      </c>
      <c r="C6" s="34" t="s">
        <v>69</v>
      </c>
      <c r="D6" s="36" t="str">
        <f aca="false">IF($G6&lt;&gt;"",$G6&amp;" — les séances suivantes se décalent d'une semaine",INDEX('⚙ Moteur'!$B$5:$B$41,$H6))</f>
        <v>S1 · séance 3</v>
      </c>
      <c r="E6" s="36"/>
      <c r="F6" s="38"/>
      <c r="G6" s="39"/>
      <c r="H6" s="40" t="n">
        <f aca="false">IF($G6&lt;&gt;"",H5,H5+1)</f>
        <v>3</v>
      </c>
    </row>
    <row r="7" customFormat="false" ht="15" hidden="false" customHeight="true" outlineLevel="0" collapsed="false">
      <c r="A7" s="34" t="s">
        <v>75</v>
      </c>
      <c r="B7" s="35" t="s">
        <v>76</v>
      </c>
      <c r="C7" s="34" t="s">
        <v>69</v>
      </c>
      <c r="D7" s="36" t="str">
        <f aca="false">IF($G7&lt;&gt;"",$G7&amp;" — les séances suivantes se décalent d'une semaine",INDEX('⚙ Moteur'!$B$5:$B$41,$H7))</f>
        <v>S2 · séance 1</v>
      </c>
      <c r="E7" s="36"/>
      <c r="F7" s="38"/>
      <c r="G7" s="39"/>
      <c r="H7" s="40" t="n">
        <f aca="false">IF($G7&lt;&gt;"",H6,H6+1)</f>
        <v>4</v>
      </c>
    </row>
    <row r="8" customFormat="false" ht="15" hidden="false" customHeight="true" outlineLevel="0" collapsed="false">
      <c r="A8" s="34" t="s">
        <v>77</v>
      </c>
      <c r="B8" s="35" t="s">
        <v>78</v>
      </c>
      <c r="C8" s="34" t="s">
        <v>69</v>
      </c>
      <c r="D8" s="36" t="str">
        <f aca="false">IF($G8&lt;&gt;"",$G8&amp;" — les séances suivantes se décalent d'une semaine",INDEX('⚙ Moteur'!$B$5:$B$41,$H8))</f>
        <v>S2 · séance 2</v>
      </c>
      <c r="E8" s="36"/>
      <c r="F8" s="38"/>
      <c r="G8" s="39"/>
      <c r="H8" s="40" t="n">
        <f aca="false">IF($G8&lt;&gt;"",H7,H7+1)</f>
        <v>5</v>
      </c>
    </row>
    <row r="9" customFormat="false" ht="15" hidden="false" customHeight="true" outlineLevel="0" collapsed="false">
      <c r="A9" s="34" t="s">
        <v>79</v>
      </c>
      <c r="B9" s="35" t="s">
        <v>80</v>
      </c>
      <c r="C9" s="34" t="s">
        <v>69</v>
      </c>
      <c r="D9" s="36" t="str">
        <f aca="false">IF($G9&lt;&gt;"",$G9&amp;" — les séances suivantes se décalent d'une semaine",INDEX('⚙ Moteur'!$B$5:$B$41,$H9))</f>
        <v>S3 · séance 1</v>
      </c>
      <c r="E9" s="36"/>
      <c r="F9" s="38"/>
      <c r="G9" s="39"/>
      <c r="H9" s="40" t="n">
        <f aca="false">IF($G9&lt;&gt;"",H8,H8+1)</f>
        <v>6</v>
      </c>
    </row>
    <row r="10" customFormat="false" ht="15" hidden="false" customHeight="true" outlineLevel="0" collapsed="false">
      <c r="A10" s="34" t="s">
        <v>81</v>
      </c>
      <c r="B10" s="35" t="s">
        <v>82</v>
      </c>
      <c r="C10" s="34" t="s">
        <v>69</v>
      </c>
      <c r="D10" s="36" t="str">
        <f aca="false">IF($G10&lt;&gt;"",$G10&amp;" — les séances suivantes se décalent d'une semaine",INDEX('⚙ Moteur'!$B$5:$B$41,$H10))</f>
        <v>S3 · séance 2</v>
      </c>
      <c r="E10" s="36"/>
      <c r="F10" s="38"/>
      <c r="G10" s="39"/>
      <c r="H10" s="40" t="n">
        <f aca="false">IF($G10&lt;&gt;"",H9,H9+1)</f>
        <v>7</v>
      </c>
    </row>
    <row r="11" customFormat="false" ht="23.25" hidden="false" customHeight="true" outlineLevel="0" collapsed="false">
      <c r="A11" s="34" t="s">
        <v>83</v>
      </c>
      <c r="B11" s="35" t="s">
        <v>84</v>
      </c>
      <c r="C11" s="34" t="s">
        <v>69</v>
      </c>
      <c r="D11" s="36" t="str">
        <f aca="false">IF($G11&lt;&gt;"",$G11&amp;" — les séances suivantes se décalent d'une semaine",INDEX('⚙ Moteur'!$B$5:$B$41,$H11))</f>
        <v>⏳ TAMPON P1 — rattrapage / remédiation</v>
      </c>
      <c r="E11" s="36"/>
      <c r="F11" s="38"/>
      <c r="G11" s="39"/>
      <c r="H11" s="40" t="n">
        <f aca="false">IF($G11&lt;&gt;"",H10,H10+1)</f>
        <v>8</v>
      </c>
    </row>
    <row r="12" customFormat="false" ht="15" hidden="false" customHeight="true" outlineLevel="0" collapsed="false">
      <c r="A12" s="41" t="s">
        <v>85</v>
      </c>
      <c r="B12" s="41"/>
      <c r="C12" s="41"/>
      <c r="D12" s="41"/>
      <c r="E12" s="41"/>
      <c r="F12" s="41"/>
      <c r="G12" s="41"/>
      <c r="H12" s="41"/>
    </row>
    <row r="13" customFormat="false" ht="15" hidden="false" customHeight="true" outlineLevel="0" collapsed="false">
      <c r="A13" s="42" t="s">
        <v>86</v>
      </c>
      <c r="B13" s="43" t="s">
        <v>87</v>
      </c>
      <c r="C13" s="42" t="s">
        <v>88</v>
      </c>
      <c r="D13" s="36" t="str">
        <f aca="false">IF($G13&lt;&gt;"",$G13&amp;" — les séances suivantes se décalent d'une semaine",INDEX('⚙ Moteur'!$B$5:$B$41,$H13))</f>
        <v>S3 · séance 3</v>
      </c>
      <c r="E13" s="36"/>
      <c r="F13" s="38"/>
      <c r="G13" s="39"/>
      <c r="H13" s="40" t="n">
        <f aca="false">IF($G13&lt;&gt;"",H11,H11+1)</f>
        <v>9</v>
      </c>
    </row>
    <row r="14" customFormat="false" ht="15" hidden="false" customHeight="true" outlineLevel="0" collapsed="false">
      <c r="A14" s="42" t="s">
        <v>89</v>
      </c>
      <c r="B14" s="43" t="s">
        <v>90</v>
      </c>
      <c r="C14" s="42" t="s">
        <v>88</v>
      </c>
      <c r="D14" s="36" t="str">
        <f aca="false">IF($G14&lt;&gt;"",$G14&amp;" — les séances suivantes se décalent d'une semaine",INDEX('⚙ Moteur'!$B$5:$B$41,$H14))</f>
        <v>S4 · séance 1</v>
      </c>
      <c r="E14" s="37" t="s">
        <v>91</v>
      </c>
      <c r="F14" s="38"/>
      <c r="G14" s="39"/>
      <c r="H14" s="40" t="n">
        <f aca="false">IF($G14&lt;&gt;"",H13,H13+1)</f>
        <v>10</v>
      </c>
    </row>
    <row r="15" customFormat="false" ht="15" hidden="false" customHeight="true" outlineLevel="0" collapsed="false">
      <c r="A15" s="42" t="s">
        <v>92</v>
      </c>
      <c r="B15" s="43" t="s">
        <v>93</v>
      </c>
      <c r="C15" s="42" t="s">
        <v>88</v>
      </c>
      <c r="D15" s="36" t="str">
        <f aca="false">IF($G15&lt;&gt;"",$G15&amp;" — les séances suivantes se décalent d'une semaine",INDEX('⚙ Moteur'!$B$5:$B$41,$H15))</f>
        <v>S4 · séance 2</v>
      </c>
      <c r="E15" s="36"/>
      <c r="F15" s="38"/>
      <c r="G15" s="39"/>
      <c r="H15" s="40" t="n">
        <f aca="false">IF($G15&lt;&gt;"",H14,H14+1)</f>
        <v>11</v>
      </c>
    </row>
    <row r="16" customFormat="false" ht="15" hidden="false" customHeight="true" outlineLevel="0" collapsed="false">
      <c r="A16" s="42" t="s">
        <v>94</v>
      </c>
      <c r="B16" s="43" t="s">
        <v>95</v>
      </c>
      <c r="C16" s="42" t="s">
        <v>88</v>
      </c>
      <c r="D16" s="36" t="str">
        <f aca="false">IF($G16&lt;&gt;"",$G16&amp;" — les séances suivantes se décalent d'une semaine",INDEX('⚙ Moteur'!$B$5:$B$41,$H16))</f>
        <v>S4 · séance 3</v>
      </c>
      <c r="E16" s="36"/>
      <c r="F16" s="38"/>
      <c r="G16" s="39"/>
      <c r="H16" s="40" t="n">
        <f aca="false">IF($G16&lt;&gt;"",H15,H15+1)</f>
        <v>12</v>
      </c>
    </row>
    <row r="17" customFormat="false" ht="15" hidden="false" customHeight="true" outlineLevel="0" collapsed="false">
      <c r="A17" s="42" t="s">
        <v>96</v>
      </c>
      <c r="B17" s="43" t="s">
        <v>97</v>
      </c>
      <c r="C17" s="42" t="s">
        <v>88</v>
      </c>
      <c r="D17" s="36" t="str">
        <f aca="false">IF($G17&lt;&gt;"",$G17&amp;" — les séances suivantes se décalent d'une semaine",INDEX('⚙ Moteur'!$B$5:$B$41,$H17))</f>
        <v>S4 · séance 4</v>
      </c>
      <c r="E17" s="36"/>
      <c r="F17" s="38"/>
      <c r="G17" s="39"/>
      <c r="H17" s="40" t="n">
        <f aca="false">IF($G17&lt;&gt;"",H16,H16+1)</f>
        <v>13</v>
      </c>
    </row>
    <row r="18" customFormat="false" ht="15" hidden="false" customHeight="true" outlineLevel="0" collapsed="false">
      <c r="A18" s="42" t="s">
        <v>98</v>
      </c>
      <c r="B18" s="43" t="s">
        <v>99</v>
      </c>
      <c r="C18" s="42" t="s">
        <v>88</v>
      </c>
      <c r="D18" s="36" t="str">
        <f aca="false">IF($G18&lt;&gt;"",$G18&amp;" — les séances suivantes se décalent d'une semaine",INDEX('⚙ Moteur'!$B$5:$B$41,$H18))</f>
        <v>S4 · séance 5</v>
      </c>
      <c r="E18" s="36"/>
      <c r="F18" s="38"/>
      <c r="G18" s="39"/>
      <c r="H18" s="40" t="n">
        <f aca="false">IF($G18&lt;&gt;"",H17,H17+1)</f>
        <v>14</v>
      </c>
    </row>
    <row r="19" customFormat="false" ht="23.25" hidden="false" customHeight="true" outlineLevel="0" collapsed="false">
      <c r="A19" s="42" t="s">
        <v>100</v>
      </c>
      <c r="B19" s="43" t="s">
        <v>101</v>
      </c>
      <c r="C19" s="42" t="s">
        <v>88</v>
      </c>
      <c r="D19" s="36" t="str">
        <f aca="false">IF($G19&lt;&gt;"",$G19&amp;" — les séances suivantes se décalent d'une semaine",INDEX('⚙ Moteur'!$B$5:$B$41,$H19))</f>
        <v>⏳ TAMPON P2 — rattrapage / remédiation</v>
      </c>
      <c r="E19" s="36"/>
      <c r="F19" s="38"/>
      <c r="G19" s="39"/>
      <c r="H19" s="40" t="n">
        <f aca="false">IF($G19&lt;&gt;"",H18,H18+1)</f>
        <v>15</v>
      </c>
    </row>
    <row r="20" customFormat="false" ht="15" hidden="false" customHeight="true" outlineLevel="0" collapsed="false">
      <c r="A20" s="41" t="s">
        <v>102</v>
      </c>
      <c r="B20" s="41"/>
      <c r="C20" s="41"/>
      <c r="D20" s="41"/>
      <c r="E20" s="41"/>
      <c r="F20" s="41"/>
      <c r="G20" s="41"/>
      <c r="H20" s="41"/>
    </row>
    <row r="21" customFormat="false" ht="15" hidden="false" customHeight="true" outlineLevel="0" collapsed="false">
      <c r="A21" s="44" t="s">
        <v>103</v>
      </c>
      <c r="B21" s="45" t="s">
        <v>104</v>
      </c>
      <c r="C21" s="44" t="s">
        <v>105</v>
      </c>
      <c r="D21" s="36" t="str">
        <f aca="false">IF($G21&lt;&gt;"",$G21&amp;" — les séances suivantes se décalent d'une semaine",INDEX('⚙ Moteur'!$B$5:$B$41,$H21))</f>
        <v>S5 · séance 1</v>
      </c>
      <c r="E21" s="36"/>
      <c r="F21" s="38"/>
      <c r="G21" s="39"/>
      <c r="H21" s="40" t="n">
        <f aca="false">IF($G21&lt;&gt;"",H19,H19+1)</f>
        <v>16</v>
      </c>
    </row>
    <row r="22" customFormat="false" ht="15" hidden="false" customHeight="true" outlineLevel="0" collapsed="false">
      <c r="A22" s="44" t="s">
        <v>106</v>
      </c>
      <c r="B22" s="45" t="s">
        <v>107</v>
      </c>
      <c r="C22" s="44" t="s">
        <v>105</v>
      </c>
      <c r="D22" s="36" t="str">
        <f aca="false">IF($G22&lt;&gt;"",$G22&amp;" — les séances suivantes se décalent d'une semaine",INDEX('⚙ Moteur'!$B$5:$B$41,$H22))</f>
        <v>S5 · séance 2</v>
      </c>
      <c r="E22" s="36"/>
      <c r="F22" s="38"/>
      <c r="G22" s="39"/>
      <c r="H22" s="40" t="n">
        <f aca="false">IF($G22&lt;&gt;"",H21,H21+1)</f>
        <v>17</v>
      </c>
    </row>
    <row r="23" customFormat="false" ht="15" hidden="false" customHeight="true" outlineLevel="0" collapsed="false">
      <c r="A23" s="44" t="s">
        <v>108</v>
      </c>
      <c r="B23" s="45" t="s">
        <v>109</v>
      </c>
      <c r="C23" s="44" t="s">
        <v>105</v>
      </c>
      <c r="D23" s="36" t="str">
        <f aca="false">IF($G23&lt;&gt;"",$G23&amp;" — les séances suivantes se décalent d'une semaine",INDEX('⚙ Moteur'!$B$5:$B$41,$H23))</f>
        <v>S5 · séance 3</v>
      </c>
      <c r="E23" s="36"/>
      <c r="F23" s="38"/>
      <c r="G23" s="39"/>
      <c r="H23" s="40" t="n">
        <f aca="false">IF($G23&lt;&gt;"",H22,H22+1)</f>
        <v>18</v>
      </c>
    </row>
    <row r="24" customFormat="false" ht="15" hidden="false" customHeight="true" outlineLevel="0" collapsed="false">
      <c r="A24" s="44" t="s">
        <v>110</v>
      </c>
      <c r="B24" s="45" t="s">
        <v>111</v>
      </c>
      <c r="C24" s="44" t="s">
        <v>105</v>
      </c>
      <c r="D24" s="36" t="str">
        <f aca="false">IF($G24&lt;&gt;"",$G24&amp;" — les séances suivantes se décalent d'une semaine",INDEX('⚙ Moteur'!$B$5:$B$41,$H24))</f>
        <v>S6 · séance 1</v>
      </c>
      <c r="E24" s="36"/>
      <c r="F24" s="38"/>
      <c r="G24" s="39"/>
      <c r="H24" s="40" t="n">
        <f aca="false">IF($G24&lt;&gt;"",H23,H23+1)</f>
        <v>19</v>
      </c>
    </row>
    <row r="25" customFormat="false" ht="23.25" hidden="false" customHeight="true" outlineLevel="0" collapsed="false">
      <c r="A25" s="44" t="s">
        <v>112</v>
      </c>
      <c r="B25" s="45" t="s">
        <v>113</v>
      </c>
      <c r="C25" s="44" t="s">
        <v>105</v>
      </c>
      <c r="D25" s="36" t="str">
        <f aca="false">IF($G25&lt;&gt;"",$G25&amp;" — les séances suivantes se décalent d'une semaine",INDEX('⚙ Moteur'!$B$5:$B$41,$H25))</f>
        <v>⏳ TAMPON P3 — rattrapage / remédiation</v>
      </c>
      <c r="E25" s="36"/>
      <c r="F25" s="38"/>
      <c r="G25" s="39"/>
      <c r="H25" s="40" t="n">
        <f aca="false">IF($G25&lt;&gt;"",H24,H24+1)</f>
        <v>20</v>
      </c>
    </row>
    <row r="26" customFormat="false" ht="15" hidden="false" customHeight="true" outlineLevel="0" collapsed="false">
      <c r="A26" s="41" t="s">
        <v>114</v>
      </c>
      <c r="B26" s="41"/>
      <c r="C26" s="41"/>
      <c r="D26" s="41"/>
      <c r="E26" s="41"/>
      <c r="F26" s="41"/>
      <c r="G26" s="41"/>
      <c r="H26" s="41"/>
    </row>
    <row r="27" customFormat="false" ht="15" hidden="false" customHeight="true" outlineLevel="0" collapsed="false">
      <c r="A27" s="46" t="s">
        <v>115</v>
      </c>
      <c r="B27" s="47" t="s">
        <v>116</v>
      </c>
      <c r="C27" s="46" t="s">
        <v>117</v>
      </c>
      <c r="D27" s="36" t="str">
        <f aca="false">IF($G27&lt;&gt;"",$G27&amp;" — les séances suivantes se décalent d'une semaine",INDEX('⚙ Moteur'!$B$5:$B$41,$H27))</f>
        <v>S6 · séance 2</v>
      </c>
      <c r="E27" s="36"/>
      <c r="F27" s="38"/>
      <c r="G27" s="39"/>
      <c r="H27" s="40" t="n">
        <f aca="false">IF($G27&lt;&gt;"",H25,H25+1)</f>
        <v>21</v>
      </c>
    </row>
    <row r="28" customFormat="false" ht="15" hidden="false" customHeight="true" outlineLevel="0" collapsed="false">
      <c r="A28" s="46" t="s">
        <v>118</v>
      </c>
      <c r="B28" s="47" t="s">
        <v>119</v>
      </c>
      <c r="C28" s="46" t="s">
        <v>117</v>
      </c>
      <c r="D28" s="36" t="str">
        <f aca="false">IF($G28&lt;&gt;"",$G28&amp;" — les séances suivantes se décalent d'une semaine",INDEX('⚙ Moteur'!$B$5:$B$41,$H28))</f>
        <v>S6 · séance 3</v>
      </c>
      <c r="E28" s="36"/>
      <c r="F28" s="38"/>
      <c r="G28" s="39"/>
      <c r="H28" s="40" t="n">
        <f aca="false">IF($G28&lt;&gt;"",H27,H27+1)</f>
        <v>22</v>
      </c>
    </row>
    <row r="29" customFormat="false" ht="15" hidden="false" customHeight="true" outlineLevel="0" collapsed="false">
      <c r="A29" s="46" t="s">
        <v>120</v>
      </c>
      <c r="B29" s="47" t="s">
        <v>121</v>
      </c>
      <c r="C29" s="46" t="s">
        <v>117</v>
      </c>
      <c r="D29" s="36" t="str">
        <f aca="false">IF($G29&lt;&gt;"",$G29&amp;" — les séances suivantes se décalent d'une semaine",INDEX('⚙ Moteur'!$B$5:$B$41,$H29))</f>
        <v>S6 · séance 4</v>
      </c>
      <c r="E29" s="36"/>
      <c r="F29" s="38"/>
      <c r="G29" s="39"/>
      <c r="H29" s="40" t="n">
        <f aca="false">IF($G29&lt;&gt;"",H28,H28+1)</f>
        <v>23</v>
      </c>
    </row>
    <row r="30" customFormat="false" ht="15" hidden="false" customHeight="true" outlineLevel="0" collapsed="false">
      <c r="A30" s="46" t="s">
        <v>122</v>
      </c>
      <c r="B30" s="47" t="s">
        <v>123</v>
      </c>
      <c r="C30" s="46" t="s">
        <v>117</v>
      </c>
      <c r="D30" s="36" t="str">
        <f aca="false">IF($G30&lt;&gt;"",$G30&amp;" — les séances suivantes se décalent d'une semaine",INDEX('⚙ Moteur'!$B$5:$B$41,$H30))</f>
        <v>S7 · séance 1</v>
      </c>
      <c r="E30" s="36"/>
      <c r="F30" s="38"/>
      <c r="G30" s="39"/>
      <c r="H30" s="40" t="n">
        <f aca="false">IF($G30&lt;&gt;"",H29,H29+1)</f>
        <v>24</v>
      </c>
    </row>
    <row r="31" customFormat="false" ht="15" hidden="false" customHeight="true" outlineLevel="0" collapsed="false">
      <c r="A31" s="46" t="s">
        <v>124</v>
      </c>
      <c r="B31" s="47" t="s">
        <v>125</v>
      </c>
      <c r="C31" s="46" t="s">
        <v>117</v>
      </c>
      <c r="D31" s="36" t="str">
        <f aca="false">IF($G31&lt;&gt;"",$G31&amp;" — les séances suivantes se décalent d'une semaine",INDEX('⚙ Moteur'!$B$5:$B$41,$H31))</f>
        <v>S7 · séance 2</v>
      </c>
      <c r="E31" s="37" t="s">
        <v>126</v>
      </c>
      <c r="F31" s="38"/>
      <c r="G31" s="39"/>
      <c r="H31" s="40" t="n">
        <f aca="false">IF($G31&lt;&gt;"",H30,H30+1)</f>
        <v>25</v>
      </c>
    </row>
    <row r="32" customFormat="false" ht="15" hidden="false" customHeight="true" outlineLevel="0" collapsed="false">
      <c r="A32" s="46" t="s">
        <v>127</v>
      </c>
      <c r="B32" s="47" t="s">
        <v>128</v>
      </c>
      <c r="C32" s="46" t="s">
        <v>117</v>
      </c>
      <c r="D32" s="36" t="str">
        <f aca="false">IF($G32&lt;&gt;"",$G32&amp;" — les séances suivantes se décalent d'une semaine",INDEX('⚙ Moteur'!$B$5:$B$41,$H32))</f>
        <v>S7 · séance 3</v>
      </c>
      <c r="E32" s="37" t="s">
        <v>129</v>
      </c>
      <c r="F32" s="38"/>
      <c r="G32" s="39"/>
      <c r="H32" s="40" t="n">
        <f aca="false">IF($G32&lt;&gt;"",H31,H31+1)</f>
        <v>26</v>
      </c>
    </row>
    <row r="33" customFormat="false" ht="15" hidden="false" customHeight="true" outlineLevel="0" collapsed="false">
      <c r="A33" s="46" t="s">
        <v>130</v>
      </c>
      <c r="B33" s="47" t="s">
        <v>131</v>
      </c>
      <c r="C33" s="46" t="s">
        <v>117</v>
      </c>
      <c r="D33" s="36" t="str">
        <f aca="false">IF($G33&lt;&gt;"",$G33&amp;" — les séances suivantes se décalent d'une semaine",INDEX('⚙ Moteur'!$B$5:$B$41,$H33))</f>
        <v>S8 · séance 1</v>
      </c>
      <c r="E33" s="36"/>
      <c r="F33" s="38"/>
      <c r="G33" s="39"/>
      <c r="H33" s="40" t="n">
        <f aca="false">IF($G33&lt;&gt;"",H32,H32+1)</f>
        <v>27</v>
      </c>
    </row>
    <row r="34" customFormat="false" ht="23.25" hidden="false" customHeight="true" outlineLevel="0" collapsed="false">
      <c r="A34" s="46" t="s">
        <v>132</v>
      </c>
      <c r="B34" s="47" t="s">
        <v>133</v>
      </c>
      <c r="C34" s="46" t="s">
        <v>117</v>
      </c>
      <c r="D34" s="36" t="str">
        <f aca="false">IF($G34&lt;&gt;"",$G34&amp;" — les séances suivantes se décalent d'une semaine",INDEX('⚙ Moteur'!$B$5:$B$41,$H34))</f>
        <v>⏳ TAMPON P4 — rattrapage / remédiation</v>
      </c>
      <c r="E34" s="36"/>
      <c r="F34" s="38"/>
      <c r="G34" s="39"/>
      <c r="H34" s="40" t="n">
        <f aca="false">IF($G34&lt;&gt;"",H33,H33+1)</f>
        <v>28</v>
      </c>
    </row>
    <row r="35" customFormat="false" ht="15" hidden="false" customHeight="true" outlineLevel="0" collapsed="false">
      <c r="A35" s="41" t="s">
        <v>134</v>
      </c>
      <c r="B35" s="41"/>
      <c r="C35" s="41"/>
      <c r="D35" s="41"/>
      <c r="E35" s="41"/>
      <c r="F35" s="41"/>
      <c r="G35" s="41"/>
      <c r="H35" s="41"/>
    </row>
    <row r="36" customFormat="false" ht="23.25" hidden="false" customHeight="true" outlineLevel="0" collapsed="false">
      <c r="A36" s="48" t="s">
        <v>135</v>
      </c>
      <c r="B36" s="49" t="s">
        <v>136</v>
      </c>
      <c r="C36" s="48" t="s">
        <v>137</v>
      </c>
      <c r="D36" s="36" t="str">
        <f aca="false">IF($G36&lt;&gt;"",$G36&amp;" — les séances suivantes se décalent d'une semaine",INDEX('⚙ Moteur'!$B$5:$B$41,$H36))</f>
        <v>S8 · séance 2</v>
      </c>
      <c r="E36" s="37" t="s">
        <v>138</v>
      </c>
      <c r="F36" s="38"/>
      <c r="G36" s="39"/>
      <c r="H36" s="40" t="n">
        <f aca="false">IF($G36&lt;&gt;"",H34,H34+1)</f>
        <v>29</v>
      </c>
    </row>
    <row r="37" customFormat="false" ht="15" hidden="false" customHeight="true" outlineLevel="0" collapsed="false">
      <c r="A37" s="48" t="s">
        <v>139</v>
      </c>
      <c r="B37" s="49" t="s">
        <v>140</v>
      </c>
      <c r="C37" s="48" t="s">
        <v>137</v>
      </c>
      <c r="D37" s="36" t="str">
        <f aca="false">IF($G37&lt;&gt;"",$G37&amp;" — les séances suivantes se décalent d'une semaine",INDEX('⚙ Moteur'!$B$5:$B$41,$H37))</f>
        <v>S8 · séance 3</v>
      </c>
      <c r="E37" s="36"/>
      <c r="F37" s="38"/>
      <c r="G37" s="39"/>
      <c r="H37" s="40" t="n">
        <f aca="false">IF($G37&lt;&gt;"",H36,H36+1)</f>
        <v>30</v>
      </c>
    </row>
    <row r="38" customFormat="false" ht="15" hidden="false" customHeight="true" outlineLevel="0" collapsed="false">
      <c r="A38" s="48" t="s">
        <v>141</v>
      </c>
      <c r="B38" s="49" t="s">
        <v>142</v>
      </c>
      <c r="C38" s="48" t="s">
        <v>137</v>
      </c>
      <c r="D38" s="36" t="str">
        <f aca="false">IF($G38&lt;&gt;"",$G38&amp;" — les séances suivantes se décalent d'une semaine",INDEX('⚙ Moteur'!$B$5:$B$41,$H38))</f>
        <v>S8 · séance 4</v>
      </c>
      <c r="E38" s="37" t="s">
        <v>143</v>
      </c>
      <c r="F38" s="38"/>
      <c r="G38" s="39"/>
      <c r="H38" s="40" t="n">
        <f aca="false">IF($G38&lt;&gt;"",H37,H37+1)</f>
        <v>31</v>
      </c>
    </row>
    <row r="39" customFormat="false" ht="15" hidden="false" customHeight="true" outlineLevel="0" collapsed="false">
      <c r="A39" s="48" t="s">
        <v>144</v>
      </c>
      <c r="B39" s="49" t="s">
        <v>145</v>
      </c>
      <c r="C39" s="48" t="s">
        <v>137</v>
      </c>
      <c r="D39" s="36" t="str">
        <f aca="false">IF($G39&lt;&gt;"",$G39&amp;" — les séances suivantes se décalent d'une semaine",INDEX('⚙ Moteur'!$B$5:$B$41,$H39))</f>
        <v>S9 · séance 1</v>
      </c>
      <c r="E39" s="36"/>
      <c r="F39" s="38"/>
      <c r="G39" s="39"/>
      <c r="H39" s="40" t="n">
        <f aca="false">IF($G39&lt;&gt;"",H38,H38+1)</f>
        <v>32</v>
      </c>
    </row>
    <row r="40" customFormat="false" ht="15" hidden="false" customHeight="true" outlineLevel="0" collapsed="false">
      <c r="A40" s="48" t="s">
        <v>146</v>
      </c>
      <c r="B40" s="49" t="s">
        <v>147</v>
      </c>
      <c r="C40" s="48" t="s">
        <v>137</v>
      </c>
      <c r="D40" s="36" t="str">
        <f aca="false">IF($G40&lt;&gt;"",$G40&amp;" — les séances suivantes se décalent d'une semaine",INDEX('⚙ Moteur'!$B$5:$B$41,$H40))</f>
        <v>S9 · séance 2</v>
      </c>
      <c r="E40" s="36"/>
      <c r="F40" s="38"/>
      <c r="G40" s="39"/>
      <c r="H40" s="40" t="n">
        <f aca="false">IF($G40&lt;&gt;"",H39,H39+1)</f>
        <v>33</v>
      </c>
    </row>
    <row r="41" customFormat="false" ht="15" hidden="false" customHeight="true" outlineLevel="0" collapsed="false">
      <c r="A41" s="48" t="s">
        <v>148</v>
      </c>
      <c r="B41" s="49" t="s">
        <v>149</v>
      </c>
      <c r="C41" s="48" t="s">
        <v>137</v>
      </c>
      <c r="D41" s="36" t="str">
        <f aca="false">IF($G41&lt;&gt;"",$G41&amp;" — les séances suivantes se décalent d'une semaine",INDEX('⚙ Moteur'!$B$5:$B$41,$H41))</f>
        <v>S9 · séance 3</v>
      </c>
      <c r="E41" s="36"/>
      <c r="F41" s="38"/>
      <c r="G41" s="39"/>
      <c r="H41" s="40" t="n">
        <f aca="false">IF($G41&lt;&gt;"",H40,H40+1)</f>
        <v>34</v>
      </c>
    </row>
    <row r="42" customFormat="false" ht="23.25" hidden="false" customHeight="true" outlineLevel="0" collapsed="false">
      <c r="A42" s="48" t="s">
        <v>150</v>
      </c>
      <c r="B42" s="49" t="s">
        <v>151</v>
      </c>
      <c r="C42" s="48" t="s">
        <v>137</v>
      </c>
      <c r="D42" s="36" t="str">
        <f aca="false">IF($G42&lt;&gt;"",$G42&amp;" — les séances suivantes se décalent d'une semaine",INDEX('⚙ Moteur'!$B$5:$B$41,$H42))</f>
        <v>⏳ 🎓 RÉVISIONS DNB — annales, oraux blancs (a)</v>
      </c>
      <c r="E42" s="36"/>
      <c r="F42" s="38"/>
      <c r="G42" s="39"/>
      <c r="H42" s="40" t="n">
        <f aca="false">IF($G42&lt;&gt;"",H41,H41+1)</f>
        <v>35</v>
      </c>
    </row>
    <row r="43" customFormat="false" ht="23.25" hidden="false" customHeight="true" outlineLevel="0" collapsed="false">
      <c r="A43" s="48" t="s">
        <v>152</v>
      </c>
      <c r="B43" s="49" t="s">
        <v>153</v>
      </c>
      <c r="C43" s="48" t="s">
        <v>137</v>
      </c>
      <c r="D43" s="36" t="str">
        <f aca="false">IF($G43&lt;&gt;"",$G43&amp;" — les séances suivantes se décalent d'une semaine",INDEX('⚙ Moteur'!$B$5:$B$41,$H43))</f>
        <v>⏳ 🎓 RÉVISIONS DNB — annales, oraux blancs (b)</v>
      </c>
      <c r="E43" s="37" t="s">
        <v>154</v>
      </c>
      <c r="F43" s="38"/>
      <c r="G43" s="39"/>
      <c r="H43" s="40" t="n">
        <f aca="false">IF($G43&lt;&gt;"",H42,H42+1)</f>
        <v>36</v>
      </c>
    </row>
    <row r="44" customFormat="false" ht="23.25" hidden="false" customHeight="true" outlineLevel="0" collapsed="false">
      <c r="A44" s="48" t="s">
        <v>155</v>
      </c>
      <c r="B44" s="49" t="s">
        <v>156</v>
      </c>
      <c r="C44" s="48" t="s">
        <v>137</v>
      </c>
      <c r="D44" s="36" t="str">
        <f aca="false">IF($G44&lt;&gt;"",$G44&amp;" — les séances suivantes se décalent d'une semaine",INDEX('⚙ Moteur'!$B$5:$B$41,$H44))</f>
        <v>⏳ 🎓 RÉVISIONS DNB + rattrapages (c)</v>
      </c>
      <c r="E44" s="36"/>
      <c r="F44" s="38"/>
      <c r="G44" s="39"/>
      <c r="H44" s="40" t="n">
        <f aca="false">IF($G44&lt;&gt;"",H43,H43+1)</f>
        <v>37</v>
      </c>
    </row>
    <row r="45" customFormat="false" ht="15" hidden="false" customHeight="true" outlineLevel="0" collapsed="false">
      <c r="A45" s="41" t="s">
        <v>157</v>
      </c>
      <c r="B45" s="41"/>
      <c r="C45" s="41"/>
      <c r="D45" s="41"/>
      <c r="E45" s="41"/>
      <c r="F45" s="41"/>
      <c r="G45" s="41"/>
      <c r="H45" s="41"/>
    </row>
    <row r="47" customFormat="false" ht="15" hidden="false" customHeight="true" outlineLevel="0" collapsed="false">
      <c r="A47" s="50" t="s">
        <v>158</v>
      </c>
    </row>
    <row r="48" customFormat="false" ht="15" hidden="false" customHeight="true" outlineLevel="0" collapsed="false">
      <c r="B48" s="51" t="s">
        <v>159</v>
      </c>
      <c r="C48" s="51" t="n">
        <v>37</v>
      </c>
    </row>
    <row r="49" customFormat="false" ht="15" hidden="false" customHeight="true" outlineLevel="0" collapsed="false">
      <c r="B49" s="51" t="s">
        <v>160</v>
      </c>
      <c r="C49" s="51" t="n">
        <f aca="false">COUNTIF(D4:D44,"⏳*")</f>
        <v>7</v>
      </c>
    </row>
    <row r="50" customFormat="false" ht="15" hidden="false" customHeight="true" outlineLevel="0" collapsed="false">
      <c r="B50" s="51" t="s">
        <v>161</v>
      </c>
      <c r="C50" s="51" t="n">
        <f aca="false">COUNTIF(D4:D44,"S*")</f>
        <v>30</v>
      </c>
    </row>
    <row r="51" customFormat="false" ht="15" hidden="false" customHeight="true" outlineLevel="0" collapsed="false">
      <c r="B51" s="52" t="s">
        <v>162</v>
      </c>
      <c r="C51" s="52"/>
      <c r="D51" s="52"/>
      <c r="E51" s="52"/>
      <c r="F51" s="52"/>
      <c r="G51" s="52"/>
      <c r="H51" s="52"/>
    </row>
  </sheetData>
  <mergeCells count="7">
    <mergeCell ref="D2:E2"/>
    <mergeCell ref="A12:H12"/>
    <mergeCell ref="A20:H20"/>
    <mergeCell ref="A26:H26"/>
    <mergeCell ref="A35:H35"/>
    <mergeCell ref="A45:H45"/>
    <mergeCell ref="B51:H51"/>
  </mergeCells>
  <conditionalFormatting sqref="D4:D44">
    <cfRule type="expression" priority="2" aboveAverage="0" equalAverage="0" bottom="0" percent="0" rank="0" text="" dxfId="0">
      <formula>LEFT(D4,1)="⏳"</formula>
    </cfRule>
    <cfRule type="expression" priority="3" aboveAverage="0" equalAverage="0" bottom="0" percent="0" rank="0" text="" dxfId="1">
      <formula>LEFT(D4,1)="⚠"</formula>
    </cfRule>
  </conditionalFormatting>
  <dataValidations count="1">
    <dataValidation allowBlank="true" errorStyle="stop" operator="between" showDropDown="false" showErrorMessage="false" showInputMessage="false" sqref="G4:G11 G13:G19 G21:G25 G27:G34 G36:G44" type="list">
      <formula1>"⚠ Absence professeur,⚠ Formation / réunion,⚠ Sortie scolaire,⚠ Voyage,⚠ Fête de la science,⚠ Manifestation (collègue),⚠ Classe absente,⚠ Jour férié / pont,⚠ Intempéries,⚠ Problème technique,⚠ Remplacement,⚠ Oral blanc / examen,⚠ Autre imprévu"</formula1>
      <formula2>0</formula2>
    </dataValidation>
  </dataValidations>
  <hyperlinks>
    <hyperlink ref="F2" r:id="rId1" location="'🏠%20Accueil'!A1" display="◀ Accueil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7A6E"/>
    <pageSetUpPr fitToPage="false"/>
  </sheetPr>
  <dimension ref="A1:AM1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5"/>
    <col collapsed="false" customWidth="true" hidden="false" outlineLevel="0" max="2" min="2" style="1" width="36"/>
    <col collapsed="false" customWidth="true" hidden="false" outlineLevel="0" max="39" min="3" style="1" width="4.2"/>
  </cols>
  <sheetData>
    <row r="1" customFormat="false" ht="18" hidden="false" customHeight="true" outlineLevel="0" collapsed="false">
      <c r="A1" s="53" t="s">
        <v>163</v>
      </c>
      <c r="B1" s="53"/>
      <c r="C1" s="53"/>
      <c r="D1" s="53"/>
      <c r="E1" s="53"/>
      <c r="F1" s="53"/>
      <c r="G1" s="53"/>
      <c r="H1" s="53"/>
      <c r="I1" s="53"/>
      <c r="J1" s="53"/>
      <c r="K1" s="53"/>
      <c r="L1" s="53"/>
      <c r="M1" s="53"/>
      <c r="N1" s="53"/>
      <c r="O1" s="53"/>
      <c r="P1" s="53"/>
      <c r="Q1" s="53"/>
      <c r="R1" s="53"/>
      <c r="S1" s="53"/>
      <c r="T1" s="53"/>
      <c r="U1" s="53"/>
      <c r="V1" s="53"/>
      <c r="W1" s="53"/>
      <c r="X1" s="53"/>
      <c r="Y1" s="53"/>
      <c r="Z1" s="53"/>
      <c r="AA1" s="53"/>
      <c r="AB1" s="53"/>
      <c r="AC1" s="53"/>
      <c r="AD1" s="53"/>
      <c r="AE1" s="53"/>
      <c r="AF1" s="53"/>
      <c r="AG1" s="53"/>
      <c r="AH1" s="53"/>
      <c r="AI1" s="53"/>
      <c r="AJ1" s="53"/>
      <c r="AK1" s="53"/>
      <c r="AL1" s="53"/>
      <c r="AM1" s="53"/>
    </row>
    <row r="2" customFormat="false" ht="30" hidden="false" customHeight="true" outlineLevel="0" collapsed="false">
      <c r="B2" s="54" t="str">
        <f aca="false">'📅 Calendrier'!D2</f>
        <v>✔ Réserve d'aléas : 7 semaine(s) restante(s) sur 7 (4 tampons + 3 sem. DNB)</v>
      </c>
      <c r="C2" s="54"/>
      <c r="D2" s="54"/>
      <c r="E2" s="54"/>
      <c r="F2" s="54"/>
      <c r="G2" s="54"/>
      <c r="H2" s="54"/>
      <c r="I2" s="54"/>
      <c r="J2" s="54"/>
      <c r="K2" s="54"/>
      <c r="L2" s="54"/>
      <c r="M2" s="54"/>
      <c r="N2" s="54"/>
      <c r="P2" s="41" t="s">
        <v>58</v>
      </c>
      <c r="Q2" s="41"/>
      <c r="R2" s="41"/>
      <c r="S2" s="41"/>
      <c r="T2" s="41"/>
    </row>
    <row r="3" customFormat="false" ht="15" hidden="false" customHeight="true" outlineLevel="0" collapsed="false">
      <c r="C3" s="55" t="s">
        <v>164</v>
      </c>
      <c r="D3" s="55"/>
      <c r="E3" s="55"/>
      <c r="F3" s="55"/>
      <c r="G3" s="55"/>
      <c r="H3" s="55"/>
      <c r="I3" s="55"/>
      <c r="J3" s="55"/>
      <c r="K3" s="56" t="s">
        <v>165</v>
      </c>
      <c r="L3" s="56"/>
      <c r="M3" s="56"/>
      <c r="N3" s="56"/>
      <c r="O3" s="56"/>
      <c r="P3" s="56"/>
      <c r="Q3" s="56"/>
      <c r="R3" s="57" t="s">
        <v>166</v>
      </c>
      <c r="S3" s="57"/>
      <c r="T3" s="57"/>
      <c r="U3" s="57"/>
      <c r="V3" s="57"/>
      <c r="W3" s="58" t="s">
        <v>167</v>
      </c>
      <c r="X3" s="58"/>
      <c r="Y3" s="58"/>
      <c r="Z3" s="58"/>
      <c r="AA3" s="58"/>
      <c r="AB3" s="58"/>
      <c r="AC3" s="58"/>
      <c r="AD3" s="58"/>
      <c r="AE3" s="59" t="s">
        <v>168</v>
      </c>
      <c r="AF3" s="59"/>
      <c r="AG3" s="59"/>
      <c r="AH3" s="59"/>
      <c r="AI3" s="59"/>
      <c r="AJ3" s="59"/>
      <c r="AK3" s="59"/>
      <c r="AL3" s="59"/>
      <c r="AM3" s="59"/>
    </row>
    <row r="4" customFormat="false" ht="15" hidden="false" customHeight="true" outlineLevel="0" collapsed="false">
      <c r="C4" s="60" t="s">
        <v>67</v>
      </c>
      <c r="D4" s="60" t="s">
        <v>71</v>
      </c>
      <c r="E4" s="60" t="s">
        <v>73</v>
      </c>
      <c r="F4" s="60" t="s">
        <v>75</v>
      </c>
      <c r="G4" s="60" t="s">
        <v>77</v>
      </c>
      <c r="H4" s="60" t="s">
        <v>79</v>
      </c>
      <c r="I4" s="60" t="s">
        <v>81</v>
      </c>
      <c r="J4" s="60" t="s">
        <v>83</v>
      </c>
      <c r="K4" s="61" t="s">
        <v>86</v>
      </c>
      <c r="L4" s="61" t="s">
        <v>89</v>
      </c>
      <c r="M4" s="61" t="s">
        <v>92</v>
      </c>
      <c r="N4" s="61" t="s">
        <v>94</v>
      </c>
      <c r="O4" s="61" t="s">
        <v>96</v>
      </c>
      <c r="P4" s="61" t="s">
        <v>98</v>
      </c>
      <c r="Q4" s="61" t="s">
        <v>100</v>
      </c>
      <c r="R4" s="62" t="s">
        <v>103</v>
      </c>
      <c r="S4" s="62" t="s">
        <v>106</v>
      </c>
      <c r="T4" s="62" t="s">
        <v>108</v>
      </c>
      <c r="U4" s="62" t="s">
        <v>110</v>
      </c>
      <c r="V4" s="62" t="s">
        <v>112</v>
      </c>
      <c r="W4" s="63" t="s">
        <v>115</v>
      </c>
      <c r="X4" s="63" t="s">
        <v>118</v>
      </c>
      <c r="Y4" s="63" t="s">
        <v>120</v>
      </c>
      <c r="Z4" s="63" t="s">
        <v>122</v>
      </c>
      <c r="AA4" s="63" t="s">
        <v>124</v>
      </c>
      <c r="AB4" s="63" t="s">
        <v>127</v>
      </c>
      <c r="AC4" s="63" t="s">
        <v>130</v>
      </c>
      <c r="AD4" s="63" t="s">
        <v>132</v>
      </c>
      <c r="AE4" s="64" t="s">
        <v>135</v>
      </c>
      <c r="AF4" s="64" t="s">
        <v>139</v>
      </c>
      <c r="AG4" s="64" t="s">
        <v>141</v>
      </c>
      <c r="AH4" s="64" t="s">
        <v>144</v>
      </c>
      <c r="AI4" s="64" t="s">
        <v>146</v>
      </c>
      <c r="AJ4" s="64" t="s">
        <v>148</v>
      </c>
      <c r="AK4" s="64" t="s">
        <v>150</v>
      </c>
      <c r="AL4" s="64" t="s">
        <v>152</v>
      </c>
      <c r="AM4" s="64" t="s">
        <v>155</v>
      </c>
    </row>
    <row r="5" customFormat="false" ht="33.75" hidden="false" customHeight="true" outlineLevel="0" collapsed="false">
      <c r="C5" s="65" t="s">
        <v>169</v>
      </c>
      <c r="D5" s="65" t="s">
        <v>170</v>
      </c>
      <c r="E5" s="65" t="s">
        <v>171</v>
      </c>
      <c r="F5" s="65" t="s">
        <v>172</v>
      </c>
      <c r="G5" s="65" t="s">
        <v>173</v>
      </c>
      <c r="H5" s="65" t="s">
        <v>174</v>
      </c>
      <c r="I5" s="65" t="s">
        <v>175</v>
      </c>
      <c r="J5" s="65" t="s">
        <v>176</v>
      </c>
      <c r="K5" s="65" t="s">
        <v>177</v>
      </c>
      <c r="L5" s="65" t="s">
        <v>178</v>
      </c>
      <c r="M5" s="65" t="s">
        <v>179</v>
      </c>
      <c r="N5" s="65" t="s">
        <v>180</v>
      </c>
      <c r="O5" s="65" t="s">
        <v>181</v>
      </c>
      <c r="P5" s="65" t="s">
        <v>182</v>
      </c>
      <c r="Q5" s="65" t="s">
        <v>183</v>
      </c>
      <c r="R5" s="65" t="s">
        <v>184</v>
      </c>
      <c r="S5" s="65" t="s">
        <v>185</v>
      </c>
      <c r="T5" s="65" t="s">
        <v>186</v>
      </c>
      <c r="U5" s="65" t="s">
        <v>187</v>
      </c>
      <c r="V5" s="65" t="s">
        <v>188</v>
      </c>
      <c r="W5" s="65" t="s">
        <v>189</v>
      </c>
      <c r="X5" s="65" t="s">
        <v>190</v>
      </c>
      <c r="Y5" s="65" t="s">
        <v>191</v>
      </c>
      <c r="Z5" s="65" t="s">
        <v>192</v>
      </c>
      <c r="AA5" s="65" t="s">
        <v>193</v>
      </c>
      <c r="AB5" s="65" t="s">
        <v>194</v>
      </c>
      <c r="AC5" s="65" t="s">
        <v>195</v>
      </c>
      <c r="AD5" s="65" t="s">
        <v>196</v>
      </c>
      <c r="AE5" s="65" t="s">
        <v>197</v>
      </c>
      <c r="AF5" s="65" t="s">
        <v>198</v>
      </c>
      <c r="AG5" s="65" t="s">
        <v>199</v>
      </c>
      <c r="AH5" s="65" t="s">
        <v>200</v>
      </c>
      <c r="AI5" s="65" t="s">
        <v>201</v>
      </c>
      <c r="AJ5" s="65" t="s">
        <v>202</v>
      </c>
      <c r="AK5" s="65" t="s">
        <v>203</v>
      </c>
      <c r="AL5" s="65" t="s">
        <v>204</v>
      </c>
      <c r="AM5" s="65" t="s">
        <v>205</v>
      </c>
    </row>
    <row r="6" customFormat="false" ht="15" hidden="false" customHeight="true" outlineLevel="0" collapsed="false">
      <c r="B6" s="66" t="s">
        <v>206</v>
      </c>
      <c r="C6" s="67" t="str">
        <f aca="false">IF(LEFT('📅 Calendrier'!$D4,2)="S1",MID('📅 Calendrier'!$D4,SEARCH("séance",'📅 Calendrier'!$D4)+7,2),"")</f>
        <v>1</v>
      </c>
      <c r="D6" s="67" t="str">
        <f aca="false">IF(LEFT('📅 Calendrier'!$D5,2)="S1",MID('📅 Calendrier'!$D5,SEARCH("séance",'📅 Calendrier'!$D5)+7,2),"")</f>
        <v>2</v>
      </c>
      <c r="E6" s="67" t="str">
        <f aca="false">IF(LEFT('📅 Calendrier'!$D6,2)="S1",MID('📅 Calendrier'!$D6,SEARCH("séance",'📅 Calendrier'!$D6)+7,2),"")</f>
        <v>3</v>
      </c>
      <c r="F6" s="67" t="str">
        <f aca="false">IF(LEFT('📅 Calendrier'!$D7,2)="S1",MID('📅 Calendrier'!$D7,SEARCH("séance",'📅 Calendrier'!$D7)+7,2),"")</f>
        <v/>
      </c>
      <c r="G6" s="67" t="str">
        <f aca="false">IF(LEFT('📅 Calendrier'!$D8,2)="S1",MID('📅 Calendrier'!$D8,SEARCH("séance",'📅 Calendrier'!$D8)+7,2),"")</f>
        <v/>
      </c>
      <c r="H6" s="67" t="str">
        <f aca="false">IF(LEFT('📅 Calendrier'!$D9,2)="S1",MID('📅 Calendrier'!$D9,SEARCH("séance",'📅 Calendrier'!$D9)+7,2),"")</f>
        <v/>
      </c>
      <c r="I6" s="67" t="str">
        <f aca="false">IF(LEFT('📅 Calendrier'!$D10,2)="S1",MID('📅 Calendrier'!$D10,SEARCH("séance",'📅 Calendrier'!$D10)+7,2),"")</f>
        <v/>
      </c>
      <c r="J6" s="67" t="str">
        <f aca="false">IF(LEFT('📅 Calendrier'!$D11,2)="S1",MID('📅 Calendrier'!$D11,SEARCH("séance",'📅 Calendrier'!$D11)+7,2),"")</f>
        <v/>
      </c>
      <c r="K6" s="67" t="str">
        <f aca="false">IF(LEFT('📅 Calendrier'!$D13,2)="S1",MID('📅 Calendrier'!$D13,SEARCH("séance",'📅 Calendrier'!$D13)+7,2),"")</f>
        <v/>
      </c>
      <c r="L6" s="67" t="str">
        <f aca="false">IF(LEFT('📅 Calendrier'!$D14,2)="S1",MID('📅 Calendrier'!$D14,SEARCH("séance",'📅 Calendrier'!$D14)+7,2),"")</f>
        <v/>
      </c>
      <c r="M6" s="67" t="str">
        <f aca="false">IF(LEFT('📅 Calendrier'!$D15,2)="S1",MID('📅 Calendrier'!$D15,SEARCH("séance",'📅 Calendrier'!$D15)+7,2),"")</f>
        <v/>
      </c>
      <c r="N6" s="67" t="str">
        <f aca="false">IF(LEFT('📅 Calendrier'!$D16,2)="S1",MID('📅 Calendrier'!$D16,SEARCH("séance",'📅 Calendrier'!$D16)+7,2),"")</f>
        <v/>
      </c>
      <c r="O6" s="67" t="str">
        <f aca="false">IF(LEFT('📅 Calendrier'!$D17,2)="S1",MID('📅 Calendrier'!$D17,SEARCH("séance",'📅 Calendrier'!$D17)+7,2),"")</f>
        <v/>
      </c>
      <c r="P6" s="67" t="str">
        <f aca="false">IF(LEFT('📅 Calendrier'!$D18,2)="S1",MID('📅 Calendrier'!$D18,SEARCH("séance",'📅 Calendrier'!$D18)+7,2),"")</f>
        <v/>
      </c>
      <c r="Q6" s="67" t="str">
        <f aca="false">IF(LEFT('📅 Calendrier'!$D19,2)="S1",MID('📅 Calendrier'!$D19,SEARCH("séance",'📅 Calendrier'!$D19)+7,2),"")</f>
        <v/>
      </c>
      <c r="R6" s="67" t="str">
        <f aca="false">IF(LEFT('📅 Calendrier'!$D21,2)="S1",MID('📅 Calendrier'!$D21,SEARCH("séance",'📅 Calendrier'!$D21)+7,2),"")</f>
        <v/>
      </c>
      <c r="S6" s="67" t="str">
        <f aca="false">IF(LEFT('📅 Calendrier'!$D22,2)="S1",MID('📅 Calendrier'!$D22,SEARCH("séance",'📅 Calendrier'!$D22)+7,2),"")</f>
        <v/>
      </c>
      <c r="T6" s="67" t="str">
        <f aca="false">IF(LEFT('📅 Calendrier'!$D23,2)="S1",MID('📅 Calendrier'!$D23,SEARCH("séance",'📅 Calendrier'!$D23)+7,2),"")</f>
        <v/>
      </c>
      <c r="U6" s="67" t="str">
        <f aca="false">IF(LEFT('📅 Calendrier'!$D24,2)="S1",MID('📅 Calendrier'!$D24,SEARCH("séance",'📅 Calendrier'!$D24)+7,2),"")</f>
        <v/>
      </c>
      <c r="V6" s="67" t="str">
        <f aca="false">IF(LEFT('📅 Calendrier'!$D25,2)="S1",MID('📅 Calendrier'!$D25,SEARCH("séance",'📅 Calendrier'!$D25)+7,2),"")</f>
        <v/>
      </c>
      <c r="W6" s="67" t="str">
        <f aca="false">IF(LEFT('📅 Calendrier'!$D27,2)="S1",MID('📅 Calendrier'!$D27,SEARCH("séance",'📅 Calendrier'!$D27)+7,2),"")</f>
        <v/>
      </c>
      <c r="X6" s="67" t="str">
        <f aca="false">IF(LEFT('📅 Calendrier'!$D28,2)="S1",MID('📅 Calendrier'!$D28,SEARCH("séance",'📅 Calendrier'!$D28)+7,2),"")</f>
        <v/>
      </c>
      <c r="Y6" s="67" t="str">
        <f aca="false">IF(LEFT('📅 Calendrier'!$D29,2)="S1",MID('📅 Calendrier'!$D29,SEARCH("séance",'📅 Calendrier'!$D29)+7,2),"")</f>
        <v/>
      </c>
      <c r="Z6" s="67" t="str">
        <f aca="false">IF(LEFT('📅 Calendrier'!$D30,2)="S1",MID('📅 Calendrier'!$D30,SEARCH("séance",'📅 Calendrier'!$D30)+7,2),"")</f>
        <v/>
      </c>
      <c r="AA6" s="67" t="str">
        <f aca="false">IF(LEFT('📅 Calendrier'!$D31,2)="S1",MID('📅 Calendrier'!$D31,SEARCH("séance",'📅 Calendrier'!$D31)+7,2),"")</f>
        <v/>
      </c>
      <c r="AB6" s="67" t="str">
        <f aca="false">IF(LEFT('📅 Calendrier'!$D32,2)="S1",MID('📅 Calendrier'!$D32,SEARCH("séance",'📅 Calendrier'!$D32)+7,2),"")</f>
        <v/>
      </c>
      <c r="AC6" s="67" t="str">
        <f aca="false">IF(LEFT('📅 Calendrier'!$D33,2)="S1",MID('📅 Calendrier'!$D33,SEARCH("séance",'📅 Calendrier'!$D33)+7,2),"")</f>
        <v/>
      </c>
      <c r="AD6" s="67" t="str">
        <f aca="false">IF(LEFT('📅 Calendrier'!$D34,2)="S1",MID('📅 Calendrier'!$D34,SEARCH("séance",'📅 Calendrier'!$D34)+7,2),"")</f>
        <v/>
      </c>
      <c r="AE6" s="67" t="str">
        <f aca="false">IF(LEFT('📅 Calendrier'!$D36,2)="S1",MID('📅 Calendrier'!$D36,SEARCH("séance",'📅 Calendrier'!$D36)+7,2),"")</f>
        <v/>
      </c>
      <c r="AF6" s="67" t="str">
        <f aca="false">IF(LEFT('📅 Calendrier'!$D37,2)="S1",MID('📅 Calendrier'!$D37,SEARCH("séance",'📅 Calendrier'!$D37)+7,2),"")</f>
        <v/>
      </c>
      <c r="AG6" s="67" t="str">
        <f aca="false">IF(LEFT('📅 Calendrier'!$D38,2)="S1",MID('📅 Calendrier'!$D38,SEARCH("séance",'📅 Calendrier'!$D38)+7,2),"")</f>
        <v/>
      </c>
      <c r="AH6" s="67" t="str">
        <f aca="false">IF(LEFT('📅 Calendrier'!$D39,2)="S1",MID('📅 Calendrier'!$D39,SEARCH("séance",'📅 Calendrier'!$D39)+7,2),"")</f>
        <v/>
      </c>
      <c r="AI6" s="67" t="str">
        <f aca="false">IF(LEFT('📅 Calendrier'!$D40,2)="S1",MID('📅 Calendrier'!$D40,SEARCH("séance",'📅 Calendrier'!$D40)+7,2),"")</f>
        <v/>
      </c>
      <c r="AJ6" s="67" t="str">
        <f aca="false">IF(LEFT('📅 Calendrier'!$D41,2)="S1",MID('📅 Calendrier'!$D41,SEARCH("séance",'📅 Calendrier'!$D41)+7,2),"")</f>
        <v/>
      </c>
      <c r="AK6" s="67" t="str">
        <f aca="false">IF(LEFT('📅 Calendrier'!$D42,2)="S1",MID('📅 Calendrier'!$D42,SEARCH("séance",'📅 Calendrier'!$D42)+7,2),"")</f>
        <v/>
      </c>
      <c r="AL6" s="67" t="str">
        <f aca="false">IF(LEFT('📅 Calendrier'!$D43,2)="S1",MID('📅 Calendrier'!$D43,SEARCH("séance",'📅 Calendrier'!$D43)+7,2),"")</f>
        <v/>
      </c>
      <c r="AM6" s="67" t="str">
        <f aca="false">IF(LEFT('📅 Calendrier'!$D44,2)="S1",MID('📅 Calendrier'!$D44,SEARCH("séance",'📅 Calendrier'!$D44)+7,2),"")</f>
        <v/>
      </c>
    </row>
    <row r="7" customFormat="false" ht="15" hidden="false" customHeight="true" outlineLevel="0" collapsed="false">
      <c r="B7" s="66" t="s">
        <v>207</v>
      </c>
      <c r="C7" s="67" t="str">
        <f aca="false">IF(LEFT('📅 Calendrier'!$D4,2)="S2",MID('📅 Calendrier'!$D4,SEARCH("séance",'📅 Calendrier'!$D4)+7,2),"")</f>
        <v/>
      </c>
      <c r="D7" s="67" t="str">
        <f aca="false">IF(LEFT('📅 Calendrier'!$D5,2)="S2",MID('📅 Calendrier'!$D5,SEARCH("séance",'📅 Calendrier'!$D5)+7,2),"")</f>
        <v/>
      </c>
      <c r="E7" s="67" t="str">
        <f aca="false">IF(LEFT('📅 Calendrier'!$D6,2)="S2",MID('📅 Calendrier'!$D6,SEARCH("séance",'📅 Calendrier'!$D6)+7,2),"")</f>
        <v/>
      </c>
      <c r="F7" s="67" t="str">
        <f aca="false">IF(LEFT('📅 Calendrier'!$D7,2)="S2",MID('📅 Calendrier'!$D7,SEARCH("séance",'📅 Calendrier'!$D7)+7,2),"")</f>
        <v>1</v>
      </c>
      <c r="G7" s="67" t="str">
        <f aca="false">IF(LEFT('📅 Calendrier'!$D8,2)="S2",MID('📅 Calendrier'!$D8,SEARCH("séance",'📅 Calendrier'!$D8)+7,2),"")</f>
        <v>2</v>
      </c>
      <c r="H7" s="67" t="str">
        <f aca="false">IF(LEFT('📅 Calendrier'!$D9,2)="S2",MID('📅 Calendrier'!$D9,SEARCH("séance",'📅 Calendrier'!$D9)+7,2),"")</f>
        <v/>
      </c>
      <c r="I7" s="67" t="str">
        <f aca="false">IF(LEFT('📅 Calendrier'!$D10,2)="S2",MID('📅 Calendrier'!$D10,SEARCH("séance",'📅 Calendrier'!$D10)+7,2),"")</f>
        <v/>
      </c>
      <c r="J7" s="67" t="str">
        <f aca="false">IF(LEFT('📅 Calendrier'!$D11,2)="S2",MID('📅 Calendrier'!$D11,SEARCH("séance",'📅 Calendrier'!$D11)+7,2),"")</f>
        <v/>
      </c>
      <c r="K7" s="67" t="str">
        <f aca="false">IF(LEFT('📅 Calendrier'!$D13,2)="S2",MID('📅 Calendrier'!$D13,SEARCH("séance",'📅 Calendrier'!$D13)+7,2),"")</f>
        <v/>
      </c>
      <c r="L7" s="67" t="str">
        <f aca="false">IF(LEFT('📅 Calendrier'!$D14,2)="S2",MID('📅 Calendrier'!$D14,SEARCH("séance",'📅 Calendrier'!$D14)+7,2),"")</f>
        <v/>
      </c>
      <c r="M7" s="67" t="str">
        <f aca="false">IF(LEFT('📅 Calendrier'!$D15,2)="S2",MID('📅 Calendrier'!$D15,SEARCH("séance",'📅 Calendrier'!$D15)+7,2),"")</f>
        <v/>
      </c>
      <c r="N7" s="67" t="str">
        <f aca="false">IF(LEFT('📅 Calendrier'!$D16,2)="S2",MID('📅 Calendrier'!$D16,SEARCH("séance",'📅 Calendrier'!$D16)+7,2),"")</f>
        <v/>
      </c>
      <c r="O7" s="67" t="str">
        <f aca="false">IF(LEFT('📅 Calendrier'!$D17,2)="S2",MID('📅 Calendrier'!$D17,SEARCH("séance",'📅 Calendrier'!$D17)+7,2),"")</f>
        <v/>
      </c>
      <c r="P7" s="67" t="str">
        <f aca="false">IF(LEFT('📅 Calendrier'!$D18,2)="S2",MID('📅 Calendrier'!$D18,SEARCH("séance",'📅 Calendrier'!$D18)+7,2),"")</f>
        <v/>
      </c>
      <c r="Q7" s="67" t="str">
        <f aca="false">IF(LEFT('📅 Calendrier'!$D19,2)="S2",MID('📅 Calendrier'!$D19,SEARCH("séance",'📅 Calendrier'!$D19)+7,2),"")</f>
        <v/>
      </c>
      <c r="R7" s="67" t="str">
        <f aca="false">IF(LEFT('📅 Calendrier'!$D21,2)="S2",MID('📅 Calendrier'!$D21,SEARCH("séance",'📅 Calendrier'!$D21)+7,2),"")</f>
        <v/>
      </c>
      <c r="S7" s="67" t="str">
        <f aca="false">IF(LEFT('📅 Calendrier'!$D22,2)="S2",MID('📅 Calendrier'!$D22,SEARCH("séance",'📅 Calendrier'!$D22)+7,2),"")</f>
        <v/>
      </c>
      <c r="T7" s="67" t="str">
        <f aca="false">IF(LEFT('📅 Calendrier'!$D23,2)="S2",MID('📅 Calendrier'!$D23,SEARCH("séance",'📅 Calendrier'!$D23)+7,2),"")</f>
        <v/>
      </c>
      <c r="U7" s="67" t="str">
        <f aca="false">IF(LEFT('📅 Calendrier'!$D24,2)="S2",MID('📅 Calendrier'!$D24,SEARCH("séance",'📅 Calendrier'!$D24)+7,2),"")</f>
        <v/>
      </c>
      <c r="V7" s="67" t="str">
        <f aca="false">IF(LEFT('📅 Calendrier'!$D25,2)="S2",MID('📅 Calendrier'!$D25,SEARCH("séance",'📅 Calendrier'!$D25)+7,2),"")</f>
        <v/>
      </c>
      <c r="W7" s="67" t="str">
        <f aca="false">IF(LEFT('📅 Calendrier'!$D27,2)="S2",MID('📅 Calendrier'!$D27,SEARCH("séance",'📅 Calendrier'!$D27)+7,2),"")</f>
        <v/>
      </c>
      <c r="X7" s="67" t="str">
        <f aca="false">IF(LEFT('📅 Calendrier'!$D28,2)="S2",MID('📅 Calendrier'!$D28,SEARCH("séance",'📅 Calendrier'!$D28)+7,2),"")</f>
        <v/>
      </c>
      <c r="Y7" s="67" t="str">
        <f aca="false">IF(LEFT('📅 Calendrier'!$D29,2)="S2",MID('📅 Calendrier'!$D29,SEARCH("séance",'📅 Calendrier'!$D29)+7,2),"")</f>
        <v/>
      </c>
      <c r="Z7" s="67" t="str">
        <f aca="false">IF(LEFT('📅 Calendrier'!$D30,2)="S2",MID('📅 Calendrier'!$D30,SEARCH("séance",'📅 Calendrier'!$D30)+7,2),"")</f>
        <v/>
      </c>
      <c r="AA7" s="67" t="str">
        <f aca="false">IF(LEFT('📅 Calendrier'!$D31,2)="S2",MID('📅 Calendrier'!$D31,SEARCH("séance",'📅 Calendrier'!$D31)+7,2),"")</f>
        <v/>
      </c>
      <c r="AB7" s="67" t="str">
        <f aca="false">IF(LEFT('📅 Calendrier'!$D32,2)="S2",MID('📅 Calendrier'!$D32,SEARCH("séance",'📅 Calendrier'!$D32)+7,2),"")</f>
        <v/>
      </c>
      <c r="AC7" s="67" t="str">
        <f aca="false">IF(LEFT('📅 Calendrier'!$D33,2)="S2",MID('📅 Calendrier'!$D33,SEARCH("séance",'📅 Calendrier'!$D33)+7,2),"")</f>
        <v/>
      </c>
      <c r="AD7" s="67" t="str">
        <f aca="false">IF(LEFT('📅 Calendrier'!$D34,2)="S2",MID('📅 Calendrier'!$D34,SEARCH("séance",'📅 Calendrier'!$D34)+7,2),"")</f>
        <v/>
      </c>
      <c r="AE7" s="67" t="str">
        <f aca="false">IF(LEFT('📅 Calendrier'!$D36,2)="S2",MID('📅 Calendrier'!$D36,SEARCH("séance",'📅 Calendrier'!$D36)+7,2),"")</f>
        <v/>
      </c>
      <c r="AF7" s="67" t="str">
        <f aca="false">IF(LEFT('📅 Calendrier'!$D37,2)="S2",MID('📅 Calendrier'!$D37,SEARCH("séance",'📅 Calendrier'!$D37)+7,2),"")</f>
        <v/>
      </c>
      <c r="AG7" s="67" t="str">
        <f aca="false">IF(LEFT('📅 Calendrier'!$D38,2)="S2",MID('📅 Calendrier'!$D38,SEARCH("séance",'📅 Calendrier'!$D38)+7,2),"")</f>
        <v/>
      </c>
      <c r="AH7" s="67" t="str">
        <f aca="false">IF(LEFT('📅 Calendrier'!$D39,2)="S2",MID('📅 Calendrier'!$D39,SEARCH("séance",'📅 Calendrier'!$D39)+7,2),"")</f>
        <v/>
      </c>
      <c r="AI7" s="67" t="str">
        <f aca="false">IF(LEFT('📅 Calendrier'!$D40,2)="S2",MID('📅 Calendrier'!$D40,SEARCH("séance",'📅 Calendrier'!$D40)+7,2),"")</f>
        <v/>
      </c>
      <c r="AJ7" s="67" t="str">
        <f aca="false">IF(LEFT('📅 Calendrier'!$D41,2)="S2",MID('📅 Calendrier'!$D41,SEARCH("séance",'📅 Calendrier'!$D41)+7,2),"")</f>
        <v/>
      </c>
      <c r="AK7" s="67" t="str">
        <f aca="false">IF(LEFT('📅 Calendrier'!$D42,2)="S2",MID('📅 Calendrier'!$D42,SEARCH("séance",'📅 Calendrier'!$D42)+7,2),"")</f>
        <v/>
      </c>
      <c r="AL7" s="67" t="str">
        <f aca="false">IF(LEFT('📅 Calendrier'!$D43,2)="S2",MID('📅 Calendrier'!$D43,SEARCH("séance",'📅 Calendrier'!$D43)+7,2),"")</f>
        <v/>
      </c>
      <c r="AM7" s="67" t="str">
        <f aca="false">IF(LEFT('📅 Calendrier'!$D44,2)="S2",MID('📅 Calendrier'!$D44,SEARCH("séance",'📅 Calendrier'!$D44)+7,2),"")</f>
        <v/>
      </c>
    </row>
    <row r="8" customFormat="false" ht="15" hidden="false" customHeight="true" outlineLevel="0" collapsed="false">
      <c r="B8" s="66" t="s">
        <v>208</v>
      </c>
      <c r="C8" s="67" t="str">
        <f aca="false">IF(LEFT('📅 Calendrier'!$D4,2)="S3",MID('📅 Calendrier'!$D4,SEARCH("séance",'📅 Calendrier'!$D4)+7,2),"")</f>
        <v/>
      </c>
      <c r="D8" s="67" t="str">
        <f aca="false">IF(LEFT('📅 Calendrier'!$D5,2)="S3",MID('📅 Calendrier'!$D5,SEARCH("séance",'📅 Calendrier'!$D5)+7,2),"")</f>
        <v/>
      </c>
      <c r="E8" s="67" t="str">
        <f aca="false">IF(LEFT('📅 Calendrier'!$D6,2)="S3",MID('📅 Calendrier'!$D6,SEARCH("séance",'📅 Calendrier'!$D6)+7,2),"")</f>
        <v/>
      </c>
      <c r="F8" s="67" t="str">
        <f aca="false">IF(LEFT('📅 Calendrier'!$D7,2)="S3",MID('📅 Calendrier'!$D7,SEARCH("séance",'📅 Calendrier'!$D7)+7,2),"")</f>
        <v/>
      </c>
      <c r="G8" s="67" t="str">
        <f aca="false">IF(LEFT('📅 Calendrier'!$D8,2)="S3",MID('📅 Calendrier'!$D8,SEARCH("séance",'📅 Calendrier'!$D8)+7,2),"")</f>
        <v/>
      </c>
      <c r="H8" s="67" t="str">
        <f aca="false">IF(LEFT('📅 Calendrier'!$D9,2)="S3",MID('📅 Calendrier'!$D9,SEARCH("séance",'📅 Calendrier'!$D9)+7,2),"")</f>
        <v>1</v>
      </c>
      <c r="I8" s="67" t="str">
        <f aca="false">IF(LEFT('📅 Calendrier'!$D10,2)="S3",MID('📅 Calendrier'!$D10,SEARCH("séance",'📅 Calendrier'!$D10)+7,2),"")</f>
        <v>2</v>
      </c>
      <c r="J8" s="67" t="str">
        <f aca="false">IF(LEFT('📅 Calendrier'!$D11,2)="S3",MID('📅 Calendrier'!$D11,SEARCH("séance",'📅 Calendrier'!$D11)+7,2),"")</f>
        <v/>
      </c>
      <c r="K8" s="67" t="str">
        <f aca="false">IF(LEFT('📅 Calendrier'!$D13,2)="S3",MID('📅 Calendrier'!$D13,SEARCH("séance",'📅 Calendrier'!$D13)+7,2),"")</f>
        <v>3</v>
      </c>
      <c r="L8" s="67" t="str">
        <f aca="false">IF(LEFT('📅 Calendrier'!$D14,2)="S3",MID('📅 Calendrier'!$D14,SEARCH("séance",'📅 Calendrier'!$D14)+7,2),"")</f>
        <v/>
      </c>
      <c r="M8" s="67" t="str">
        <f aca="false">IF(LEFT('📅 Calendrier'!$D15,2)="S3",MID('📅 Calendrier'!$D15,SEARCH("séance",'📅 Calendrier'!$D15)+7,2),"")</f>
        <v/>
      </c>
      <c r="N8" s="67" t="str">
        <f aca="false">IF(LEFT('📅 Calendrier'!$D16,2)="S3",MID('📅 Calendrier'!$D16,SEARCH("séance",'📅 Calendrier'!$D16)+7,2),"")</f>
        <v/>
      </c>
      <c r="O8" s="67" t="str">
        <f aca="false">IF(LEFT('📅 Calendrier'!$D17,2)="S3",MID('📅 Calendrier'!$D17,SEARCH("séance",'📅 Calendrier'!$D17)+7,2),"")</f>
        <v/>
      </c>
      <c r="P8" s="67" t="str">
        <f aca="false">IF(LEFT('📅 Calendrier'!$D18,2)="S3",MID('📅 Calendrier'!$D18,SEARCH("séance",'📅 Calendrier'!$D18)+7,2),"")</f>
        <v/>
      </c>
      <c r="Q8" s="67" t="str">
        <f aca="false">IF(LEFT('📅 Calendrier'!$D19,2)="S3",MID('📅 Calendrier'!$D19,SEARCH("séance",'📅 Calendrier'!$D19)+7,2),"")</f>
        <v/>
      </c>
      <c r="R8" s="67" t="str">
        <f aca="false">IF(LEFT('📅 Calendrier'!$D21,2)="S3",MID('📅 Calendrier'!$D21,SEARCH("séance",'📅 Calendrier'!$D21)+7,2),"")</f>
        <v/>
      </c>
      <c r="S8" s="67" t="str">
        <f aca="false">IF(LEFT('📅 Calendrier'!$D22,2)="S3",MID('📅 Calendrier'!$D22,SEARCH("séance",'📅 Calendrier'!$D22)+7,2),"")</f>
        <v/>
      </c>
      <c r="T8" s="67" t="str">
        <f aca="false">IF(LEFT('📅 Calendrier'!$D23,2)="S3",MID('📅 Calendrier'!$D23,SEARCH("séance",'📅 Calendrier'!$D23)+7,2),"")</f>
        <v/>
      </c>
      <c r="U8" s="67" t="str">
        <f aca="false">IF(LEFT('📅 Calendrier'!$D24,2)="S3",MID('📅 Calendrier'!$D24,SEARCH("séance",'📅 Calendrier'!$D24)+7,2),"")</f>
        <v/>
      </c>
      <c r="V8" s="67" t="str">
        <f aca="false">IF(LEFT('📅 Calendrier'!$D25,2)="S3",MID('📅 Calendrier'!$D25,SEARCH("séance",'📅 Calendrier'!$D25)+7,2),"")</f>
        <v/>
      </c>
      <c r="W8" s="67" t="str">
        <f aca="false">IF(LEFT('📅 Calendrier'!$D27,2)="S3",MID('📅 Calendrier'!$D27,SEARCH("séance",'📅 Calendrier'!$D27)+7,2),"")</f>
        <v/>
      </c>
      <c r="X8" s="67" t="str">
        <f aca="false">IF(LEFT('📅 Calendrier'!$D28,2)="S3",MID('📅 Calendrier'!$D28,SEARCH("séance",'📅 Calendrier'!$D28)+7,2),"")</f>
        <v/>
      </c>
      <c r="Y8" s="67" t="str">
        <f aca="false">IF(LEFT('📅 Calendrier'!$D29,2)="S3",MID('📅 Calendrier'!$D29,SEARCH("séance",'📅 Calendrier'!$D29)+7,2),"")</f>
        <v/>
      </c>
      <c r="Z8" s="67" t="str">
        <f aca="false">IF(LEFT('📅 Calendrier'!$D30,2)="S3",MID('📅 Calendrier'!$D30,SEARCH("séance",'📅 Calendrier'!$D30)+7,2),"")</f>
        <v/>
      </c>
      <c r="AA8" s="67" t="str">
        <f aca="false">IF(LEFT('📅 Calendrier'!$D31,2)="S3",MID('📅 Calendrier'!$D31,SEARCH("séance",'📅 Calendrier'!$D31)+7,2),"")</f>
        <v/>
      </c>
      <c r="AB8" s="67" t="str">
        <f aca="false">IF(LEFT('📅 Calendrier'!$D32,2)="S3",MID('📅 Calendrier'!$D32,SEARCH("séance",'📅 Calendrier'!$D32)+7,2),"")</f>
        <v/>
      </c>
      <c r="AC8" s="67" t="str">
        <f aca="false">IF(LEFT('📅 Calendrier'!$D33,2)="S3",MID('📅 Calendrier'!$D33,SEARCH("séance",'📅 Calendrier'!$D33)+7,2),"")</f>
        <v/>
      </c>
      <c r="AD8" s="67" t="str">
        <f aca="false">IF(LEFT('📅 Calendrier'!$D34,2)="S3",MID('📅 Calendrier'!$D34,SEARCH("séance",'📅 Calendrier'!$D34)+7,2),"")</f>
        <v/>
      </c>
      <c r="AE8" s="67" t="str">
        <f aca="false">IF(LEFT('📅 Calendrier'!$D36,2)="S3",MID('📅 Calendrier'!$D36,SEARCH("séance",'📅 Calendrier'!$D36)+7,2),"")</f>
        <v/>
      </c>
      <c r="AF8" s="67" t="str">
        <f aca="false">IF(LEFT('📅 Calendrier'!$D37,2)="S3",MID('📅 Calendrier'!$D37,SEARCH("séance",'📅 Calendrier'!$D37)+7,2),"")</f>
        <v/>
      </c>
      <c r="AG8" s="67" t="str">
        <f aca="false">IF(LEFT('📅 Calendrier'!$D38,2)="S3",MID('📅 Calendrier'!$D38,SEARCH("séance",'📅 Calendrier'!$D38)+7,2),"")</f>
        <v/>
      </c>
      <c r="AH8" s="67" t="str">
        <f aca="false">IF(LEFT('📅 Calendrier'!$D39,2)="S3",MID('📅 Calendrier'!$D39,SEARCH("séance",'📅 Calendrier'!$D39)+7,2),"")</f>
        <v/>
      </c>
      <c r="AI8" s="67" t="str">
        <f aca="false">IF(LEFT('📅 Calendrier'!$D40,2)="S3",MID('📅 Calendrier'!$D40,SEARCH("séance",'📅 Calendrier'!$D40)+7,2),"")</f>
        <v/>
      </c>
      <c r="AJ8" s="67" t="str">
        <f aca="false">IF(LEFT('📅 Calendrier'!$D41,2)="S3",MID('📅 Calendrier'!$D41,SEARCH("séance",'📅 Calendrier'!$D41)+7,2),"")</f>
        <v/>
      </c>
      <c r="AK8" s="67" t="str">
        <f aca="false">IF(LEFT('📅 Calendrier'!$D42,2)="S3",MID('📅 Calendrier'!$D42,SEARCH("séance",'📅 Calendrier'!$D42)+7,2),"")</f>
        <v/>
      </c>
      <c r="AL8" s="67" t="str">
        <f aca="false">IF(LEFT('📅 Calendrier'!$D43,2)="S3",MID('📅 Calendrier'!$D43,SEARCH("séance",'📅 Calendrier'!$D43)+7,2),"")</f>
        <v/>
      </c>
      <c r="AM8" s="67" t="str">
        <f aca="false">IF(LEFT('📅 Calendrier'!$D44,2)="S3",MID('📅 Calendrier'!$D44,SEARCH("séance",'📅 Calendrier'!$D44)+7,2),"")</f>
        <v/>
      </c>
    </row>
    <row r="9" customFormat="false" ht="15" hidden="false" customHeight="true" outlineLevel="0" collapsed="false">
      <c r="B9" s="68" t="s">
        <v>209</v>
      </c>
      <c r="C9" s="67" t="str">
        <f aca="false">IF(LEFT('📅 Calendrier'!$D4,2)="S4",MID('📅 Calendrier'!$D4,SEARCH("séance",'📅 Calendrier'!$D4)+7,2),"")</f>
        <v/>
      </c>
      <c r="D9" s="67" t="str">
        <f aca="false">IF(LEFT('📅 Calendrier'!$D5,2)="S4",MID('📅 Calendrier'!$D5,SEARCH("séance",'📅 Calendrier'!$D5)+7,2),"")</f>
        <v/>
      </c>
      <c r="E9" s="67" t="str">
        <f aca="false">IF(LEFT('📅 Calendrier'!$D6,2)="S4",MID('📅 Calendrier'!$D6,SEARCH("séance",'📅 Calendrier'!$D6)+7,2),"")</f>
        <v/>
      </c>
      <c r="F9" s="67" t="str">
        <f aca="false">IF(LEFT('📅 Calendrier'!$D7,2)="S4",MID('📅 Calendrier'!$D7,SEARCH("séance",'📅 Calendrier'!$D7)+7,2),"")</f>
        <v/>
      </c>
      <c r="G9" s="67" t="str">
        <f aca="false">IF(LEFT('📅 Calendrier'!$D8,2)="S4",MID('📅 Calendrier'!$D8,SEARCH("séance",'📅 Calendrier'!$D8)+7,2),"")</f>
        <v/>
      </c>
      <c r="H9" s="67" t="str">
        <f aca="false">IF(LEFT('📅 Calendrier'!$D9,2)="S4",MID('📅 Calendrier'!$D9,SEARCH("séance",'📅 Calendrier'!$D9)+7,2),"")</f>
        <v/>
      </c>
      <c r="I9" s="67" t="str">
        <f aca="false">IF(LEFT('📅 Calendrier'!$D10,2)="S4",MID('📅 Calendrier'!$D10,SEARCH("séance",'📅 Calendrier'!$D10)+7,2),"")</f>
        <v/>
      </c>
      <c r="J9" s="67" t="str">
        <f aca="false">IF(LEFT('📅 Calendrier'!$D11,2)="S4",MID('📅 Calendrier'!$D11,SEARCH("séance",'📅 Calendrier'!$D11)+7,2),"")</f>
        <v/>
      </c>
      <c r="K9" s="67" t="str">
        <f aca="false">IF(LEFT('📅 Calendrier'!$D13,2)="S4",MID('📅 Calendrier'!$D13,SEARCH("séance",'📅 Calendrier'!$D13)+7,2),"")</f>
        <v/>
      </c>
      <c r="L9" s="67" t="str">
        <f aca="false">IF(LEFT('📅 Calendrier'!$D14,2)="S4",MID('📅 Calendrier'!$D14,SEARCH("séance",'📅 Calendrier'!$D14)+7,2),"")</f>
        <v>1</v>
      </c>
      <c r="M9" s="67" t="str">
        <f aca="false">IF(LEFT('📅 Calendrier'!$D15,2)="S4",MID('📅 Calendrier'!$D15,SEARCH("séance",'📅 Calendrier'!$D15)+7,2),"")</f>
        <v>2</v>
      </c>
      <c r="N9" s="67" t="str">
        <f aca="false">IF(LEFT('📅 Calendrier'!$D16,2)="S4",MID('📅 Calendrier'!$D16,SEARCH("séance",'📅 Calendrier'!$D16)+7,2),"")</f>
        <v>3</v>
      </c>
      <c r="O9" s="67" t="str">
        <f aca="false">IF(LEFT('📅 Calendrier'!$D17,2)="S4",MID('📅 Calendrier'!$D17,SEARCH("séance",'📅 Calendrier'!$D17)+7,2),"")</f>
        <v>4</v>
      </c>
      <c r="P9" s="67" t="str">
        <f aca="false">IF(LEFT('📅 Calendrier'!$D18,2)="S4",MID('📅 Calendrier'!$D18,SEARCH("séance",'📅 Calendrier'!$D18)+7,2),"")</f>
        <v>5</v>
      </c>
      <c r="Q9" s="67" t="str">
        <f aca="false">IF(LEFT('📅 Calendrier'!$D19,2)="S4",MID('📅 Calendrier'!$D19,SEARCH("séance",'📅 Calendrier'!$D19)+7,2),"")</f>
        <v/>
      </c>
      <c r="R9" s="67" t="str">
        <f aca="false">IF(LEFT('📅 Calendrier'!$D21,2)="S4",MID('📅 Calendrier'!$D21,SEARCH("séance",'📅 Calendrier'!$D21)+7,2),"")</f>
        <v/>
      </c>
      <c r="S9" s="67" t="str">
        <f aca="false">IF(LEFT('📅 Calendrier'!$D22,2)="S4",MID('📅 Calendrier'!$D22,SEARCH("séance",'📅 Calendrier'!$D22)+7,2),"")</f>
        <v/>
      </c>
      <c r="T9" s="67" t="str">
        <f aca="false">IF(LEFT('📅 Calendrier'!$D23,2)="S4",MID('📅 Calendrier'!$D23,SEARCH("séance",'📅 Calendrier'!$D23)+7,2),"")</f>
        <v/>
      </c>
      <c r="U9" s="67" t="str">
        <f aca="false">IF(LEFT('📅 Calendrier'!$D24,2)="S4",MID('📅 Calendrier'!$D24,SEARCH("séance",'📅 Calendrier'!$D24)+7,2),"")</f>
        <v/>
      </c>
      <c r="V9" s="67" t="str">
        <f aca="false">IF(LEFT('📅 Calendrier'!$D25,2)="S4",MID('📅 Calendrier'!$D25,SEARCH("séance",'📅 Calendrier'!$D25)+7,2),"")</f>
        <v/>
      </c>
      <c r="W9" s="67" t="str">
        <f aca="false">IF(LEFT('📅 Calendrier'!$D27,2)="S4",MID('📅 Calendrier'!$D27,SEARCH("séance",'📅 Calendrier'!$D27)+7,2),"")</f>
        <v/>
      </c>
      <c r="X9" s="67" t="str">
        <f aca="false">IF(LEFT('📅 Calendrier'!$D28,2)="S4",MID('📅 Calendrier'!$D28,SEARCH("séance",'📅 Calendrier'!$D28)+7,2),"")</f>
        <v/>
      </c>
      <c r="Y9" s="67" t="str">
        <f aca="false">IF(LEFT('📅 Calendrier'!$D29,2)="S4",MID('📅 Calendrier'!$D29,SEARCH("séance",'📅 Calendrier'!$D29)+7,2),"")</f>
        <v/>
      </c>
      <c r="Z9" s="67" t="str">
        <f aca="false">IF(LEFT('📅 Calendrier'!$D30,2)="S4",MID('📅 Calendrier'!$D30,SEARCH("séance",'📅 Calendrier'!$D30)+7,2),"")</f>
        <v/>
      </c>
      <c r="AA9" s="67" t="str">
        <f aca="false">IF(LEFT('📅 Calendrier'!$D31,2)="S4",MID('📅 Calendrier'!$D31,SEARCH("séance",'📅 Calendrier'!$D31)+7,2),"")</f>
        <v/>
      </c>
      <c r="AB9" s="67" t="str">
        <f aca="false">IF(LEFT('📅 Calendrier'!$D32,2)="S4",MID('📅 Calendrier'!$D32,SEARCH("séance",'📅 Calendrier'!$D32)+7,2),"")</f>
        <v/>
      </c>
      <c r="AC9" s="67" t="str">
        <f aca="false">IF(LEFT('📅 Calendrier'!$D33,2)="S4",MID('📅 Calendrier'!$D33,SEARCH("séance",'📅 Calendrier'!$D33)+7,2),"")</f>
        <v/>
      </c>
      <c r="AD9" s="67" t="str">
        <f aca="false">IF(LEFT('📅 Calendrier'!$D34,2)="S4",MID('📅 Calendrier'!$D34,SEARCH("séance",'📅 Calendrier'!$D34)+7,2),"")</f>
        <v/>
      </c>
      <c r="AE9" s="67" t="str">
        <f aca="false">IF(LEFT('📅 Calendrier'!$D36,2)="S4",MID('📅 Calendrier'!$D36,SEARCH("séance",'📅 Calendrier'!$D36)+7,2),"")</f>
        <v/>
      </c>
      <c r="AF9" s="67" t="str">
        <f aca="false">IF(LEFT('📅 Calendrier'!$D37,2)="S4",MID('📅 Calendrier'!$D37,SEARCH("séance",'📅 Calendrier'!$D37)+7,2),"")</f>
        <v/>
      </c>
      <c r="AG9" s="67" t="str">
        <f aca="false">IF(LEFT('📅 Calendrier'!$D38,2)="S4",MID('📅 Calendrier'!$D38,SEARCH("séance",'📅 Calendrier'!$D38)+7,2),"")</f>
        <v/>
      </c>
      <c r="AH9" s="67" t="str">
        <f aca="false">IF(LEFT('📅 Calendrier'!$D39,2)="S4",MID('📅 Calendrier'!$D39,SEARCH("séance",'📅 Calendrier'!$D39)+7,2),"")</f>
        <v/>
      </c>
      <c r="AI9" s="67" t="str">
        <f aca="false">IF(LEFT('📅 Calendrier'!$D40,2)="S4",MID('📅 Calendrier'!$D40,SEARCH("séance",'📅 Calendrier'!$D40)+7,2),"")</f>
        <v/>
      </c>
      <c r="AJ9" s="67" t="str">
        <f aca="false">IF(LEFT('📅 Calendrier'!$D41,2)="S4",MID('📅 Calendrier'!$D41,SEARCH("séance",'📅 Calendrier'!$D41)+7,2),"")</f>
        <v/>
      </c>
      <c r="AK9" s="67" t="str">
        <f aca="false">IF(LEFT('📅 Calendrier'!$D42,2)="S4",MID('📅 Calendrier'!$D42,SEARCH("séance",'📅 Calendrier'!$D42)+7,2),"")</f>
        <v/>
      </c>
      <c r="AL9" s="67" t="str">
        <f aca="false">IF(LEFT('📅 Calendrier'!$D43,2)="S4",MID('📅 Calendrier'!$D43,SEARCH("séance",'📅 Calendrier'!$D43)+7,2),"")</f>
        <v/>
      </c>
      <c r="AM9" s="67" t="str">
        <f aca="false">IF(LEFT('📅 Calendrier'!$D44,2)="S4",MID('📅 Calendrier'!$D44,SEARCH("séance",'📅 Calendrier'!$D44)+7,2),"")</f>
        <v/>
      </c>
    </row>
    <row r="10" customFormat="false" ht="15" hidden="false" customHeight="true" outlineLevel="0" collapsed="false">
      <c r="B10" s="68" t="s">
        <v>210</v>
      </c>
      <c r="C10" s="67" t="str">
        <f aca="false">IF(LEFT('📅 Calendrier'!$D4,2)="S5",MID('📅 Calendrier'!$D4,SEARCH("séance",'📅 Calendrier'!$D4)+7,2),"")</f>
        <v/>
      </c>
      <c r="D10" s="67" t="str">
        <f aca="false">IF(LEFT('📅 Calendrier'!$D5,2)="S5",MID('📅 Calendrier'!$D5,SEARCH("séance",'📅 Calendrier'!$D5)+7,2),"")</f>
        <v/>
      </c>
      <c r="E10" s="67" t="str">
        <f aca="false">IF(LEFT('📅 Calendrier'!$D6,2)="S5",MID('📅 Calendrier'!$D6,SEARCH("séance",'📅 Calendrier'!$D6)+7,2),"")</f>
        <v/>
      </c>
      <c r="F10" s="67" t="str">
        <f aca="false">IF(LEFT('📅 Calendrier'!$D7,2)="S5",MID('📅 Calendrier'!$D7,SEARCH("séance",'📅 Calendrier'!$D7)+7,2),"")</f>
        <v/>
      </c>
      <c r="G10" s="67" t="str">
        <f aca="false">IF(LEFT('📅 Calendrier'!$D8,2)="S5",MID('📅 Calendrier'!$D8,SEARCH("séance",'📅 Calendrier'!$D8)+7,2),"")</f>
        <v/>
      </c>
      <c r="H10" s="67" t="str">
        <f aca="false">IF(LEFT('📅 Calendrier'!$D9,2)="S5",MID('📅 Calendrier'!$D9,SEARCH("séance",'📅 Calendrier'!$D9)+7,2),"")</f>
        <v/>
      </c>
      <c r="I10" s="67" t="str">
        <f aca="false">IF(LEFT('📅 Calendrier'!$D10,2)="S5",MID('📅 Calendrier'!$D10,SEARCH("séance",'📅 Calendrier'!$D10)+7,2),"")</f>
        <v/>
      </c>
      <c r="J10" s="67" t="str">
        <f aca="false">IF(LEFT('📅 Calendrier'!$D11,2)="S5",MID('📅 Calendrier'!$D11,SEARCH("séance",'📅 Calendrier'!$D11)+7,2),"")</f>
        <v/>
      </c>
      <c r="K10" s="67" t="str">
        <f aca="false">IF(LEFT('📅 Calendrier'!$D13,2)="S5",MID('📅 Calendrier'!$D13,SEARCH("séance",'📅 Calendrier'!$D13)+7,2),"")</f>
        <v/>
      </c>
      <c r="L10" s="67" t="str">
        <f aca="false">IF(LEFT('📅 Calendrier'!$D14,2)="S5",MID('📅 Calendrier'!$D14,SEARCH("séance",'📅 Calendrier'!$D14)+7,2),"")</f>
        <v/>
      </c>
      <c r="M10" s="67" t="str">
        <f aca="false">IF(LEFT('📅 Calendrier'!$D15,2)="S5",MID('📅 Calendrier'!$D15,SEARCH("séance",'📅 Calendrier'!$D15)+7,2),"")</f>
        <v/>
      </c>
      <c r="N10" s="67" t="str">
        <f aca="false">IF(LEFT('📅 Calendrier'!$D16,2)="S5",MID('📅 Calendrier'!$D16,SEARCH("séance",'📅 Calendrier'!$D16)+7,2),"")</f>
        <v/>
      </c>
      <c r="O10" s="67" t="str">
        <f aca="false">IF(LEFT('📅 Calendrier'!$D17,2)="S5",MID('📅 Calendrier'!$D17,SEARCH("séance",'📅 Calendrier'!$D17)+7,2),"")</f>
        <v/>
      </c>
      <c r="P10" s="67" t="str">
        <f aca="false">IF(LEFT('📅 Calendrier'!$D18,2)="S5",MID('📅 Calendrier'!$D18,SEARCH("séance",'📅 Calendrier'!$D18)+7,2),"")</f>
        <v/>
      </c>
      <c r="Q10" s="67" t="str">
        <f aca="false">IF(LEFT('📅 Calendrier'!$D19,2)="S5",MID('📅 Calendrier'!$D19,SEARCH("séance",'📅 Calendrier'!$D19)+7,2),"")</f>
        <v/>
      </c>
      <c r="R10" s="67" t="str">
        <f aca="false">IF(LEFT('📅 Calendrier'!$D21,2)="S5",MID('📅 Calendrier'!$D21,SEARCH("séance",'📅 Calendrier'!$D21)+7,2),"")</f>
        <v>1</v>
      </c>
      <c r="S10" s="67" t="str">
        <f aca="false">IF(LEFT('📅 Calendrier'!$D22,2)="S5",MID('📅 Calendrier'!$D22,SEARCH("séance",'📅 Calendrier'!$D22)+7,2),"")</f>
        <v>2</v>
      </c>
      <c r="T10" s="67" t="str">
        <f aca="false">IF(LEFT('📅 Calendrier'!$D23,2)="S5",MID('📅 Calendrier'!$D23,SEARCH("séance",'📅 Calendrier'!$D23)+7,2),"")</f>
        <v>3</v>
      </c>
      <c r="U10" s="67" t="str">
        <f aca="false">IF(LEFT('📅 Calendrier'!$D24,2)="S5",MID('📅 Calendrier'!$D24,SEARCH("séance",'📅 Calendrier'!$D24)+7,2),"")</f>
        <v/>
      </c>
      <c r="V10" s="67" t="str">
        <f aca="false">IF(LEFT('📅 Calendrier'!$D25,2)="S5",MID('📅 Calendrier'!$D25,SEARCH("séance",'📅 Calendrier'!$D25)+7,2),"")</f>
        <v/>
      </c>
      <c r="W10" s="67" t="str">
        <f aca="false">IF(LEFT('📅 Calendrier'!$D27,2)="S5",MID('📅 Calendrier'!$D27,SEARCH("séance",'📅 Calendrier'!$D27)+7,2),"")</f>
        <v/>
      </c>
      <c r="X10" s="67" t="str">
        <f aca="false">IF(LEFT('📅 Calendrier'!$D28,2)="S5",MID('📅 Calendrier'!$D28,SEARCH("séance",'📅 Calendrier'!$D28)+7,2),"")</f>
        <v/>
      </c>
      <c r="Y10" s="67" t="str">
        <f aca="false">IF(LEFT('📅 Calendrier'!$D29,2)="S5",MID('📅 Calendrier'!$D29,SEARCH("séance",'📅 Calendrier'!$D29)+7,2),"")</f>
        <v/>
      </c>
      <c r="Z10" s="67" t="str">
        <f aca="false">IF(LEFT('📅 Calendrier'!$D30,2)="S5",MID('📅 Calendrier'!$D30,SEARCH("séance",'📅 Calendrier'!$D30)+7,2),"")</f>
        <v/>
      </c>
      <c r="AA10" s="67" t="str">
        <f aca="false">IF(LEFT('📅 Calendrier'!$D31,2)="S5",MID('📅 Calendrier'!$D31,SEARCH("séance",'📅 Calendrier'!$D31)+7,2),"")</f>
        <v/>
      </c>
      <c r="AB10" s="67" t="str">
        <f aca="false">IF(LEFT('📅 Calendrier'!$D32,2)="S5",MID('📅 Calendrier'!$D32,SEARCH("séance",'📅 Calendrier'!$D32)+7,2),"")</f>
        <v/>
      </c>
      <c r="AC10" s="67" t="str">
        <f aca="false">IF(LEFT('📅 Calendrier'!$D33,2)="S5",MID('📅 Calendrier'!$D33,SEARCH("séance",'📅 Calendrier'!$D33)+7,2),"")</f>
        <v/>
      </c>
      <c r="AD10" s="67" t="str">
        <f aca="false">IF(LEFT('📅 Calendrier'!$D34,2)="S5",MID('📅 Calendrier'!$D34,SEARCH("séance",'📅 Calendrier'!$D34)+7,2),"")</f>
        <v/>
      </c>
      <c r="AE10" s="67" t="str">
        <f aca="false">IF(LEFT('📅 Calendrier'!$D36,2)="S5",MID('📅 Calendrier'!$D36,SEARCH("séance",'📅 Calendrier'!$D36)+7,2),"")</f>
        <v/>
      </c>
      <c r="AF10" s="67" t="str">
        <f aca="false">IF(LEFT('📅 Calendrier'!$D37,2)="S5",MID('📅 Calendrier'!$D37,SEARCH("séance",'📅 Calendrier'!$D37)+7,2),"")</f>
        <v/>
      </c>
      <c r="AG10" s="67" t="str">
        <f aca="false">IF(LEFT('📅 Calendrier'!$D38,2)="S5",MID('📅 Calendrier'!$D38,SEARCH("séance",'📅 Calendrier'!$D38)+7,2),"")</f>
        <v/>
      </c>
      <c r="AH10" s="67" t="str">
        <f aca="false">IF(LEFT('📅 Calendrier'!$D39,2)="S5",MID('📅 Calendrier'!$D39,SEARCH("séance",'📅 Calendrier'!$D39)+7,2),"")</f>
        <v/>
      </c>
      <c r="AI10" s="67" t="str">
        <f aca="false">IF(LEFT('📅 Calendrier'!$D40,2)="S5",MID('📅 Calendrier'!$D40,SEARCH("séance",'📅 Calendrier'!$D40)+7,2),"")</f>
        <v/>
      </c>
      <c r="AJ10" s="67" t="str">
        <f aca="false">IF(LEFT('📅 Calendrier'!$D41,2)="S5",MID('📅 Calendrier'!$D41,SEARCH("séance",'📅 Calendrier'!$D41)+7,2),"")</f>
        <v/>
      </c>
      <c r="AK10" s="67" t="str">
        <f aca="false">IF(LEFT('📅 Calendrier'!$D42,2)="S5",MID('📅 Calendrier'!$D42,SEARCH("séance",'📅 Calendrier'!$D42)+7,2),"")</f>
        <v/>
      </c>
      <c r="AL10" s="67" t="str">
        <f aca="false">IF(LEFT('📅 Calendrier'!$D43,2)="S5",MID('📅 Calendrier'!$D43,SEARCH("séance",'📅 Calendrier'!$D43)+7,2),"")</f>
        <v/>
      </c>
      <c r="AM10" s="67" t="str">
        <f aca="false">IF(LEFT('📅 Calendrier'!$D44,2)="S5",MID('📅 Calendrier'!$D44,SEARCH("séance",'📅 Calendrier'!$D44)+7,2),"")</f>
        <v/>
      </c>
    </row>
    <row r="11" customFormat="false" ht="15" hidden="false" customHeight="true" outlineLevel="0" collapsed="false">
      <c r="B11" s="68" t="s">
        <v>211</v>
      </c>
      <c r="C11" s="67" t="str">
        <f aca="false">IF(LEFT('📅 Calendrier'!$D4,2)="S6",MID('📅 Calendrier'!$D4,SEARCH("séance",'📅 Calendrier'!$D4)+7,2),"")</f>
        <v/>
      </c>
      <c r="D11" s="67" t="str">
        <f aca="false">IF(LEFT('📅 Calendrier'!$D5,2)="S6",MID('📅 Calendrier'!$D5,SEARCH("séance",'📅 Calendrier'!$D5)+7,2),"")</f>
        <v/>
      </c>
      <c r="E11" s="67" t="str">
        <f aca="false">IF(LEFT('📅 Calendrier'!$D6,2)="S6",MID('📅 Calendrier'!$D6,SEARCH("séance",'📅 Calendrier'!$D6)+7,2),"")</f>
        <v/>
      </c>
      <c r="F11" s="67" t="str">
        <f aca="false">IF(LEFT('📅 Calendrier'!$D7,2)="S6",MID('📅 Calendrier'!$D7,SEARCH("séance",'📅 Calendrier'!$D7)+7,2),"")</f>
        <v/>
      </c>
      <c r="G11" s="67" t="str">
        <f aca="false">IF(LEFT('📅 Calendrier'!$D8,2)="S6",MID('📅 Calendrier'!$D8,SEARCH("séance",'📅 Calendrier'!$D8)+7,2),"")</f>
        <v/>
      </c>
      <c r="H11" s="67" t="str">
        <f aca="false">IF(LEFT('📅 Calendrier'!$D9,2)="S6",MID('📅 Calendrier'!$D9,SEARCH("séance",'📅 Calendrier'!$D9)+7,2),"")</f>
        <v/>
      </c>
      <c r="I11" s="67" t="str">
        <f aca="false">IF(LEFT('📅 Calendrier'!$D10,2)="S6",MID('📅 Calendrier'!$D10,SEARCH("séance",'📅 Calendrier'!$D10)+7,2),"")</f>
        <v/>
      </c>
      <c r="J11" s="67" t="str">
        <f aca="false">IF(LEFT('📅 Calendrier'!$D11,2)="S6",MID('📅 Calendrier'!$D11,SEARCH("séance",'📅 Calendrier'!$D11)+7,2),"")</f>
        <v/>
      </c>
      <c r="K11" s="67" t="str">
        <f aca="false">IF(LEFT('📅 Calendrier'!$D13,2)="S6",MID('📅 Calendrier'!$D13,SEARCH("séance",'📅 Calendrier'!$D13)+7,2),"")</f>
        <v/>
      </c>
      <c r="L11" s="67" t="str">
        <f aca="false">IF(LEFT('📅 Calendrier'!$D14,2)="S6",MID('📅 Calendrier'!$D14,SEARCH("séance",'📅 Calendrier'!$D14)+7,2),"")</f>
        <v/>
      </c>
      <c r="M11" s="67" t="str">
        <f aca="false">IF(LEFT('📅 Calendrier'!$D15,2)="S6",MID('📅 Calendrier'!$D15,SEARCH("séance",'📅 Calendrier'!$D15)+7,2),"")</f>
        <v/>
      </c>
      <c r="N11" s="67" t="str">
        <f aca="false">IF(LEFT('📅 Calendrier'!$D16,2)="S6",MID('📅 Calendrier'!$D16,SEARCH("séance",'📅 Calendrier'!$D16)+7,2),"")</f>
        <v/>
      </c>
      <c r="O11" s="67" t="str">
        <f aca="false">IF(LEFT('📅 Calendrier'!$D17,2)="S6",MID('📅 Calendrier'!$D17,SEARCH("séance",'📅 Calendrier'!$D17)+7,2),"")</f>
        <v/>
      </c>
      <c r="P11" s="67" t="str">
        <f aca="false">IF(LEFT('📅 Calendrier'!$D18,2)="S6",MID('📅 Calendrier'!$D18,SEARCH("séance",'📅 Calendrier'!$D18)+7,2),"")</f>
        <v/>
      </c>
      <c r="Q11" s="67" t="str">
        <f aca="false">IF(LEFT('📅 Calendrier'!$D19,2)="S6",MID('📅 Calendrier'!$D19,SEARCH("séance",'📅 Calendrier'!$D19)+7,2),"")</f>
        <v/>
      </c>
      <c r="R11" s="67" t="str">
        <f aca="false">IF(LEFT('📅 Calendrier'!$D21,2)="S6",MID('📅 Calendrier'!$D21,SEARCH("séance",'📅 Calendrier'!$D21)+7,2),"")</f>
        <v/>
      </c>
      <c r="S11" s="67" t="str">
        <f aca="false">IF(LEFT('📅 Calendrier'!$D22,2)="S6",MID('📅 Calendrier'!$D22,SEARCH("séance",'📅 Calendrier'!$D22)+7,2),"")</f>
        <v/>
      </c>
      <c r="T11" s="67" t="str">
        <f aca="false">IF(LEFT('📅 Calendrier'!$D23,2)="S6",MID('📅 Calendrier'!$D23,SEARCH("séance",'📅 Calendrier'!$D23)+7,2),"")</f>
        <v/>
      </c>
      <c r="U11" s="67" t="str">
        <f aca="false">IF(LEFT('📅 Calendrier'!$D24,2)="S6",MID('📅 Calendrier'!$D24,SEARCH("séance",'📅 Calendrier'!$D24)+7,2),"")</f>
        <v>1</v>
      </c>
      <c r="V11" s="67" t="str">
        <f aca="false">IF(LEFT('📅 Calendrier'!$D25,2)="S6",MID('📅 Calendrier'!$D25,SEARCH("séance",'📅 Calendrier'!$D25)+7,2),"")</f>
        <v/>
      </c>
      <c r="W11" s="67" t="str">
        <f aca="false">IF(LEFT('📅 Calendrier'!$D27,2)="S6",MID('📅 Calendrier'!$D27,SEARCH("séance",'📅 Calendrier'!$D27)+7,2),"")</f>
        <v>2</v>
      </c>
      <c r="X11" s="67" t="str">
        <f aca="false">IF(LEFT('📅 Calendrier'!$D28,2)="S6",MID('📅 Calendrier'!$D28,SEARCH("séance",'📅 Calendrier'!$D28)+7,2),"")</f>
        <v>3</v>
      </c>
      <c r="Y11" s="67" t="str">
        <f aca="false">IF(LEFT('📅 Calendrier'!$D29,2)="S6",MID('📅 Calendrier'!$D29,SEARCH("séance",'📅 Calendrier'!$D29)+7,2),"")</f>
        <v>4</v>
      </c>
      <c r="Z11" s="67" t="str">
        <f aca="false">IF(LEFT('📅 Calendrier'!$D30,2)="S6",MID('📅 Calendrier'!$D30,SEARCH("séance",'📅 Calendrier'!$D30)+7,2),"")</f>
        <v/>
      </c>
      <c r="AA11" s="67" t="str">
        <f aca="false">IF(LEFT('📅 Calendrier'!$D31,2)="S6",MID('📅 Calendrier'!$D31,SEARCH("séance",'📅 Calendrier'!$D31)+7,2),"")</f>
        <v/>
      </c>
      <c r="AB11" s="67" t="str">
        <f aca="false">IF(LEFT('📅 Calendrier'!$D32,2)="S6",MID('📅 Calendrier'!$D32,SEARCH("séance",'📅 Calendrier'!$D32)+7,2),"")</f>
        <v/>
      </c>
      <c r="AC11" s="67" t="str">
        <f aca="false">IF(LEFT('📅 Calendrier'!$D33,2)="S6",MID('📅 Calendrier'!$D33,SEARCH("séance",'📅 Calendrier'!$D33)+7,2),"")</f>
        <v/>
      </c>
      <c r="AD11" s="67" t="str">
        <f aca="false">IF(LEFT('📅 Calendrier'!$D34,2)="S6",MID('📅 Calendrier'!$D34,SEARCH("séance",'📅 Calendrier'!$D34)+7,2),"")</f>
        <v/>
      </c>
      <c r="AE11" s="67" t="str">
        <f aca="false">IF(LEFT('📅 Calendrier'!$D36,2)="S6",MID('📅 Calendrier'!$D36,SEARCH("séance",'📅 Calendrier'!$D36)+7,2),"")</f>
        <v/>
      </c>
      <c r="AF11" s="67" t="str">
        <f aca="false">IF(LEFT('📅 Calendrier'!$D37,2)="S6",MID('📅 Calendrier'!$D37,SEARCH("séance",'📅 Calendrier'!$D37)+7,2),"")</f>
        <v/>
      </c>
      <c r="AG11" s="67" t="str">
        <f aca="false">IF(LEFT('📅 Calendrier'!$D38,2)="S6",MID('📅 Calendrier'!$D38,SEARCH("séance",'📅 Calendrier'!$D38)+7,2),"")</f>
        <v/>
      </c>
      <c r="AH11" s="67" t="str">
        <f aca="false">IF(LEFT('📅 Calendrier'!$D39,2)="S6",MID('📅 Calendrier'!$D39,SEARCH("séance",'📅 Calendrier'!$D39)+7,2),"")</f>
        <v/>
      </c>
      <c r="AI11" s="67" t="str">
        <f aca="false">IF(LEFT('📅 Calendrier'!$D40,2)="S6",MID('📅 Calendrier'!$D40,SEARCH("séance",'📅 Calendrier'!$D40)+7,2),"")</f>
        <v/>
      </c>
      <c r="AJ11" s="67" t="str">
        <f aca="false">IF(LEFT('📅 Calendrier'!$D41,2)="S6",MID('📅 Calendrier'!$D41,SEARCH("séance",'📅 Calendrier'!$D41)+7,2),"")</f>
        <v/>
      </c>
      <c r="AK11" s="67" t="str">
        <f aca="false">IF(LEFT('📅 Calendrier'!$D42,2)="S6",MID('📅 Calendrier'!$D42,SEARCH("séance",'📅 Calendrier'!$D42)+7,2),"")</f>
        <v/>
      </c>
      <c r="AL11" s="67" t="str">
        <f aca="false">IF(LEFT('📅 Calendrier'!$D43,2)="S6",MID('📅 Calendrier'!$D43,SEARCH("séance",'📅 Calendrier'!$D43)+7,2),"")</f>
        <v/>
      </c>
      <c r="AM11" s="67" t="str">
        <f aca="false">IF(LEFT('📅 Calendrier'!$D44,2)="S6",MID('📅 Calendrier'!$D44,SEARCH("séance",'📅 Calendrier'!$D44)+7,2),"")</f>
        <v/>
      </c>
    </row>
    <row r="12" customFormat="false" ht="15" hidden="false" customHeight="true" outlineLevel="0" collapsed="false">
      <c r="B12" s="69" t="s">
        <v>212</v>
      </c>
      <c r="C12" s="67" t="str">
        <f aca="false">IF(LEFT('📅 Calendrier'!$D4,2)="S7",MID('📅 Calendrier'!$D4,SEARCH("séance",'📅 Calendrier'!$D4)+7,2),"")</f>
        <v/>
      </c>
      <c r="D12" s="67" t="str">
        <f aca="false">IF(LEFT('📅 Calendrier'!$D5,2)="S7",MID('📅 Calendrier'!$D5,SEARCH("séance",'📅 Calendrier'!$D5)+7,2),"")</f>
        <v/>
      </c>
      <c r="E12" s="67" t="str">
        <f aca="false">IF(LEFT('📅 Calendrier'!$D6,2)="S7",MID('📅 Calendrier'!$D6,SEARCH("séance",'📅 Calendrier'!$D6)+7,2),"")</f>
        <v/>
      </c>
      <c r="F12" s="67" t="str">
        <f aca="false">IF(LEFT('📅 Calendrier'!$D7,2)="S7",MID('📅 Calendrier'!$D7,SEARCH("séance",'📅 Calendrier'!$D7)+7,2),"")</f>
        <v/>
      </c>
      <c r="G12" s="67" t="str">
        <f aca="false">IF(LEFT('📅 Calendrier'!$D8,2)="S7",MID('📅 Calendrier'!$D8,SEARCH("séance",'📅 Calendrier'!$D8)+7,2),"")</f>
        <v/>
      </c>
      <c r="H12" s="67" t="str">
        <f aca="false">IF(LEFT('📅 Calendrier'!$D9,2)="S7",MID('📅 Calendrier'!$D9,SEARCH("séance",'📅 Calendrier'!$D9)+7,2),"")</f>
        <v/>
      </c>
      <c r="I12" s="67" t="str">
        <f aca="false">IF(LEFT('📅 Calendrier'!$D10,2)="S7",MID('📅 Calendrier'!$D10,SEARCH("séance",'📅 Calendrier'!$D10)+7,2),"")</f>
        <v/>
      </c>
      <c r="J12" s="67" t="str">
        <f aca="false">IF(LEFT('📅 Calendrier'!$D11,2)="S7",MID('📅 Calendrier'!$D11,SEARCH("séance",'📅 Calendrier'!$D11)+7,2),"")</f>
        <v/>
      </c>
      <c r="K12" s="67" t="str">
        <f aca="false">IF(LEFT('📅 Calendrier'!$D13,2)="S7",MID('📅 Calendrier'!$D13,SEARCH("séance",'📅 Calendrier'!$D13)+7,2),"")</f>
        <v/>
      </c>
      <c r="L12" s="67" t="str">
        <f aca="false">IF(LEFT('📅 Calendrier'!$D14,2)="S7",MID('📅 Calendrier'!$D14,SEARCH("séance",'📅 Calendrier'!$D14)+7,2),"")</f>
        <v/>
      </c>
      <c r="M12" s="67" t="str">
        <f aca="false">IF(LEFT('📅 Calendrier'!$D15,2)="S7",MID('📅 Calendrier'!$D15,SEARCH("séance",'📅 Calendrier'!$D15)+7,2),"")</f>
        <v/>
      </c>
      <c r="N12" s="67" t="str">
        <f aca="false">IF(LEFT('📅 Calendrier'!$D16,2)="S7",MID('📅 Calendrier'!$D16,SEARCH("séance",'📅 Calendrier'!$D16)+7,2),"")</f>
        <v/>
      </c>
      <c r="O12" s="67" t="str">
        <f aca="false">IF(LEFT('📅 Calendrier'!$D17,2)="S7",MID('📅 Calendrier'!$D17,SEARCH("séance",'📅 Calendrier'!$D17)+7,2),"")</f>
        <v/>
      </c>
      <c r="P12" s="67" t="str">
        <f aca="false">IF(LEFT('📅 Calendrier'!$D18,2)="S7",MID('📅 Calendrier'!$D18,SEARCH("séance",'📅 Calendrier'!$D18)+7,2),"")</f>
        <v/>
      </c>
      <c r="Q12" s="67" t="str">
        <f aca="false">IF(LEFT('📅 Calendrier'!$D19,2)="S7",MID('📅 Calendrier'!$D19,SEARCH("séance",'📅 Calendrier'!$D19)+7,2),"")</f>
        <v/>
      </c>
      <c r="R12" s="67" t="str">
        <f aca="false">IF(LEFT('📅 Calendrier'!$D21,2)="S7",MID('📅 Calendrier'!$D21,SEARCH("séance",'📅 Calendrier'!$D21)+7,2),"")</f>
        <v/>
      </c>
      <c r="S12" s="67" t="str">
        <f aca="false">IF(LEFT('📅 Calendrier'!$D22,2)="S7",MID('📅 Calendrier'!$D22,SEARCH("séance",'📅 Calendrier'!$D22)+7,2),"")</f>
        <v/>
      </c>
      <c r="T12" s="67" t="str">
        <f aca="false">IF(LEFT('📅 Calendrier'!$D23,2)="S7",MID('📅 Calendrier'!$D23,SEARCH("séance",'📅 Calendrier'!$D23)+7,2),"")</f>
        <v/>
      </c>
      <c r="U12" s="67" t="str">
        <f aca="false">IF(LEFT('📅 Calendrier'!$D24,2)="S7",MID('📅 Calendrier'!$D24,SEARCH("séance",'📅 Calendrier'!$D24)+7,2),"")</f>
        <v/>
      </c>
      <c r="V12" s="67" t="str">
        <f aca="false">IF(LEFT('📅 Calendrier'!$D25,2)="S7",MID('📅 Calendrier'!$D25,SEARCH("séance",'📅 Calendrier'!$D25)+7,2),"")</f>
        <v/>
      </c>
      <c r="W12" s="67" t="str">
        <f aca="false">IF(LEFT('📅 Calendrier'!$D27,2)="S7",MID('📅 Calendrier'!$D27,SEARCH("séance",'📅 Calendrier'!$D27)+7,2),"")</f>
        <v/>
      </c>
      <c r="X12" s="67" t="str">
        <f aca="false">IF(LEFT('📅 Calendrier'!$D28,2)="S7",MID('📅 Calendrier'!$D28,SEARCH("séance",'📅 Calendrier'!$D28)+7,2),"")</f>
        <v/>
      </c>
      <c r="Y12" s="67" t="str">
        <f aca="false">IF(LEFT('📅 Calendrier'!$D29,2)="S7",MID('📅 Calendrier'!$D29,SEARCH("séance",'📅 Calendrier'!$D29)+7,2),"")</f>
        <v/>
      </c>
      <c r="Z12" s="67" t="str">
        <f aca="false">IF(LEFT('📅 Calendrier'!$D30,2)="S7",MID('📅 Calendrier'!$D30,SEARCH("séance",'📅 Calendrier'!$D30)+7,2),"")</f>
        <v>1</v>
      </c>
      <c r="AA12" s="67" t="str">
        <f aca="false">IF(LEFT('📅 Calendrier'!$D31,2)="S7",MID('📅 Calendrier'!$D31,SEARCH("séance",'📅 Calendrier'!$D31)+7,2),"")</f>
        <v>2</v>
      </c>
      <c r="AB12" s="67" t="str">
        <f aca="false">IF(LEFT('📅 Calendrier'!$D32,2)="S7",MID('📅 Calendrier'!$D32,SEARCH("séance",'📅 Calendrier'!$D32)+7,2),"")</f>
        <v>3</v>
      </c>
      <c r="AC12" s="67" t="str">
        <f aca="false">IF(LEFT('📅 Calendrier'!$D33,2)="S7",MID('📅 Calendrier'!$D33,SEARCH("séance",'📅 Calendrier'!$D33)+7,2),"")</f>
        <v/>
      </c>
      <c r="AD12" s="67" t="str">
        <f aca="false">IF(LEFT('📅 Calendrier'!$D34,2)="S7",MID('📅 Calendrier'!$D34,SEARCH("séance",'📅 Calendrier'!$D34)+7,2),"")</f>
        <v/>
      </c>
      <c r="AE12" s="67" t="str">
        <f aca="false">IF(LEFT('📅 Calendrier'!$D36,2)="S7",MID('📅 Calendrier'!$D36,SEARCH("séance",'📅 Calendrier'!$D36)+7,2),"")</f>
        <v/>
      </c>
      <c r="AF12" s="67" t="str">
        <f aca="false">IF(LEFT('📅 Calendrier'!$D37,2)="S7",MID('📅 Calendrier'!$D37,SEARCH("séance",'📅 Calendrier'!$D37)+7,2),"")</f>
        <v/>
      </c>
      <c r="AG12" s="67" t="str">
        <f aca="false">IF(LEFT('📅 Calendrier'!$D38,2)="S7",MID('📅 Calendrier'!$D38,SEARCH("séance",'📅 Calendrier'!$D38)+7,2),"")</f>
        <v/>
      </c>
      <c r="AH12" s="67" t="str">
        <f aca="false">IF(LEFT('📅 Calendrier'!$D39,2)="S7",MID('📅 Calendrier'!$D39,SEARCH("séance",'📅 Calendrier'!$D39)+7,2),"")</f>
        <v/>
      </c>
      <c r="AI12" s="67" t="str">
        <f aca="false">IF(LEFT('📅 Calendrier'!$D40,2)="S7",MID('📅 Calendrier'!$D40,SEARCH("séance",'📅 Calendrier'!$D40)+7,2),"")</f>
        <v/>
      </c>
      <c r="AJ12" s="67" t="str">
        <f aca="false">IF(LEFT('📅 Calendrier'!$D41,2)="S7",MID('📅 Calendrier'!$D41,SEARCH("séance",'📅 Calendrier'!$D41)+7,2),"")</f>
        <v/>
      </c>
      <c r="AK12" s="67" t="str">
        <f aca="false">IF(LEFT('📅 Calendrier'!$D42,2)="S7",MID('📅 Calendrier'!$D42,SEARCH("séance",'📅 Calendrier'!$D42)+7,2),"")</f>
        <v/>
      </c>
      <c r="AL12" s="67" t="str">
        <f aca="false">IF(LEFT('📅 Calendrier'!$D43,2)="S7",MID('📅 Calendrier'!$D43,SEARCH("séance",'📅 Calendrier'!$D43)+7,2),"")</f>
        <v/>
      </c>
      <c r="AM12" s="67" t="str">
        <f aca="false">IF(LEFT('📅 Calendrier'!$D44,2)="S7",MID('📅 Calendrier'!$D44,SEARCH("séance",'📅 Calendrier'!$D44)+7,2),"")</f>
        <v/>
      </c>
    </row>
    <row r="13" customFormat="false" ht="15" hidden="false" customHeight="true" outlineLevel="0" collapsed="false">
      <c r="B13" s="69" t="s">
        <v>213</v>
      </c>
      <c r="C13" s="67" t="str">
        <f aca="false">IF(LEFT('📅 Calendrier'!$D4,2)="S8",MID('📅 Calendrier'!$D4,SEARCH("séance",'📅 Calendrier'!$D4)+7,2),"")</f>
        <v/>
      </c>
      <c r="D13" s="67" t="str">
        <f aca="false">IF(LEFT('📅 Calendrier'!$D5,2)="S8",MID('📅 Calendrier'!$D5,SEARCH("séance",'📅 Calendrier'!$D5)+7,2),"")</f>
        <v/>
      </c>
      <c r="E13" s="67" t="str">
        <f aca="false">IF(LEFT('📅 Calendrier'!$D6,2)="S8",MID('📅 Calendrier'!$D6,SEARCH("séance",'📅 Calendrier'!$D6)+7,2),"")</f>
        <v/>
      </c>
      <c r="F13" s="67" t="str">
        <f aca="false">IF(LEFT('📅 Calendrier'!$D7,2)="S8",MID('📅 Calendrier'!$D7,SEARCH("séance",'📅 Calendrier'!$D7)+7,2),"")</f>
        <v/>
      </c>
      <c r="G13" s="67" t="str">
        <f aca="false">IF(LEFT('📅 Calendrier'!$D8,2)="S8",MID('📅 Calendrier'!$D8,SEARCH("séance",'📅 Calendrier'!$D8)+7,2),"")</f>
        <v/>
      </c>
      <c r="H13" s="67" t="str">
        <f aca="false">IF(LEFT('📅 Calendrier'!$D9,2)="S8",MID('📅 Calendrier'!$D9,SEARCH("séance",'📅 Calendrier'!$D9)+7,2),"")</f>
        <v/>
      </c>
      <c r="I13" s="67" t="str">
        <f aca="false">IF(LEFT('📅 Calendrier'!$D10,2)="S8",MID('📅 Calendrier'!$D10,SEARCH("séance",'📅 Calendrier'!$D10)+7,2),"")</f>
        <v/>
      </c>
      <c r="J13" s="67" t="str">
        <f aca="false">IF(LEFT('📅 Calendrier'!$D11,2)="S8",MID('📅 Calendrier'!$D11,SEARCH("séance",'📅 Calendrier'!$D11)+7,2),"")</f>
        <v/>
      </c>
      <c r="K13" s="67" t="str">
        <f aca="false">IF(LEFT('📅 Calendrier'!$D13,2)="S8",MID('📅 Calendrier'!$D13,SEARCH("séance",'📅 Calendrier'!$D13)+7,2),"")</f>
        <v/>
      </c>
      <c r="L13" s="67" t="str">
        <f aca="false">IF(LEFT('📅 Calendrier'!$D14,2)="S8",MID('📅 Calendrier'!$D14,SEARCH("séance",'📅 Calendrier'!$D14)+7,2),"")</f>
        <v/>
      </c>
      <c r="M13" s="67" t="str">
        <f aca="false">IF(LEFT('📅 Calendrier'!$D15,2)="S8",MID('📅 Calendrier'!$D15,SEARCH("séance",'📅 Calendrier'!$D15)+7,2),"")</f>
        <v/>
      </c>
      <c r="N13" s="67" t="str">
        <f aca="false">IF(LEFT('📅 Calendrier'!$D16,2)="S8",MID('📅 Calendrier'!$D16,SEARCH("séance",'📅 Calendrier'!$D16)+7,2),"")</f>
        <v/>
      </c>
      <c r="O13" s="67" t="str">
        <f aca="false">IF(LEFT('📅 Calendrier'!$D17,2)="S8",MID('📅 Calendrier'!$D17,SEARCH("séance",'📅 Calendrier'!$D17)+7,2),"")</f>
        <v/>
      </c>
      <c r="P13" s="67" t="str">
        <f aca="false">IF(LEFT('📅 Calendrier'!$D18,2)="S8",MID('📅 Calendrier'!$D18,SEARCH("séance",'📅 Calendrier'!$D18)+7,2),"")</f>
        <v/>
      </c>
      <c r="Q13" s="67" t="str">
        <f aca="false">IF(LEFT('📅 Calendrier'!$D19,2)="S8",MID('📅 Calendrier'!$D19,SEARCH("séance",'📅 Calendrier'!$D19)+7,2),"")</f>
        <v/>
      </c>
      <c r="R13" s="67" t="str">
        <f aca="false">IF(LEFT('📅 Calendrier'!$D21,2)="S8",MID('📅 Calendrier'!$D21,SEARCH("séance",'📅 Calendrier'!$D21)+7,2),"")</f>
        <v/>
      </c>
      <c r="S13" s="67" t="str">
        <f aca="false">IF(LEFT('📅 Calendrier'!$D22,2)="S8",MID('📅 Calendrier'!$D22,SEARCH("séance",'📅 Calendrier'!$D22)+7,2),"")</f>
        <v/>
      </c>
      <c r="T13" s="67" t="str">
        <f aca="false">IF(LEFT('📅 Calendrier'!$D23,2)="S8",MID('📅 Calendrier'!$D23,SEARCH("séance",'📅 Calendrier'!$D23)+7,2),"")</f>
        <v/>
      </c>
      <c r="U13" s="67" t="str">
        <f aca="false">IF(LEFT('📅 Calendrier'!$D24,2)="S8",MID('📅 Calendrier'!$D24,SEARCH("séance",'📅 Calendrier'!$D24)+7,2),"")</f>
        <v/>
      </c>
      <c r="V13" s="67" t="str">
        <f aca="false">IF(LEFT('📅 Calendrier'!$D25,2)="S8",MID('📅 Calendrier'!$D25,SEARCH("séance",'📅 Calendrier'!$D25)+7,2),"")</f>
        <v/>
      </c>
      <c r="W13" s="67" t="str">
        <f aca="false">IF(LEFT('📅 Calendrier'!$D27,2)="S8",MID('📅 Calendrier'!$D27,SEARCH("séance",'📅 Calendrier'!$D27)+7,2),"")</f>
        <v/>
      </c>
      <c r="X13" s="67" t="str">
        <f aca="false">IF(LEFT('📅 Calendrier'!$D28,2)="S8",MID('📅 Calendrier'!$D28,SEARCH("séance",'📅 Calendrier'!$D28)+7,2),"")</f>
        <v/>
      </c>
      <c r="Y13" s="67" t="str">
        <f aca="false">IF(LEFT('📅 Calendrier'!$D29,2)="S8",MID('📅 Calendrier'!$D29,SEARCH("séance",'📅 Calendrier'!$D29)+7,2),"")</f>
        <v/>
      </c>
      <c r="Z13" s="67" t="str">
        <f aca="false">IF(LEFT('📅 Calendrier'!$D30,2)="S8",MID('📅 Calendrier'!$D30,SEARCH("séance",'📅 Calendrier'!$D30)+7,2),"")</f>
        <v/>
      </c>
      <c r="AA13" s="67" t="str">
        <f aca="false">IF(LEFT('📅 Calendrier'!$D31,2)="S8",MID('📅 Calendrier'!$D31,SEARCH("séance",'📅 Calendrier'!$D31)+7,2),"")</f>
        <v/>
      </c>
      <c r="AB13" s="67" t="str">
        <f aca="false">IF(LEFT('📅 Calendrier'!$D32,2)="S8",MID('📅 Calendrier'!$D32,SEARCH("séance",'📅 Calendrier'!$D32)+7,2),"")</f>
        <v/>
      </c>
      <c r="AC13" s="67" t="str">
        <f aca="false">IF(LEFT('📅 Calendrier'!$D33,2)="S8",MID('📅 Calendrier'!$D33,SEARCH("séance",'📅 Calendrier'!$D33)+7,2),"")</f>
        <v>1</v>
      </c>
      <c r="AD13" s="67" t="str">
        <f aca="false">IF(LEFT('📅 Calendrier'!$D34,2)="S8",MID('📅 Calendrier'!$D34,SEARCH("séance",'📅 Calendrier'!$D34)+7,2),"")</f>
        <v/>
      </c>
      <c r="AE13" s="67" t="str">
        <f aca="false">IF(LEFT('📅 Calendrier'!$D36,2)="S8",MID('📅 Calendrier'!$D36,SEARCH("séance",'📅 Calendrier'!$D36)+7,2),"")</f>
        <v>2</v>
      </c>
      <c r="AF13" s="67" t="str">
        <f aca="false">IF(LEFT('📅 Calendrier'!$D37,2)="S8",MID('📅 Calendrier'!$D37,SEARCH("séance",'📅 Calendrier'!$D37)+7,2),"")</f>
        <v>3</v>
      </c>
      <c r="AG13" s="67" t="str">
        <f aca="false">IF(LEFT('📅 Calendrier'!$D38,2)="S8",MID('📅 Calendrier'!$D38,SEARCH("séance",'📅 Calendrier'!$D38)+7,2),"")</f>
        <v>4</v>
      </c>
      <c r="AH13" s="67" t="str">
        <f aca="false">IF(LEFT('📅 Calendrier'!$D39,2)="S8",MID('📅 Calendrier'!$D39,SEARCH("séance",'📅 Calendrier'!$D39)+7,2),"")</f>
        <v/>
      </c>
      <c r="AI13" s="67" t="str">
        <f aca="false">IF(LEFT('📅 Calendrier'!$D40,2)="S8",MID('📅 Calendrier'!$D40,SEARCH("séance",'📅 Calendrier'!$D40)+7,2),"")</f>
        <v/>
      </c>
      <c r="AJ13" s="67" t="str">
        <f aca="false">IF(LEFT('📅 Calendrier'!$D41,2)="S8",MID('📅 Calendrier'!$D41,SEARCH("séance",'📅 Calendrier'!$D41)+7,2),"")</f>
        <v/>
      </c>
      <c r="AK13" s="67" t="str">
        <f aca="false">IF(LEFT('📅 Calendrier'!$D42,2)="S8",MID('📅 Calendrier'!$D42,SEARCH("séance",'📅 Calendrier'!$D42)+7,2),"")</f>
        <v/>
      </c>
      <c r="AL13" s="67" t="str">
        <f aca="false">IF(LEFT('📅 Calendrier'!$D43,2)="S8",MID('📅 Calendrier'!$D43,SEARCH("séance",'📅 Calendrier'!$D43)+7,2),"")</f>
        <v/>
      </c>
      <c r="AM13" s="67" t="str">
        <f aca="false">IF(LEFT('📅 Calendrier'!$D44,2)="S8",MID('📅 Calendrier'!$D44,SEARCH("séance",'📅 Calendrier'!$D44)+7,2),"")</f>
        <v/>
      </c>
    </row>
    <row r="14" customFormat="false" ht="15" hidden="false" customHeight="true" outlineLevel="0" collapsed="false">
      <c r="B14" s="69" t="s">
        <v>214</v>
      </c>
      <c r="C14" s="67" t="str">
        <f aca="false">IF(LEFT('📅 Calendrier'!$D4,2)="S9",MID('📅 Calendrier'!$D4,SEARCH("séance",'📅 Calendrier'!$D4)+7,2),"")</f>
        <v/>
      </c>
      <c r="D14" s="67" t="str">
        <f aca="false">IF(LEFT('📅 Calendrier'!$D5,2)="S9",MID('📅 Calendrier'!$D5,SEARCH("séance",'📅 Calendrier'!$D5)+7,2),"")</f>
        <v/>
      </c>
      <c r="E14" s="67" t="str">
        <f aca="false">IF(LEFT('📅 Calendrier'!$D6,2)="S9",MID('📅 Calendrier'!$D6,SEARCH("séance",'📅 Calendrier'!$D6)+7,2),"")</f>
        <v/>
      </c>
      <c r="F14" s="67" t="str">
        <f aca="false">IF(LEFT('📅 Calendrier'!$D7,2)="S9",MID('📅 Calendrier'!$D7,SEARCH("séance",'📅 Calendrier'!$D7)+7,2),"")</f>
        <v/>
      </c>
      <c r="G14" s="67" t="str">
        <f aca="false">IF(LEFT('📅 Calendrier'!$D8,2)="S9",MID('📅 Calendrier'!$D8,SEARCH("séance",'📅 Calendrier'!$D8)+7,2),"")</f>
        <v/>
      </c>
      <c r="H14" s="67" t="str">
        <f aca="false">IF(LEFT('📅 Calendrier'!$D9,2)="S9",MID('📅 Calendrier'!$D9,SEARCH("séance",'📅 Calendrier'!$D9)+7,2),"")</f>
        <v/>
      </c>
      <c r="I14" s="67" t="str">
        <f aca="false">IF(LEFT('📅 Calendrier'!$D10,2)="S9",MID('📅 Calendrier'!$D10,SEARCH("séance",'📅 Calendrier'!$D10)+7,2),"")</f>
        <v/>
      </c>
      <c r="J14" s="67" t="str">
        <f aca="false">IF(LEFT('📅 Calendrier'!$D11,2)="S9",MID('📅 Calendrier'!$D11,SEARCH("séance",'📅 Calendrier'!$D11)+7,2),"")</f>
        <v/>
      </c>
      <c r="K14" s="67" t="str">
        <f aca="false">IF(LEFT('📅 Calendrier'!$D13,2)="S9",MID('📅 Calendrier'!$D13,SEARCH("séance",'📅 Calendrier'!$D13)+7,2),"")</f>
        <v/>
      </c>
      <c r="L14" s="67" t="str">
        <f aca="false">IF(LEFT('📅 Calendrier'!$D14,2)="S9",MID('📅 Calendrier'!$D14,SEARCH("séance",'📅 Calendrier'!$D14)+7,2),"")</f>
        <v/>
      </c>
      <c r="M14" s="67" t="str">
        <f aca="false">IF(LEFT('📅 Calendrier'!$D15,2)="S9",MID('📅 Calendrier'!$D15,SEARCH("séance",'📅 Calendrier'!$D15)+7,2),"")</f>
        <v/>
      </c>
      <c r="N14" s="67" t="str">
        <f aca="false">IF(LEFT('📅 Calendrier'!$D16,2)="S9",MID('📅 Calendrier'!$D16,SEARCH("séance",'📅 Calendrier'!$D16)+7,2),"")</f>
        <v/>
      </c>
      <c r="O14" s="67" t="str">
        <f aca="false">IF(LEFT('📅 Calendrier'!$D17,2)="S9",MID('📅 Calendrier'!$D17,SEARCH("séance",'📅 Calendrier'!$D17)+7,2),"")</f>
        <v/>
      </c>
      <c r="P14" s="67" t="str">
        <f aca="false">IF(LEFT('📅 Calendrier'!$D18,2)="S9",MID('📅 Calendrier'!$D18,SEARCH("séance",'📅 Calendrier'!$D18)+7,2),"")</f>
        <v/>
      </c>
      <c r="Q14" s="67" t="str">
        <f aca="false">IF(LEFT('📅 Calendrier'!$D19,2)="S9",MID('📅 Calendrier'!$D19,SEARCH("séance",'📅 Calendrier'!$D19)+7,2),"")</f>
        <v/>
      </c>
      <c r="R14" s="67" t="str">
        <f aca="false">IF(LEFT('📅 Calendrier'!$D21,2)="S9",MID('📅 Calendrier'!$D21,SEARCH("séance",'📅 Calendrier'!$D21)+7,2),"")</f>
        <v/>
      </c>
      <c r="S14" s="67" t="str">
        <f aca="false">IF(LEFT('📅 Calendrier'!$D22,2)="S9",MID('📅 Calendrier'!$D22,SEARCH("séance",'📅 Calendrier'!$D22)+7,2),"")</f>
        <v/>
      </c>
      <c r="T14" s="67" t="str">
        <f aca="false">IF(LEFT('📅 Calendrier'!$D23,2)="S9",MID('📅 Calendrier'!$D23,SEARCH("séance",'📅 Calendrier'!$D23)+7,2),"")</f>
        <v/>
      </c>
      <c r="U14" s="67" t="str">
        <f aca="false">IF(LEFT('📅 Calendrier'!$D24,2)="S9",MID('📅 Calendrier'!$D24,SEARCH("séance",'📅 Calendrier'!$D24)+7,2),"")</f>
        <v/>
      </c>
      <c r="V14" s="67" t="str">
        <f aca="false">IF(LEFT('📅 Calendrier'!$D25,2)="S9",MID('📅 Calendrier'!$D25,SEARCH("séance",'📅 Calendrier'!$D25)+7,2),"")</f>
        <v/>
      </c>
      <c r="W14" s="67" t="str">
        <f aca="false">IF(LEFT('📅 Calendrier'!$D27,2)="S9",MID('📅 Calendrier'!$D27,SEARCH("séance",'📅 Calendrier'!$D27)+7,2),"")</f>
        <v/>
      </c>
      <c r="X14" s="67" t="str">
        <f aca="false">IF(LEFT('📅 Calendrier'!$D28,2)="S9",MID('📅 Calendrier'!$D28,SEARCH("séance",'📅 Calendrier'!$D28)+7,2),"")</f>
        <v/>
      </c>
      <c r="Y14" s="67" t="str">
        <f aca="false">IF(LEFT('📅 Calendrier'!$D29,2)="S9",MID('📅 Calendrier'!$D29,SEARCH("séance",'📅 Calendrier'!$D29)+7,2),"")</f>
        <v/>
      </c>
      <c r="Z14" s="67" t="str">
        <f aca="false">IF(LEFT('📅 Calendrier'!$D30,2)="S9",MID('📅 Calendrier'!$D30,SEARCH("séance",'📅 Calendrier'!$D30)+7,2),"")</f>
        <v/>
      </c>
      <c r="AA14" s="67" t="str">
        <f aca="false">IF(LEFT('📅 Calendrier'!$D31,2)="S9",MID('📅 Calendrier'!$D31,SEARCH("séance",'📅 Calendrier'!$D31)+7,2),"")</f>
        <v/>
      </c>
      <c r="AB14" s="67" t="str">
        <f aca="false">IF(LEFT('📅 Calendrier'!$D32,2)="S9",MID('📅 Calendrier'!$D32,SEARCH("séance",'📅 Calendrier'!$D32)+7,2),"")</f>
        <v/>
      </c>
      <c r="AC14" s="67" t="str">
        <f aca="false">IF(LEFT('📅 Calendrier'!$D33,2)="S9",MID('📅 Calendrier'!$D33,SEARCH("séance",'📅 Calendrier'!$D33)+7,2),"")</f>
        <v/>
      </c>
      <c r="AD14" s="67" t="str">
        <f aca="false">IF(LEFT('📅 Calendrier'!$D34,2)="S9",MID('📅 Calendrier'!$D34,SEARCH("séance",'📅 Calendrier'!$D34)+7,2),"")</f>
        <v/>
      </c>
      <c r="AE14" s="67" t="str">
        <f aca="false">IF(LEFT('📅 Calendrier'!$D36,2)="S9",MID('📅 Calendrier'!$D36,SEARCH("séance",'📅 Calendrier'!$D36)+7,2),"")</f>
        <v/>
      </c>
      <c r="AF14" s="67" t="str">
        <f aca="false">IF(LEFT('📅 Calendrier'!$D37,2)="S9",MID('📅 Calendrier'!$D37,SEARCH("séance",'📅 Calendrier'!$D37)+7,2),"")</f>
        <v/>
      </c>
      <c r="AG14" s="67" t="str">
        <f aca="false">IF(LEFT('📅 Calendrier'!$D38,2)="S9",MID('📅 Calendrier'!$D38,SEARCH("séance",'📅 Calendrier'!$D38)+7,2),"")</f>
        <v/>
      </c>
      <c r="AH14" s="67" t="str">
        <f aca="false">IF(LEFT('📅 Calendrier'!$D39,2)="S9",MID('📅 Calendrier'!$D39,SEARCH("séance",'📅 Calendrier'!$D39)+7,2),"")</f>
        <v>1</v>
      </c>
      <c r="AI14" s="67" t="str">
        <f aca="false">IF(LEFT('📅 Calendrier'!$D40,2)="S9",MID('📅 Calendrier'!$D40,SEARCH("séance",'📅 Calendrier'!$D40)+7,2),"")</f>
        <v>2</v>
      </c>
      <c r="AJ14" s="67" t="str">
        <f aca="false">IF(LEFT('📅 Calendrier'!$D41,2)="S9",MID('📅 Calendrier'!$D41,SEARCH("séance",'📅 Calendrier'!$D41)+7,2),"")</f>
        <v>3</v>
      </c>
      <c r="AK14" s="67" t="str">
        <f aca="false">IF(LEFT('📅 Calendrier'!$D42,2)="S9",MID('📅 Calendrier'!$D42,SEARCH("séance",'📅 Calendrier'!$D42)+7,2),"")</f>
        <v/>
      </c>
      <c r="AL14" s="67" t="str">
        <f aca="false">IF(LEFT('📅 Calendrier'!$D43,2)="S9",MID('📅 Calendrier'!$D43,SEARCH("séance",'📅 Calendrier'!$D43)+7,2),"")</f>
        <v/>
      </c>
      <c r="AM14" s="67" t="str">
        <f aca="false">IF(LEFT('📅 Calendrier'!$D44,2)="S9",MID('📅 Calendrier'!$D44,SEARCH("séance",'📅 Calendrier'!$D44)+7,2),"")</f>
        <v/>
      </c>
    </row>
    <row r="15" customFormat="false" ht="15" hidden="false" customHeight="true" outlineLevel="0" collapsed="false">
      <c r="B15" s="70" t="s">
        <v>215</v>
      </c>
      <c r="C15" s="71" t="str">
        <f aca="false">IF(LEFT('📅 Calendrier'!$D4,1)="⏳","⏳","")</f>
        <v/>
      </c>
      <c r="D15" s="71" t="str">
        <f aca="false">IF(LEFT('📅 Calendrier'!$D5,1)="⏳","⏳","")</f>
        <v/>
      </c>
      <c r="E15" s="71" t="str">
        <f aca="false">IF(LEFT('📅 Calendrier'!$D6,1)="⏳","⏳","")</f>
        <v/>
      </c>
      <c r="F15" s="71" t="str">
        <f aca="false">IF(LEFT('📅 Calendrier'!$D7,1)="⏳","⏳","")</f>
        <v/>
      </c>
      <c r="G15" s="71" t="str">
        <f aca="false">IF(LEFT('📅 Calendrier'!$D8,1)="⏳","⏳","")</f>
        <v/>
      </c>
      <c r="H15" s="71" t="str">
        <f aca="false">IF(LEFT('📅 Calendrier'!$D9,1)="⏳","⏳","")</f>
        <v/>
      </c>
      <c r="I15" s="71" t="str">
        <f aca="false">IF(LEFT('📅 Calendrier'!$D10,1)="⏳","⏳","")</f>
        <v/>
      </c>
      <c r="J15" s="71" t="str">
        <f aca="false">IF(LEFT('📅 Calendrier'!$D11,1)="⏳","⏳","")</f>
        <v>⏳</v>
      </c>
      <c r="K15" s="71" t="str">
        <f aca="false">IF(LEFT('📅 Calendrier'!$D13,1)="⏳","⏳","")</f>
        <v/>
      </c>
      <c r="L15" s="71" t="str">
        <f aca="false">IF(LEFT('📅 Calendrier'!$D14,1)="⏳","⏳","")</f>
        <v/>
      </c>
      <c r="M15" s="71" t="str">
        <f aca="false">IF(LEFT('📅 Calendrier'!$D15,1)="⏳","⏳","")</f>
        <v/>
      </c>
      <c r="N15" s="71" t="str">
        <f aca="false">IF(LEFT('📅 Calendrier'!$D16,1)="⏳","⏳","")</f>
        <v/>
      </c>
      <c r="O15" s="71" t="str">
        <f aca="false">IF(LEFT('📅 Calendrier'!$D17,1)="⏳","⏳","")</f>
        <v/>
      </c>
      <c r="P15" s="71" t="str">
        <f aca="false">IF(LEFT('📅 Calendrier'!$D18,1)="⏳","⏳","")</f>
        <v/>
      </c>
      <c r="Q15" s="71" t="str">
        <f aca="false">IF(LEFT('📅 Calendrier'!$D19,1)="⏳","⏳","")</f>
        <v>⏳</v>
      </c>
      <c r="R15" s="71" t="str">
        <f aca="false">IF(LEFT('📅 Calendrier'!$D21,1)="⏳","⏳","")</f>
        <v/>
      </c>
      <c r="S15" s="71" t="str">
        <f aca="false">IF(LEFT('📅 Calendrier'!$D22,1)="⏳","⏳","")</f>
        <v/>
      </c>
      <c r="T15" s="71" t="str">
        <f aca="false">IF(LEFT('📅 Calendrier'!$D23,1)="⏳","⏳","")</f>
        <v/>
      </c>
      <c r="U15" s="71" t="str">
        <f aca="false">IF(LEFT('📅 Calendrier'!$D24,1)="⏳","⏳","")</f>
        <v/>
      </c>
      <c r="V15" s="71" t="str">
        <f aca="false">IF(LEFT('📅 Calendrier'!$D25,1)="⏳","⏳","")</f>
        <v>⏳</v>
      </c>
      <c r="W15" s="71" t="str">
        <f aca="false">IF(LEFT('📅 Calendrier'!$D27,1)="⏳","⏳","")</f>
        <v/>
      </c>
      <c r="X15" s="71" t="str">
        <f aca="false">IF(LEFT('📅 Calendrier'!$D28,1)="⏳","⏳","")</f>
        <v/>
      </c>
      <c r="Y15" s="71" t="str">
        <f aca="false">IF(LEFT('📅 Calendrier'!$D29,1)="⏳","⏳","")</f>
        <v/>
      </c>
      <c r="Z15" s="71" t="str">
        <f aca="false">IF(LEFT('📅 Calendrier'!$D30,1)="⏳","⏳","")</f>
        <v/>
      </c>
      <c r="AA15" s="71" t="str">
        <f aca="false">IF(LEFT('📅 Calendrier'!$D31,1)="⏳","⏳","")</f>
        <v/>
      </c>
      <c r="AB15" s="71" t="str">
        <f aca="false">IF(LEFT('📅 Calendrier'!$D32,1)="⏳","⏳","")</f>
        <v/>
      </c>
      <c r="AC15" s="71" t="str">
        <f aca="false">IF(LEFT('📅 Calendrier'!$D33,1)="⏳","⏳","")</f>
        <v/>
      </c>
      <c r="AD15" s="71" t="str">
        <f aca="false">IF(LEFT('📅 Calendrier'!$D34,1)="⏳","⏳","")</f>
        <v>⏳</v>
      </c>
      <c r="AE15" s="71" t="str">
        <f aca="false">IF(LEFT('📅 Calendrier'!$D36,1)="⏳","⏳","")</f>
        <v/>
      </c>
      <c r="AF15" s="71" t="str">
        <f aca="false">IF(LEFT('📅 Calendrier'!$D37,1)="⏳","⏳","")</f>
        <v/>
      </c>
      <c r="AG15" s="71" t="str">
        <f aca="false">IF(LEFT('📅 Calendrier'!$D38,1)="⏳","⏳","")</f>
        <v/>
      </c>
      <c r="AH15" s="71" t="str">
        <f aca="false">IF(LEFT('📅 Calendrier'!$D39,1)="⏳","⏳","")</f>
        <v/>
      </c>
      <c r="AI15" s="71" t="str">
        <f aca="false">IF(LEFT('📅 Calendrier'!$D40,1)="⏳","⏳","")</f>
        <v/>
      </c>
      <c r="AJ15" s="71" t="str">
        <f aca="false">IF(LEFT('📅 Calendrier'!$D41,1)="⏳","⏳","")</f>
        <v/>
      </c>
      <c r="AK15" s="71" t="str">
        <f aca="false">IF(LEFT('📅 Calendrier'!$D42,1)="⏳","⏳","")</f>
        <v>⏳</v>
      </c>
      <c r="AL15" s="71" t="str">
        <f aca="false">IF(LEFT('📅 Calendrier'!$D43,1)="⏳","⏳","")</f>
        <v>⏳</v>
      </c>
      <c r="AM15" s="71" t="str">
        <f aca="false">IF(LEFT('📅 Calendrier'!$D44,1)="⏳","⏳","")</f>
        <v>⏳</v>
      </c>
    </row>
    <row r="16" customFormat="false" ht="15" hidden="false" customHeight="true" outlineLevel="0" collapsed="false">
      <c r="B16" s="72" t="s">
        <v>216</v>
      </c>
      <c r="C16" s="73" t="str">
        <f aca="false">IF('📅 Calendrier'!$G4&lt;&gt;"","⚠","")</f>
        <v/>
      </c>
      <c r="D16" s="73" t="str">
        <f aca="false">IF('📅 Calendrier'!$G5&lt;&gt;"","⚠","")</f>
        <v/>
      </c>
      <c r="E16" s="73" t="str">
        <f aca="false">IF('📅 Calendrier'!$G6&lt;&gt;"","⚠","")</f>
        <v/>
      </c>
      <c r="F16" s="73" t="str">
        <f aca="false">IF('📅 Calendrier'!$G7&lt;&gt;"","⚠","")</f>
        <v/>
      </c>
      <c r="G16" s="73" t="str">
        <f aca="false">IF('📅 Calendrier'!$G8&lt;&gt;"","⚠","")</f>
        <v/>
      </c>
      <c r="H16" s="73" t="str">
        <f aca="false">IF('📅 Calendrier'!$G9&lt;&gt;"","⚠","")</f>
        <v/>
      </c>
      <c r="I16" s="73" t="str">
        <f aca="false">IF('📅 Calendrier'!$G10&lt;&gt;"","⚠","")</f>
        <v/>
      </c>
      <c r="J16" s="73" t="str">
        <f aca="false">IF('📅 Calendrier'!$G11&lt;&gt;"","⚠","")</f>
        <v/>
      </c>
      <c r="K16" s="73" t="str">
        <f aca="false">IF('📅 Calendrier'!$G13&lt;&gt;"","⚠","")</f>
        <v/>
      </c>
      <c r="L16" s="73" t="str">
        <f aca="false">IF('📅 Calendrier'!$G14&lt;&gt;"","⚠","")</f>
        <v/>
      </c>
      <c r="M16" s="73" t="str">
        <f aca="false">IF('📅 Calendrier'!$G15&lt;&gt;"","⚠","")</f>
        <v/>
      </c>
      <c r="N16" s="73" t="str">
        <f aca="false">IF('📅 Calendrier'!$G16&lt;&gt;"","⚠","")</f>
        <v/>
      </c>
      <c r="O16" s="73" t="str">
        <f aca="false">IF('📅 Calendrier'!$G17&lt;&gt;"","⚠","")</f>
        <v/>
      </c>
      <c r="P16" s="73" t="str">
        <f aca="false">IF('📅 Calendrier'!$G18&lt;&gt;"","⚠","")</f>
        <v/>
      </c>
      <c r="Q16" s="73" t="str">
        <f aca="false">IF('📅 Calendrier'!$G19&lt;&gt;"","⚠","")</f>
        <v/>
      </c>
      <c r="R16" s="73" t="str">
        <f aca="false">IF('📅 Calendrier'!$G21&lt;&gt;"","⚠","")</f>
        <v/>
      </c>
      <c r="S16" s="73" t="str">
        <f aca="false">IF('📅 Calendrier'!$G22&lt;&gt;"","⚠","")</f>
        <v/>
      </c>
      <c r="T16" s="73" t="str">
        <f aca="false">IF('📅 Calendrier'!$G23&lt;&gt;"","⚠","")</f>
        <v/>
      </c>
      <c r="U16" s="73" t="str">
        <f aca="false">IF('📅 Calendrier'!$G24&lt;&gt;"","⚠","")</f>
        <v/>
      </c>
      <c r="V16" s="73" t="str">
        <f aca="false">IF('📅 Calendrier'!$G25&lt;&gt;"","⚠","")</f>
        <v/>
      </c>
      <c r="W16" s="73" t="str">
        <f aca="false">IF('📅 Calendrier'!$G27&lt;&gt;"","⚠","")</f>
        <v/>
      </c>
      <c r="X16" s="73" t="str">
        <f aca="false">IF('📅 Calendrier'!$G28&lt;&gt;"","⚠","")</f>
        <v/>
      </c>
      <c r="Y16" s="73" t="str">
        <f aca="false">IF('📅 Calendrier'!$G29&lt;&gt;"","⚠","")</f>
        <v/>
      </c>
      <c r="Z16" s="73" t="str">
        <f aca="false">IF('📅 Calendrier'!$G30&lt;&gt;"","⚠","")</f>
        <v/>
      </c>
      <c r="AA16" s="73" t="str">
        <f aca="false">IF('📅 Calendrier'!$G31&lt;&gt;"","⚠","")</f>
        <v/>
      </c>
      <c r="AB16" s="73" t="str">
        <f aca="false">IF('📅 Calendrier'!$G32&lt;&gt;"","⚠","")</f>
        <v/>
      </c>
      <c r="AC16" s="73" t="str">
        <f aca="false">IF('📅 Calendrier'!$G33&lt;&gt;"","⚠","")</f>
        <v/>
      </c>
      <c r="AD16" s="73" t="str">
        <f aca="false">IF('📅 Calendrier'!$G34&lt;&gt;"","⚠","")</f>
        <v/>
      </c>
      <c r="AE16" s="73" t="str">
        <f aca="false">IF('📅 Calendrier'!$G36&lt;&gt;"","⚠","")</f>
        <v/>
      </c>
      <c r="AF16" s="73" t="str">
        <f aca="false">IF('📅 Calendrier'!$G37&lt;&gt;"","⚠","")</f>
        <v/>
      </c>
      <c r="AG16" s="73" t="str">
        <f aca="false">IF('📅 Calendrier'!$G38&lt;&gt;"","⚠","")</f>
        <v/>
      </c>
      <c r="AH16" s="73" t="str">
        <f aca="false">IF('📅 Calendrier'!$G39&lt;&gt;"","⚠","")</f>
        <v/>
      </c>
      <c r="AI16" s="73" t="str">
        <f aca="false">IF('📅 Calendrier'!$G40&lt;&gt;"","⚠","")</f>
        <v/>
      </c>
      <c r="AJ16" s="73" t="str">
        <f aca="false">IF('📅 Calendrier'!$G41&lt;&gt;"","⚠","")</f>
        <v/>
      </c>
      <c r="AK16" s="73" t="str">
        <f aca="false">IF('📅 Calendrier'!$G42&lt;&gt;"","⚠","")</f>
        <v/>
      </c>
      <c r="AL16" s="73" t="str">
        <f aca="false">IF('📅 Calendrier'!$G43&lt;&gt;"","⚠","")</f>
        <v/>
      </c>
      <c r="AM16" s="73" t="str">
        <f aca="false">IF('📅 Calendrier'!$G44&lt;&gt;"","⚠","")</f>
        <v/>
      </c>
    </row>
    <row r="18" customFormat="false" ht="39.75" hidden="false" customHeight="true" outlineLevel="0" collapsed="false">
      <c r="B18" s="74" t="s">
        <v>217</v>
      </c>
      <c r="C18" s="74"/>
      <c r="D18" s="74"/>
      <c r="E18" s="74"/>
      <c r="F18" s="74"/>
      <c r="G18" s="74"/>
      <c r="H18" s="74"/>
      <c r="I18" s="74"/>
      <c r="J18" s="74"/>
      <c r="K18" s="74"/>
      <c r="L18" s="74"/>
      <c r="M18" s="74"/>
      <c r="N18" s="74"/>
      <c r="O18" s="74"/>
      <c r="P18" s="74"/>
      <c r="Q18" s="74"/>
      <c r="R18" s="74"/>
      <c r="S18" s="74"/>
      <c r="T18" s="74"/>
      <c r="U18" s="74"/>
      <c r="V18" s="74"/>
      <c r="W18" s="74"/>
      <c r="X18" s="74"/>
    </row>
  </sheetData>
  <mergeCells count="9">
    <mergeCell ref="A1:AM1"/>
    <mergeCell ref="B2:N2"/>
    <mergeCell ref="P2:T2"/>
    <mergeCell ref="C3:J3"/>
    <mergeCell ref="K3:Q3"/>
    <mergeCell ref="R3:V3"/>
    <mergeCell ref="W3:AD3"/>
    <mergeCell ref="AE3:AM3"/>
    <mergeCell ref="B18:X18"/>
  </mergeCells>
  <conditionalFormatting sqref="C6:AM6">
    <cfRule type="expression" priority="2" aboveAverage="0" equalAverage="0" bottom="0" percent="0" rank="0" text="" dxfId="2">
      <formula>C6&lt;&gt;""</formula>
    </cfRule>
  </conditionalFormatting>
  <conditionalFormatting sqref="C7:AM7">
    <cfRule type="expression" priority="3" aboveAverage="0" equalAverage="0" bottom="0" percent="0" rank="0" text="" dxfId="2">
      <formula>C7&lt;&gt;""</formula>
    </cfRule>
  </conditionalFormatting>
  <conditionalFormatting sqref="C8:AM8">
    <cfRule type="expression" priority="4" aboveAverage="0" equalAverage="0" bottom="0" percent="0" rank="0" text="" dxfId="2">
      <formula>C8&lt;&gt;""</formula>
    </cfRule>
  </conditionalFormatting>
  <conditionalFormatting sqref="C9:AM9">
    <cfRule type="expression" priority="5" aboveAverage="0" equalAverage="0" bottom="0" percent="0" rank="0" text="" dxfId="3">
      <formula>C9&lt;&gt;""</formula>
    </cfRule>
  </conditionalFormatting>
  <conditionalFormatting sqref="C10:AM10">
    <cfRule type="expression" priority="6" aboveAverage="0" equalAverage="0" bottom="0" percent="0" rank="0" text="" dxfId="3">
      <formula>C10&lt;&gt;""</formula>
    </cfRule>
  </conditionalFormatting>
  <conditionalFormatting sqref="C11:AM11">
    <cfRule type="expression" priority="7" aboveAverage="0" equalAverage="0" bottom="0" percent="0" rank="0" text="" dxfId="3">
      <formula>C11&lt;&gt;""</formula>
    </cfRule>
  </conditionalFormatting>
  <conditionalFormatting sqref="C12:AM12">
    <cfRule type="expression" priority="8" aboveAverage="0" equalAverage="0" bottom="0" percent="0" rank="0" text="" dxfId="4">
      <formula>C12&lt;&gt;""</formula>
    </cfRule>
  </conditionalFormatting>
  <conditionalFormatting sqref="C13:AM13">
    <cfRule type="expression" priority="9" aboveAverage="0" equalAverage="0" bottom="0" percent="0" rank="0" text="" dxfId="4">
      <formula>C13&lt;&gt;""</formula>
    </cfRule>
  </conditionalFormatting>
  <conditionalFormatting sqref="C14:AM14">
    <cfRule type="expression" priority="10" aboveAverage="0" equalAverage="0" bottom="0" percent="0" rank="0" text="" dxfId="4">
      <formula>C14&lt;&gt;""</formula>
    </cfRule>
  </conditionalFormatting>
  <conditionalFormatting sqref="C15:AM15">
    <cfRule type="expression" priority="11" aboveAverage="0" equalAverage="0" bottom="0" percent="0" rank="0" text="" dxfId="5">
      <formula>C15&lt;&gt;""</formula>
    </cfRule>
  </conditionalFormatting>
  <conditionalFormatting sqref="C16:AM16">
    <cfRule type="expression" priority="12" aboveAverage="0" equalAverage="0" bottom="0" percent="0" rank="0" text="" dxfId="6">
      <formula>C16&lt;&gt;""</formula>
    </cfRule>
  </conditionalFormatting>
  <hyperlinks>
    <hyperlink ref="P2" r:id="rId1" location="'🏠%20Accueil'!A1" display="◀ Accueil"/>
    <hyperlink ref="B6" r:id="rId2" location="'S1'!A1" display="S1 · Innovation et rupture"/>
    <hyperlink ref="B7" r:id="rId3" location="'S2'!A1" display="S2 · Numérique et société"/>
    <hyperlink ref="B8" r:id="rId4" location="'S3'!A1" display="S3 · Choisir face au DD"/>
    <hyperlink ref="B9" r:id="rId5" location="'S4'!A1" display="S4 · Station cyclonique : chaînes"/>
    <hyperlink ref="B10" r:id="rId6" location="'S5'!A1" display="S5 · Internet Sainte-Luce : réseaux"/>
    <hyperlink ref="B11" r:id="rId7" location="'S6'!A1" display="S6 · SOS station + Programmer"/>
    <hyperlink ref="B12" r:id="rId8" location="'S7'!A1" display="S7 · Fil rouge V1 : cadrage"/>
    <hyperlink ref="B13" r:id="rId9" location="'S8'!A1" display="S8 · Fil rouge V2 : prototypage"/>
    <hyperlink ref="B14" r:id="rId10" location="'S9'!A1" display="S9 · Fil rouge V3 : validation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7030A0"/>
    <pageSetUpPr fitToPage="false"/>
  </sheetPr>
  <dimension ref="A1:F12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0"/>
    <col collapsed="false" customWidth="true" hidden="false" outlineLevel="0" max="2" min="2" style="1" width="8"/>
    <col collapsed="false" customWidth="true" hidden="false" outlineLevel="0" max="3" min="3" style="1" width="78"/>
    <col collapsed="false" customWidth="true" hidden="false" outlineLevel="0" max="4" min="4" style="1" width="12"/>
    <col collapsed="false" customWidth="true" hidden="false" outlineLevel="0" max="5" min="5" style="1" width="16"/>
    <col collapsed="false" customWidth="true" hidden="false" outlineLevel="0" max="6" min="6" style="1" width="11"/>
  </cols>
  <sheetData>
    <row r="1" customFormat="false" ht="18" hidden="false" customHeight="true" outlineLevel="0" collapsed="false">
      <c r="A1" s="53" t="s">
        <v>218</v>
      </c>
      <c r="B1" s="53"/>
      <c r="C1" s="53"/>
      <c r="D1" s="53"/>
      <c r="E1" s="53"/>
      <c r="F1" s="53"/>
    </row>
    <row r="2" customFormat="false" ht="15" hidden="false" customHeight="true" outlineLevel="0" collapsed="false">
      <c r="A2" s="52" t="s">
        <v>219</v>
      </c>
      <c r="B2" s="52"/>
      <c r="C2" s="52"/>
      <c r="D2" s="52"/>
      <c r="E2" s="52"/>
      <c r="F2" s="52"/>
    </row>
    <row r="3" customFormat="false" ht="15" hidden="false" customHeight="true" outlineLevel="0" collapsed="false">
      <c r="F3" s="30" t="s">
        <v>58</v>
      </c>
    </row>
    <row r="4" customFormat="false" ht="15" hidden="false" customHeight="true" outlineLevel="0" collapsed="false">
      <c r="A4" s="31" t="s">
        <v>220</v>
      </c>
      <c r="B4" s="31" t="s">
        <v>221</v>
      </c>
      <c r="C4" s="31" t="s">
        <v>222</v>
      </c>
      <c r="D4" s="31" t="s">
        <v>223</v>
      </c>
      <c r="E4" s="31" t="s">
        <v>224</v>
      </c>
      <c r="F4" s="31" t="s">
        <v>225</v>
      </c>
    </row>
    <row r="5" customFormat="false" ht="30" hidden="false" customHeight="true" outlineLevel="0" collapsed="false">
      <c r="A5" s="75" t="s">
        <v>226</v>
      </c>
      <c r="B5" s="75" t="s">
        <v>227</v>
      </c>
      <c r="C5" s="75" t="s">
        <v>228</v>
      </c>
      <c r="D5" s="75" t="s">
        <v>229</v>
      </c>
      <c r="E5" s="75" t="s">
        <v>230</v>
      </c>
      <c r="F5" s="75" t="s">
        <v>231</v>
      </c>
    </row>
    <row r="6" customFormat="false" ht="25.5" hidden="false" customHeight="true" outlineLevel="0" collapsed="false">
      <c r="A6" s="76" t="s">
        <v>232</v>
      </c>
      <c r="B6" s="36" t="s">
        <v>233</v>
      </c>
      <c r="C6" s="36" t="s">
        <v>234</v>
      </c>
      <c r="D6" s="36" t="s">
        <v>235</v>
      </c>
      <c r="E6" s="36" t="s">
        <v>236</v>
      </c>
      <c r="F6" s="36" t="s">
        <v>231</v>
      </c>
    </row>
    <row r="7" customFormat="false" ht="25.5" hidden="false" customHeight="true" outlineLevel="0" collapsed="false">
      <c r="A7" s="76" t="s">
        <v>237</v>
      </c>
      <c r="B7" s="36" t="s">
        <v>233</v>
      </c>
      <c r="C7" s="36" t="s">
        <v>238</v>
      </c>
      <c r="D7" s="36" t="s">
        <v>235</v>
      </c>
      <c r="E7" s="36" t="s">
        <v>236</v>
      </c>
      <c r="F7" s="36" t="s">
        <v>231</v>
      </c>
    </row>
    <row r="8" customFormat="false" ht="25.5" hidden="false" customHeight="true" outlineLevel="0" collapsed="false">
      <c r="A8" s="76" t="s">
        <v>239</v>
      </c>
      <c r="B8" s="36" t="s">
        <v>233</v>
      </c>
      <c r="C8" s="36" t="s">
        <v>240</v>
      </c>
      <c r="D8" s="36" t="s">
        <v>235</v>
      </c>
      <c r="E8" s="36" t="s">
        <v>241</v>
      </c>
      <c r="F8" s="36" t="s">
        <v>231</v>
      </c>
    </row>
    <row r="9" customFormat="false" ht="25.5" hidden="false" customHeight="true" outlineLevel="0" collapsed="false">
      <c r="A9" s="76" t="s">
        <v>242</v>
      </c>
      <c r="B9" s="36" t="s">
        <v>233</v>
      </c>
      <c r="C9" s="36" t="s">
        <v>243</v>
      </c>
      <c r="D9" s="36" t="s">
        <v>235</v>
      </c>
      <c r="E9" s="36" t="s">
        <v>244</v>
      </c>
      <c r="F9" s="36" t="s">
        <v>231</v>
      </c>
    </row>
    <row r="10" customFormat="false" ht="25.5" hidden="false" customHeight="true" outlineLevel="0" collapsed="false">
      <c r="A10" s="76" t="s">
        <v>245</v>
      </c>
      <c r="B10" s="36" t="s">
        <v>233</v>
      </c>
      <c r="C10" s="36" t="s">
        <v>246</v>
      </c>
      <c r="D10" s="36" t="s">
        <v>235</v>
      </c>
      <c r="E10" s="36" t="s">
        <v>247</v>
      </c>
      <c r="F10" s="36" t="s">
        <v>231</v>
      </c>
    </row>
    <row r="11" customFormat="false" ht="25.5" hidden="false" customHeight="true" outlineLevel="0" collapsed="false">
      <c r="A11" s="76" t="s">
        <v>248</v>
      </c>
      <c r="B11" s="36" t="s">
        <v>233</v>
      </c>
      <c r="C11" s="36" t="s">
        <v>249</v>
      </c>
      <c r="D11" s="36" t="s">
        <v>235</v>
      </c>
      <c r="E11" s="36" t="s">
        <v>247</v>
      </c>
      <c r="F11" s="36" t="s">
        <v>231</v>
      </c>
    </row>
    <row r="12" customFormat="false" ht="25.5" hidden="false" customHeight="true" outlineLevel="0" collapsed="false">
      <c r="A12" s="76" t="s">
        <v>250</v>
      </c>
      <c r="B12" s="36" t="s">
        <v>251</v>
      </c>
      <c r="C12" s="36" t="s">
        <v>252</v>
      </c>
      <c r="D12" s="36" t="s">
        <v>235</v>
      </c>
      <c r="E12" s="36" t="s">
        <v>253</v>
      </c>
      <c r="F12" s="36" t="s">
        <v>231</v>
      </c>
    </row>
    <row r="13" customFormat="false" ht="25.5" hidden="false" customHeight="true" outlineLevel="0" collapsed="false">
      <c r="A13" s="76" t="s">
        <v>254</v>
      </c>
      <c r="B13" s="36" t="s">
        <v>251</v>
      </c>
      <c r="C13" s="36" t="s">
        <v>255</v>
      </c>
      <c r="D13" s="36" t="s">
        <v>235</v>
      </c>
      <c r="E13" s="36" t="s">
        <v>256</v>
      </c>
      <c r="F13" s="36" t="s">
        <v>231</v>
      </c>
    </row>
    <row r="14" customFormat="false" ht="25.5" hidden="false" customHeight="true" outlineLevel="0" collapsed="false">
      <c r="A14" s="76" t="s">
        <v>257</v>
      </c>
      <c r="B14" s="36" t="s">
        <v>251</v>
      </c>
      <c r="C14" s="36" t="s">
        <v>258</v>
      </c>
      <c r="D14" s="36" t="s">
        <v>235</v>
      </c>
      <c r="E14" s="36" t="s">
        <v>256</v>
      </c>
      <c r="F14" s="36" t="s">
        <v>231</v>
      </c>
    </row>
    <row r="15" customFormat="false" ht="39" hidden="false" customHeight="true" outlineLevel="0" collapsed="false">
      <c r="A15" s="76" t="s">
        <v>259</v>
      </c>
      <c r="B15" s="36" t="s">
        <v>251</v>
      </c>
      <c r="C15" s="36" t="s">
        <v>260</v>
      </c>
      <c r="D15" s="36" t="s">
        <v>235</v>
      </c>
      <c r="E15" s="36" t="s">
        <v>261</v>
      </c>
      <c r="F15" s="36" t="s">
        <v>231</v>
      </c>
    </row>
    <row r="16" customFormat="false" ht="25.5" hidden="false" customHeight="true" outlineLevel="0" collapsed="false">
      <c r="A16" s="76" t="s">
        <v>262</v>
      </c>
      <c r="B16" s="36" t="s">
        <v>263</v>
      </c>
      <c r="C16" s="36" t="s">
        <v>264</v>
      </c>
      <c r="D16" s="36" t="s">
        <v>235</v>
      </c>
      <c r="E16" s="36" t="s">
        <v>256</v>
      </c>
      <c r="F16" s="36" t="s">
        <v>231</v>
      </c>
    </row>
    <row r="17" customFormat="false" ht="25.5" hidden="false" customHeight="true" outlineLevel="0" collapsed="false">
      <c r="A17" s="76" t="s">
        <v>265</v>
      </c>
      <c r="B17" s="36" t="s">
        <v>263</v>
      </c>
      <c r="C17" s="36" t="s">
        <v>266</v>
      </c>
      <c r="D17" s="36" t="s">
        <v>235</v>
      </c>
      <c r="E17" s="36" t="s">
        <v>256</v>
      </c>
      <c r="F17" s="36" t="s">
        <v>231</v>
      </c>
    </row>
    <row r="18" customFormat="false" ht="25.5" hidden="false" customHeight="true" outlineLevel="0" collapsed="false">
      <c r="A18" s="76" t="s">
        <v>267</v>
      </c>
      <c r="B18" s="36" t="s">
        <v>263</v>
      </c>
      <c r="C18" s="36" t="s">
        <v>268</v>
      </c>
      <c r="D18" s="36" t="s">
        <v>235</v>
      </c>
      <c r="E18" s="36" t="s">
        <v>256</v>
      </c>
      <c r="F18" s="36" t="s">
        <v>231</v>
      </c>
    </row>
    <row r="19" customFormat="false" ht="25.5" hidden="false" customHeight="true" outlineLevel="0" collapsed="false">
      <c r="A19" s="76" t="s">
        <v>269</v>
      </c>
      <c r="B19" s="36" t="s">
        <v>263</v>
      </c>
      <c r="C19" s="36" t="s">
        <v>270</v>
      </c>
      <c r="D19" s="36" t="s">
        <v>235</v>
      </c>
      <c r="E19" s="36" t="s">
        <v>256</v>
      </c>
      <c r="F19" s="36" t="s">
        <v>231</v>
      </c>
    </row>
    <row r="20" customFormat="false" ht="25.5" hidden="false" customHeight="true" outlineLevel="0" collapsed="false">
      <c r="A20" s="76" t="s">
        <v>271</v>
      </c>
      <c r="B20" s="36" t="s">
        <v>263</v>
      </c>
      <c r="C20" s="36" t="s">
        <v>272</v>
      </c>
      <c r="D20" s="36" t="s">
        <v>235</v>
      </c>
      <c r="E20" s="36" t="s">
        <v>273</v>
      </c>
      <c r="F20" s="36" t="s">
        <v>231</v>
      </c>
    </row>
    <row r="21" customFormat="false" ht="30" hidden="false" customHeight="true" outlineLevel="0" collapsed="false">
      <c r="A21" s="75" t="s">
        <v>274</v>
      </c>
      <c r="B21" s="75" t="s">
        <v>227</v>
      </c>
      <c r="C21" s="75" t="s">
        <v>275</v>
      </c>
      <c r="D21" s="75" t="s">
        <v>235</v>
      </c>
      <c r="E21" s="75" t="s">
        <v>253</v>
      </c>
      <c r="F21" s="75" t="s">
        <v>231</v>
      </c>
    </row>
    <row r="22" customFormat="false" ht="25.5" hidden="false" customHeight="true" outlineLevel="0" collapsed="false">
      <c r="A22" s="76" t="s">
        <v>276</v>
      </c>
      <c r="B22" s="36" t="s">
        <v>233</v>
      </c>
      <c r="C22" s="36" t="s">
        <v>277</v>
      </c>
      <c r="D22" s="36" t="s">
        <v>235</v>
      </c>
      <c r="E22" s="36" t="s">
        <v>278</v>
      </c>
      <c r="F22" s="36" t="s">
        <v>231</v>
      </c>
    </row>
    <row r="23" customFormat="false" ht="25.5" hidden="false" customHeight="true" outlineLevel="0" collapsed="false">
      <c r="A23" s="76" t="s">
        <v>279</v>
      </c>
      <c r="B23" s="36" t="s">
        <v>233</v>
      </c>
      <c r="C23" s="36" t="s">
        <v>280</v>
      </c>
      <c r="D23" s="36" t="s">
        <v>235</v>
      </c>
      <c r="E23" s="36" t="s">
        <v>253</v>
      </c>
      <c r="F23" s="36" t="s">
        <v>231</v>
      </c>
    </row>
    <row r="24" customFormat="false" ht="39" hidden="false" customHeight="true" outlineLevel="0" collapsed="false">
      <c r="A24" s="76" t="s">
        <v>281</v>
      </c>
      <c r="B24" s="36" t="s">
        <v>251</v>
      </c>
      <c r="C24" s="36" t="s">
        <v>282</v>
      </c>
      <c r="D24" s="36" t="s">
        <v>235</v>
      </c>
      <c r="E24" s="36" t="s">
        <v>283</v>
      </c>
      <c r="F24" s="36" t="s">
        <v>231</v>
      </c>
    </row>
    <row r="25" customFormat="false" ht="39" hidden="false" customHeight="true" outlineLevel="0" collapsed="false">
      <c r="A25" s="76" t="s">
        <v>284</v>
      </c>
      <c r="B25" s="36" t="s">
        <v>251</v>
      </c>
      <c r="C25" s="36" t="s">
        <v>285</v>
      </c>
      <c r="D25" s="36" t="s">
        <v>235</v>
      </c>
      <c r="E25" s="36" t="s">
        <v>256</v>
      </c>
      <c r="F25" s="36" t="s">
        <v>231</v>
      </c>
    </row>
    <row r="26" customFormat="false" ht="25.5" hidden="false" customHeight="true" outlineLevel="0" collapsed="false">
      <c r="A26" s="76" t="s">
        <v>286</v>
      </c>
      <c r="B26" s="36" t="s">
        <v>263</v>
      </c>
      <c r="C26" s="36" t="s">
        <v>287</v>
      </c>
      <c r="D26" s="36" t="s">
        <v>235</v>
      </c>
      <c r="E26" s="36" t="s">
        <v>283</v>
      </c>
      <c r="F26" s="36" t="s">
        <v>231</v>
      </c>
    </row>
    <row r="27" customFormat="false" ht="30" hidden="false" customHeight="true" outlineLevel="0" collapsed="false">
      <c r="A27" s="75" t="s">
        <v>288</v>
      </c>
      <c r="B27" s="75" t="s">
        <v>227</v>
      </c>
      <c r="C27" s="75" t="s">
        <v>289</v>
      </c>
      <c r="D27" s="75" t="s">
        <v>235</v>
      </c>
      <c r="E27" s="75" t="s">
        <v>290</v>
      </c>
      <c r="F27" s="75" t="s">
        <v>231</v>
      </c>
    </row>
    <row r="28" customFormat="false" ht="25.5" hidden="false" customHeight="true" outlineLevel="0" collapsed="false">
      <c r="A28" s="76" t="s">
        <v>291</v>
      </c>
      <c r="B28" s="36" t="s">
        <v>233</v>
      </c>
      <c r="C28" s="36" t="s">
        <v>292</v>
      </c>
      <c r="D28" s="36" t="s">
        <v>235</v>
      </c>
      <c r="E28" s="36" t="s">
        <v>236</v>
      </c>
      <c r="F28" s="36" t="s">
        <v>231</v>
      </c>
    </row>
    <row r="29" customFormat="false" ht="25.5" hidden="false" customHeight="true" outlineLevel="0" collapsed="false">
      <c r="A29" s="76" t="s">
        <v>293</v>
      </c>
      <c r="B29" s="36" t="s">
        <v>233</v>
      </c>
      <c r="C29" s="36" t="s">
        <v>294</v>
      </c>
      <c r="D29" s="36" t="s">
        <v>235</v>
      </c>
      <c r="E29" s="36" t="s">
        <v>256</v>
      </c>
      <c r="F29" s="36" t="s">
        <v>231</v>
      </c>
    </row>
    <row r="30" customFormat="false" ht="25.5" hidden="false" customHeight="true" outlineLevel="0" collapsed="false">
      <c r="A30" s="76" t="s">
        <v>295</v>
      </c>
      <c r="B30" s="36" t="s">
        <v>233</v>
      </c>
      <c r="C30" s="36" t="s">
        <v>296</v>
      </c>
      <c r="D30" s="36" t="s">
        <v>235</v>
      </c>
      <c r="E30" s="36" t="s">
        <v>256</v>
      </c>
      <c r="F30" s="36" t="s">
        <v>231</v>
      </c>
    </row>
    <row r="31" customFormat="false" ht="25.5" hidden="false" customHeight="true" outlineLevel="0" collapsed="false">
      <c r="A31" s="76" t="s">
        <v>297</v>
      </c>
      <c r="B31" s="36" t="s">
        <v>233</v>
      </c>
      <c r="C31" s="36" t="s">
        <v>298</v>
      </c>
      <c r="D31" s="36" t="s">
        <v>235</v>
      </c>
      <c r="E31" s="36" t="s">
        <v>299</v>
      </c>
      <c r="F31" s="36" t="s">
        <v>231</v>
      </c>
    </row>
    <row r="32" customFormat="false" ht="25.5" hidden="false" customHeight="true" outlineLevel="0" collapsed="false">
      <c r="A32" s="76" t="s">
        <v>300</v>
      </c>
      <c r="B32" s="36" t="s">
        <v>251</v>
      </c>
      <c r="C32" s="36" t="s">
        <v>301</v>
      </c>
      <c r="D32" s="36" t="s">
        <v>235</v>
      </c>
      <c r="E32" s="36" t="s">
        <v>256</v>
      </c>
      <c r="F32" s="36" t="s">
        <v>231</v>
      </c>
    </row>
    <row r="33" customFormat="false" ht="39" hidden="false" customHeight="true" outlineLevel="0" collapsed="false">
      <c r="A33" s="76" t="s">
        <v>302</v>
      </c>
      <c r="B33" s="36" t="s">
        <v>251</v>
      </c>
      <c r="C33" s="36" t="s">
        <v>303</v>
      </c>
      <c r="D33" s="36" t="s">
        <v>235</v>
      </c>
      <c r="E33" s="36" t="s">
        <v>290</v>
      </c>
      <c r="F33" s="36" t="s">
        <v>231</v>
      </c>
    </row>
    <row r="34" customFormat="false" ht="25.5" hidden="false" customHeight="true" outlineLevel="0" collapsed="false">
      <c r="A34" s="76" t="s">
        <v>304</v>
      </c>
      <c r="B34" s="36" t="s">
        <v>251</v>
      </c>
      <c r="C34" s="36" t="s">
        <v>305</v>
      </c>
      <c r="D34" s="36" t="s">
        <v>235</v>
      </c>
      <c r="E34" s="36" t="s">
        <v>299</v>
      </c>
      <c r="F34" s="36" t="s">
        <v>231</v>
      </c>
    </row>
    <row r="35" customFormat="false" ht="25.5" hidden="false" customHeight="true" outlineLevel="0" collapsed="false">
      <c r="A35" s="76" t="s">
        <v>306</v>
      </c>
      <c r="B35" s="36" t="s">
        <v>263</v>
      </c>
      <c r="C35" s="36" t="s">
        <v>307</v>
      </c>
      <c r="D35" s="36" t="s">
        <v>235</v>
      </c>
      <c r="E35" s="36" t="s">
        <v>256</v>
      </c>
      <c r="F35" s="36" t="s">
        <v>231</v>
      </c>
    </row>
    <row r="36" customFormat="false" ht="25.5" hidden="false" customHeight="true" outlineLevel="0" collapsed="false">
      <c r="A36" s="76" t="s">
        <v>308</v>
      </c>
      <c r="B36" s="36" t="s">
        <v>263</v>
      </c>
      <c r="C36" s="36" t="s">
        <v>309</v>
      </c>
      <c r="D36" s="36" t="s">
        <v>235</v>
      </c>
      <c r="E36" s="36" t="s">
        <v>256</v>
      </c>
      <c r="F36" s="36" t="s">
        <v>231</v>
      </c>
    </row>
    <row r="37" customFormat="false" ht="25.5" hidden="false" customHeight="true" outlineLevel="0" collapsed="false">
      <c r="A37" s="76" t="s">
        <v>310</v>
      </c>
      <c r="B37" s="36" t="s">
        <v>263</v>
      </c>
      <c r="C37" s="36" t="s">
        <v>311</v>
      </c>
      <c r="D37" s="36" t="s">
        <v>235</v>
      </c>
      <c r="E37" s="36" t="s">
        <v>256</v>
      </c>
      <c r="F37" s="36" t="s">
        <v>231</v>
      </c>
    </row>
    <row r="38" customFormat="false" ht="25.5" hidden="false" customHeight="true" outlineLevel="0" collapsed="false">
      <c r="A38" s="76" t="s">
        <v>312</v>
      </c>
      <c r="B38" s="36" t="s">
        <v>263</v>
      </c>
      <c r="C38" s="36" t="s">
        <v>313</v>
      </c>
      <c r="D38" s="36" t="s">
        <v>235</v>
      </c>
      <c r="E38" s="36" t="s">
        <v>299</v>
      </c>
      <c r="F38" s="36" t="s">
        <v>231</v>
      </c>
    </row>
    <row r="39" customFormat="false" ht="30" hidden="false" customHeight="true" outlineLevel="0" collapsed="false">
      <c r="A39" s="75" t="s">
        <v>314</v>
      </c>
      <c r="B39" s="75" t="s">
        <v>227</v>
      </c>
      <c r="C39" s="75" t="s">
        <v>315</v>
      </c>
      <c r="D39" s="75" t="s">
        <v>316</v>
      </c>
      <c r="E39" s="75" t="s">
        <v>317</v>
      </c>
      <c r="F39" s="75" t="s">
        <v>231</v>
      </c>
    </row>
    <row r="40" customFormat="false" ht="25.5" hidden="false" customHeight="true" outlineLevel="0" collapsed="false">
      <c r="A40" s="76" t="s">
        <v>318</v>
      </c>
      <c r="B40" s="36" t="s">
        <v>233</v>
      </c>
      <c r="C40" s="36" t="s">
        <v>319</v>
      </c>
      <c r="D40" s="36" t="s">
        <v>320</v>
      </c>
      <c r="E40" s="36" t="s">
        <v>321</v>
      </c>
      <c r="F40" s="36" t="s">
        <v>231</v>
      </c>
    </row>
    <row r="41" customFormat="false" ht="25.5" hidden="false" customHeight="true" outlineLevel="0" collapsed="false">
      <c r="A41" s="76" t="s">
        <v>322</v>
      </c>
      <c r="B41" s="36" t="s">
        <v>233</v>
      </c>
      <c r="C41" s="36" t="s">
        <v>323</v>
      </c>
      <c r="D41" s="36" t="s">
        <v>320</v>
      </c>
      <c r="E41" s="36" t="s">
        <v>299</v>
      </c>
      <c r="F41" s="36" t="s">
        <v>231</v>
      </c>
    </row>
    <row r="42" customFormat="false" ht="25.5" hidden="false" customHeight="true" outlineLevel="0" collapsed="false">
      <c r="A42" s="76" t="s">
        <v>324</v>
      </c>
      <c r="B42" s="36" t="s">
        <v>233</v>
      </c>
      <c r="C42" s="36" t="s">
        <v>325</v>
      </c>
      <c r="D42" s="36" t="s">
        <v>320</v>
      </c>
      <c r="E42" s="36" t="s">
        <v>326</v>
      </c>
      <c r="F42" s="36" t="s">
        <v>231</v>
      </c>
    </row>
    <row r="43" customFormat="false" ht="25.5" hidden="false" customHeight="true" outlineLevel="0" collapsed="false">
      <c r="A43" s="76" t="s">
        <v>327</v>
      </c>
      <c r="B43" s="36" t="s">
        <v>233</v>
      </c>
      <c r="C43" s="36" t="s">
        <v>328</v>
      </c>
      <c r="D43" s="36" t="s">
        <v>320</v>
      </c>
      <c r="E43" s="36" t="s">
        <v>256</v>
      </c>
      <c r="F43" s="36" t="s">
        <v>231</v>
      </c>
    </row>
    <row r="44" customFormat="false" ht="25.5" hidden="false" customHeight="true" outlineLevel="0" collapsed="false">
      <c r="A44" s="76" t="s">
        <v>329</v>
      </c>
      <c r="B44" s="36" t="s">
        <v>233</v>
      </c>
      <c r="C44" s="36" t="s">
        <v>330</v>
      </c>
      <c r="D44" s="36" t="s">
        <v>320</v>
      </c>
      <c r="E44" s="36" t="s">
        <v>299</v>
      </c>
      <c r="F44" s="36" t="s">
        <v>231</v>
      </c>
    </row>
    <row r="45" customFormat="false" ht="25.5" hidden="false" customHeight="true" outlineLevel="0" collapsed="false">
      <c r="A45" s="76" t="s">
        <v>331</v>
      </c>
      <c r="B45" s="36" t="s">
        <v>233</v>
      </c>
      <c r="C45" s="36" t="s">
        <v>332</v>
      </c>
      <c r="D45" s="36" t="s">
        <v>320</v>
      </c>
      <c r="E45" s="36" t="s">
        <v>299</v>
      </c>
      <c r="F45" s="36" t="s">
        <v>231</v>
      </c>
    </row>
    <row r="46" customFormat="false" ht="25.5" hidden="false" customHeight="true" outlineLevel="0" collapsed="false">
      <c r="A46" s="76" t="s">
        <v>333</v>
      </c>
      <c r="B46" s="36" t="s">
        <v>233</v>
      </c>
      <c r="C46" s="36" t="s">
        <v>334</v>
      </c>
      <c r="D46" s="36" t="s">
        <v>320</v>
      </c>
      <c r="E46" s="36" t="s">
        <v>236</v>
      </c>
      <c r="F46" s="36" t="s">
        <v>231</v>
      </c>
    </row>
    <row r="47" customFormat="false" ht="25.5" hidden="false" customHeight="true" outlineLevel="0" collapsed="false">
      <c r="A47" s="76" t="s">
        <v>335</v>
      </c>
      <c r="B47" s="36" t="s">
        <v>233</v>
      </c>
      <c r="C47" s="36" t="s">
        <v>336</v>
      </c>
      <c r="D47" s="36" t="s">
        <v>320</v>
      </c>
      <c r="E47" s="36" t="s">
        <v>236</v>
      </c>
      <c r="F47" s="36" t="s">
        <v>231</v>
      </c>
    </row>
    <row r="48" customFormat="false" ht="25.5" hidden="false" customHeight="true" outlineLevel="0" collapsed="false">
      <c r="A48" s="76" t="s">
        <v>337</v>
      </c>
      <c r="B48" s="36" t="s">
        <v>251</v>
      </c>
      <c r="C48" s="36" t="s">
        <v>338</v>
      </c>
      <c r="D48" s="36" t="s">
        <v>320</v>
      </c>
      <c r="E48" s="36" t="s">
        <v>321</v>
      </c>
      <c r="F48" s="36" t="s">
        <v>231</v>
      </c>
    </row>
    <row r="49" customFormat="false" ht="25.5" hidden="false" customHeight="true" outlineLevel="0" collapsed="false">
      <c r="A49" s="76" t="s">
        <v>339</v>
      </c>
      <c r="B49" s="36" t="s">
        <v>251</v>
      </c>
      <c r="C49" s="36" t="s">
        <v>340</v>
      </c>
      <c r="D49" s="36" t="s">
        <v>320</v>
      </c>
      <c r="E49" s="36" t="s">
        <v>299</v>
      </c>
      <c r="F49" s="36" t="s">
        <v>231</v>
      </c>
    </row>
    <row r="50" customFormat="false" ht="25.5" hidden="false" customHeight="true" outlineLevel="0" collapsed="false">
      <c r="A50" s="76" t="s">
        <v>341</v>
      </c>
      <c r="B50" s="36" t="s">
        <v>251</v>
      </c>
      <c r="C50" s="36" t="s">
        <v>342</v>
      </c>
      <c r="D50" s="36" t="s">
        <v>320</v>
      </c>
      <c r="E50" s="36" t="s">
        <v>256</v>
      </c>
      <c r="F50" s="36" t="s">
        <v>231</v>
      </c>
    </row>
    <row r="51" customFormat="false" ht="25.5" hidden="false" customHeight="true" outlineLevel="0" collapsed="false">
      <c r="A51" s="76" t="s">
        <v>343</v>
      </c>
      <c r="B51" s="36" t="s">
        <v>251</v>
      </c>
      <c r="C51" s="36" t="s">
        <v>344</v>
      </c>
      <c r="D51" s="36" t="s">
        <v>320</v>
      </c>
      <c r="E51" s="36" t="s">
        <v>299</v>
      </c>
      <c r="F51" s="36" t="s">
        <v>231</v>
      </c>
    </row>
    <row r="52" customFormat="false" ht="25.5" hidden="false" customHeight="true" outlineLevel="0" collapsed="false">
      <c r="A52" s="76" t="s">
        <v>345</v>
      </c>
      <c r="B52" s="36" t="s">
        <v>251</v>
      </c>
      <c r="C52" s="36" t="s">
        <v>346</v>
      </c>
      <c r="D52" s="36" t="s">
        <v>320</v>
      </c>
      <c r="E52" s="36" t="s">
        <v>299</v>
      </c>
      <c r="F52" s="36" t="s">
        <v>231</v>
      </c>
    </row>
    <row r="53" customFormat="false" ht="25.5" hidden="false" customHeight="true" outlineLevel="0" collapsed="false">
      <c r="A53" s="76" t="s">
        <v>347</v>
      </c>
      <c r="B53" s="36" t="s">
        <v>251</v>
      </c>
      <c r="C53" s="36" t="s">
        <v>348</v>
      </c>
      <c r="D53" s="36" t="s">
        <v>320</v>
      </c>
      <c r="E53" s="36" t="s">
        <v>299</v>
      </c>
      <c r="F53" s="36" t="s">
        <v>231</v>
      </c>
    </row>
    <row r="54" customFormat="false" ht="25.5" hidden="false" customHeight="true" outlineLevel="0" collapsed="false">
      <c r="A54" s="76" t="s">
        <v>349</v>
      </c>
      <c r="B54" s="36" t="s">
        <v>251</v>
      </c>
      <c r="C54" s="36" t="s">
        <v>350</v>
      </c>
      <c r="D54" s="36" t="s">
        <v>320</v>
      </c>
      <c r="E54" s="36" t="s">
        <v>236</v>
      </c>
      <c r="F54" s="36" t="s">
        <v>231</v>
      </c>
    </row>
    <row r="55" customFormat="false" ht="39" hidden="false" customHeight="true" outlineLevel="0" collapsed="false">
      <c r="A55" s="76" t="s">
        <v>351</v>
      </c>
      <c r="B55" s="36" t="s">
        <v>251</v>
      </c>
      <c r="C55" s="36" t="s">
        <v>352</v>
      </c>
      <c r="D55" s="36" t="s">
        <v>320</v>
      </c>
      <c r="E55" s="36" t="s">
        <v>236</v>
      </c>
      <c r="F55" s="36" t="s">
        <v>231</v>
      </c>
    </row>
    <row r="56" customFormat="false" ht="25.5" hidden="false" customHeight="true" outlineLevel="0" collapsed="false">
      <c r="A56" s="76" t="s">
        <v>353</v>
      </c>
      <c r="B56" s="36" t="s">
        <v>251</v>
      </c>
      <c r="C56" s="36" t="s">
        <v>354</v>
      </c>
      <c r="D56" s="36" t="s">
        <v>320</v>
      </c>
      <c r="E56" s="36" t="s">
        <v>236</v>
      </c>
      <c r="F56" s="36" t="s">
        <v>231</v>
      </c>
    </row>
    <row r="57" customFormat="false" ht="25.5" hidden="false" customHeight="true" outlineLevel="0" collapsed="false">
      <c r="A57" s="76" t="s">
        <v>355</v>
      </c>
      <c r="B57" s="36" t="s">
        <v>263</v>
      </c>
      <c r="C57" s="36" t="s">
        <v>356</v>
      </c>
      <c r="D57" s="36" t="s">
        <v>320</v>
      </c>
      <c r="E57" s="36" t="s">
        <v>299</v>
      </c>
      <c r="F57" s="36" t="s">
        <v>231</v>
      </c>
    </row>
    <row r="58" customFormat="false" ht="25.5" hidden="false" customHeight="true" outlineLevel="0" collapsed="false">
      <c r="A58" s="76" t="s">
        <v>357</v>
      </c>
      <c r="B58" s="36" t="s">
        <v>263</v>
      </c>
      <c r="C58" s="36" t="s">
        <v>358</v>
      </c>
      <c r="D58" s="36" t="s">
        <v>320</v>
      </c>
      <c r="E58" s="36" t="s">
        <v>256</v>
      </c>
      <c r="F58" s="36" t="s">
        <v>231</v>
      </c>
    </row>
    <row r="59" customFormat="false" ht="25.5" hidden="false" customHeight="true" outlineLevel="0" collapsed="false">
      <c r="A59" s="76" t="s">
        <v>359</v>
      </c>
      <c r="B59" s="36" t="s">
        <v>263</v>
      </c>
      <c r="C59" s="36" t="s">
        <v>360</v>
      </c>
      <c r="D59" s="36" t="s">
        <v>320</v>
      </c>
      <c r="E59" s="36" t="s">
        <v>299</v>
      </c>
      <c r="F59" s="36" t="s">
        <v>231</v>
      </c>
    </row>
    <row r="60" customFormat="false" ht="25.5" hidden="false" customHeight="true" outlineLevel="0" collapsed="false">
      <c r="A60" s="76" t="s">
        <v>361</v>
      </c>
      <c r="B60" s="36" t="s">
        <v>263</v>
      </c>
      <c r="C60" s="36" t="s">
        <v>362</v>
      </c>
      <c r="D60" s="36" t="s">
        <v>320</v>
      </c>
      <c r="E60" s="36" t="s">
        <v>299</v>
      </c>
      <c r="F60" s="36" t="s">
        <v>231</v>
      </c>
    </row>
    <row r="61" customFormat="false" ht="25.5" hidden="false" customHeight="true" outlineLevel="0" collapsed="false">
      <c r="A61" s="76" t="s">
        <v>363</v>
      </c>
      <c r="B61" s="36" t="s">
        <v>263</v>
      </c>
      <c r="C61" s="36" t="s">
        <v>364</v>
      </c>
      <c r="D61" s="36" t="s">
        <v>320</v>
      </c>
      <c r="E61" s="36" t="s">
        <v>299</v>
      </c>
      <c r="F61" s="36" t="s">
        <v>231</v>
      </c>
    </row>
    <row r="62" customFormat="false" ht="25.5" hidden="false" customHeight="true" outlineLevel="0" collapsed="false">
      <c r="A62" s="76" t="s">
        <v>365</v>
      </c>
      <c r="B62" s="36" t="s">
        <v>263</v>
      </c>
      <c r="C62" s="36" t="s">
        <v>366</v>
      </c>
      <c r="D62" s="36" t="s">
        <v>320</v>
      </c>
      <c r="E62" s="36" t="s">
        <v>299</v>
      </c>
      <c r="F62" s="36" t="s">
        <v>231</v>
      </c>
    </row>
    <row r="63" customFormat="false" ht="25.5" hidden="false" customHeight="true" outlineLevel="0" collapsed="false">
      <c r="A63" s="76" t="s">
        <v>367</v>
      </c>
      <c r="B63" s="36" t="s">
        <v>263</v>
      </c>
      <c r="C63" s="36" t="s">
        <v>368</v>
      </c>
      <c r="D63" s="36" t="s">
        <v>320</v>
      </c>
      <c r="E63" s="36" t="s">
        <v>236</v>
      </c>
      <c r="F63" s="36" t="s">
        <v>231</v>
      </c>
    </row>
    <row r="64" customFormat="false" ht="25.5" hidden="false" customHeight="true" outlineLevel="0" collapsed="false">
      <c r="A64" s="76" t="s">
        <v>369</v>
      </c>
      <c r="B64" s="36" t="s">
        <v>263</v>
      </c>
      <c r="C64" s="36" t="s">
        <v>370</v>
      </c>
      <c r="D64" s="36" t="s">
        <v>320</v>
      </c>
      <c r="E64" s="36" t="s">
        <v>236</v>
      </c>
      <c r="F64" s="36" t="s">
        <v>231</v>
      </c>
    </row>
    <row r="65" customFormat="false" ht="30" hidden="false" customHeight="true" outlineLevel="0" collapsed="false">
      <c r="A65" s="75" t="s">
        <v>371</v>
      </c>
      <c r="B65" s="75" t="s">
        <v>227</v>
      </c>
      <c r="C65" s="75" t="s">
        <v>372</v>
      </c>
      <c r="D65" s="75" t="s">
        <v>320</v>
      </c>
      <c r="E65" s="75" t="s">
        <v>290</v>
      </c>
      <c r="F65" s="75" t="s">
        <v>231</v>
      </c>
    </row>
    <row r="66" customFormat="false" ht="25.5" hidden="false" customHeight="true" outlineLevel="0" collapsed="false">
      <c r="A66" s="76" t="s">
        <v>373</v>
      </c>
      <c r="B66" s="36" t="s">
        <v>233</v>
      </c>
      <c r="C66" s="36" t="s">
        <v>374</v>
      </c>
      <c r="D66" s="36" t="s">
        <v>320</v>
      </c>
      <c r="E66" s="36" t="s">
        <v>299</v>
      </c>
      <c r="F66" s="36" t="s">
        <v>231</v>
      </c>
    </row>
    <row r="67" customFormat="false" ht="25.5" hidden="false" customHeight="true" outlineLevel="0" collapsed="false">
      <c r="A67" s="76" t="s">
        <v>375</v>
      </c>
      <c r="B67" s="36" t="s">
        <v>233</v>
      </c>
      <c r="C67" s="36" t="s">
        <v>376</v>
      </c>
      <c r="D67" s="36" t="s">
        <v>320</v>
      </c>
      <c r="E67" s="36" t="s">
        <v>377</v>
      </c>
      <c r="F67" s="36" t="s">
        <v>231</v>
      </c>
    </row>
    <row r="68" customFormat="false" ht="25.5" hidden="false" customHeight="true" outlineLevel="0" collapsed="false">
      <c r="A68" s="76" t="s">
        <v>378</v>
      </c>
      <c r="B68" s="36" t="s">
        <v>233</v>
      </c>
      <c r="C68" s="36" t="s">
        <v>379</v>
      </c>
      <c r="D68" s="36" t="s">
        <v>320</v>
      </c>
      <c r="E68" s="36" t="s">
        <v>230</v>
      </c>
      <c r="F68" s="36" t="s">
        <v>231</v>
      </c>
    </row>
    <row r="69" customFormat="false" ht="25.5" hidden="false" customHeight="true" outlineLevel="0" collapsed="false">
      <c r="A69" s="76" t="s">
        <v>380</v>
      </c>
      <c r="B69" s="36" t="s">
        <v>251</v>
      </c>
      <c r="C69" s="36" t="s">
        <v>381</v>
      </c>
      <c r="D69" s="36" t="s">
        <v>320</v>
      </c>
      <c r="E69" s="36" t="s">
        <v>299</v>
      </c>
      <c r="F69" s="36" t="s">
        <v>231</v>
      </c>
    </row>
    <row r="70" customFormat="false" ht="25.5" hidden="false" customHeight="true" outlineLevel="0" collapsed="false">
      <c r="A70" s="76" t="s">
        <v>382</v>
      </c>
      <c r="B70" s="36" t="s">
        <v>251</v>
      </c>
      <c r="C70" s="36" t="s">
        <v>383</v>
      </c>
      <c r="D70" s="36" t="s">
        <v>320</v>
      </c>
      <c r="E70" s="36" t="s">
        <v>377</v>
      </c>
      <c r="F70" s="36" t="s">
        <v>231</v>
      </c>
    </row>
    <row r="71" customFormat="false" ht="25.5" hidden="false" customHeight="true" outlineLevel="0" collapsed="false">
      <c r="A71" s="76" t="s">
        <v>384</v>
      </c>
      <c r="B71" s="36" t="s">
        <v>251</v>
      </c>
      <c r="C71" s="36" t="s">
        <v>385</v>
      </c>
      <c r="D71" s="36" t="s">
        <v>320</v>
      </c>
      <c r="E71" s="36" t="s">
        <v>377</v>
      </c>
      <c r="F71" s="36" t="s">
        <v>231</v>
      </c>
    </row>
    <row r="72" customFormat="false" ht="25.5" hidden="false" customHeight="true" outlineLevel="0" collapsed="false">
      <c r="A72" s="76" t="s">
        <v>386</v>
      </c>
      <c r="B72" s="36" t="s">
        <v>263</v>
      </c>
      <c r="C72" s="36" t="s">
        <v>387</v>
      </c>
      <c r="D72" s="36" t="s">
        <v>320</v>
      </c>
      <c r="E72" s="36" t="s">
        <v>299</v>
      </c>
      <c r="F72" s="36" t="s">
        <v>231</v>
      </c>
    </row>
    <row r="73" customFormat="false" ht="25.5" hidden="false" customHeight="true" outlineLevel="0" collapsed="false">
      <c r="A73" s="76" t="s">
        <v>388</v>
      </c>
      <c r="B73" s="36" t="s">
        <v>263</v>
      </c>
      <c r="C73" s="36" t="s">
        <v>389</v>
      </c>
      <c r="D73" s="36" t="s">
        <v>320</v>
      </c>
      <c r="E73" s="36" t="s">
        <v>299</v>
      </c>
      <c r="F73" s="36" t="s">
        <v>231</v>
      </c>
    </row>
    <row r="74" customFormat="false" ht="25.5" hidden="false" customHeight="true" outlineLevel="0" collapsed="false">
      <c r="A74" s="76" t="s">
        <v>390</v>
      </c>
      <c r="B74" s="36" t="s">
        <v>263</v>
      </c>
      <c r="C74" s="36" t="s">
        <v>391</v>
      </c>
      <c r="D74" s="36" t="s">
        <v>320</v>
      </c>
      <c r="E74" s="36" t="s">
        <v>377</v>
      </c>
      <c r="F74" s="36" t="s">
        <v>231</v>
      </c>
    </row>
    <row r="75" customFormat="false" ht="25.5" hidden="false" customHeight="true" outlineLevel="0" collapsed="false">
      <c r="A75" s="76" t="s">
        <v>392</v>
      </c>
      <c r="B75" s="36" t="s">
        <v>263</v>
      </c>
      <c r="C75" s="36" t="s">
        <v>393</v>
      </c>
      <c r="D75" s="36" t="s">
        <v>320</v>
      </c>
      <c r="E75" s="36" t="s">
        <v>377</v>
      </c>
      <c r="F75" s="36" t="s">
        <v>231</v>
      </c>
    </row>
    <row r="76" customFormat="false" ht="30" hidden="false" customHeight="true" outlineLevel="0" collapsed="false">
      <c r="A76" s="75" t="s">
        <v>394</v>
      </c>
      <c r="B76" s="75" t="s">
        <v>227</v>
      </c>
      <c r="C76" s="75" t="s">
        <v>395</v>
      </c>
      <c r="D76" s="75" t="s">
        <v>320</v>
      </c>
      <c r="E76" s="75" t="s">
        <v>299</v>
      </c>
      <c r="F76" s="75" t="s">
        <v>231</v>
      </c>
    </row>
    <row r="77" customFormat="false" ht="25.5" hidden="false" customHeight="true" outlineLevel="0" collapsed="false">
      <c r="A77" s="76" t="s">
        <v>396</v>
      </c>
      <c r="B77" s="36" t="s">
        <v>233</v>
      </c>
      <c r="C77" s="36" t="s">
        <v>397</v>
      </c>
      <c r="D77" s="36" t="s">
        <v>320</v>
      </c>
      <c r="E77" s="36" t="s">
        <v>299</v>
      </c>
      <c r="F77" s="36" t="s">
        <v>231</v>
      </c>
    </row>
    <row r="78" customFormat="false" ht="25.5" hidden="false" customHeight="true" outlineLevel="0" collapsed="false">
      <c r="A78" s="76" t="s">
        <v>398</v>
      </c>
      <c r="B78" s="36" t="s">
        <v>233</v>
      </c>
      <c r="C78" s="36" t="s">
        <v>399</v>
      </c>
      <c r="D78" s="36" t="s">
        <v>320</v>
      </c>
      <c r="E78" s="36" t="s">
        <v>326</v>
      </c>
      <c r="F78" s="36" t="s">
        <v>231</v>
      </c>
    </row>
    <row r="79" customFormat="false" ht="25.5" hidden="false" customHeight="true" outlineLevel="0" collapsed="false">
      <c r="A79" s="76" t="s">
        <v>400</v>
      </c>
      <c r="B79" s="36" t="s">
        <v>233</v>
      </c>
      <c r="C79" s="36" t="s">
        <v>401</v>
      </c>
      <c r="D79" s="36" t="s">
        <v>320</v>
      </c>
      <c r="E79" s="36" t="s">
        <v>326</v>
      </c>
      <c r="F79" s="36" t="s">
        <v>231</v>
      </c>
    </row>
    <row r="80" customFormat="false" ht="25.5" hidden="false" customHeight="true" outlineLevel="0" collapsed="false">
      <c r="A80" s="76" t="s">
        <v>402</v>
      </c>
      <c r="B80" s="36" t="s">
        <v>251</v>
      </c>
      <c r="C80" s="36" t="s">
        <v>403</v>
      </c>
      <c r="D80" s="36" t="s">
        <v>320</v>
      </c>
      <c r="E80" s="36" t="s">
        <v>299</v>
      </c>
      <c r="F80" s="36" t="s">
        <v>231</v>
      </c>
    </row>
    <row r="81" customFormat="false" ht="25.5" hidden="false" customHeight="true" outlineLevel="0" collapsed="false">
      <c r="A81" s="76" t="s">
        <v>404</v>
      </c>
      <c r="B81" s="36" t="s">
        <v>251</v>
      </c>
      <c r="C81" s="36" t="s">
        <v>405</v>
      </c>
      <c r="D81" s="36" t="s">
        <v>320</v>
      </c>
      <c r="E81" s="36" t="s">
        <v>299</v>
      </c>
      <c r="F81" s="36" t="s">
        <v>231</v>
      </c>
    </row>
    <row r="82" customFormat="false" ht="25.5" hidden="false" customHeight="true" outlineLevel="0" collapsed="false">
      <c r="A82" s="76" t="s">
        <v>406</v>
      </c>
      <c r="B82" s="36" t="s">
        <v>251</v>
      </c>
      <c r="C82" s="36" t="s">
        <v>407</v>
      </c>
      <c r="D82" s="36" t="s">
        <v>320</v>
      </c>
      <c r="E82" s="36" t="s">
        <v>299</v>
      </c>
      <c r="F82" s="36" t="s">
        <v>231</v>
      </c>
    </row>
    <row r="83" customFormat="false" ht="25.5" hidden="false" customHeight="true" outlineLevel="0" collapsed="false">
      <c r="A83" s="76" t="s">
        <v>408</v>
      </c>
      <c r="B83" s="36" t="s">
        <v>263</v>
      </c>
      <c r="C83" s="36" t="s">
        <v>409</v>
      </c>
      <c r="D83" s="36" t="s">
        <v>320</v>
      </c>
      <c r="E83" s="36" t="s">
        <v>299</v>
      </c>
      <c r="F83" s="36" t="s">
        <v>231</v>
      </c>
    </row>
    <row r="84" customFormat="false" ht="25.5" hidden="false" customHeight="true" outlineLevel="0" collapsed="false">
      <c r="A84" s="76" t="s">
        <v>410</v>
      </c>
      <c r="B84" s="36" t="s">
        <v>263</v>
      </c>
      <c r="C84" s="36" t="s">
        <v>411</v>
      </c>
      <c r="D84" s="36" t="s">
        <v>320</v>
      </c>
      <c r="E84" s="36" t="s">
        <v>299</v>
      </c>
      <c r="F84" s="36" t="s">
        <v>231</v>
      </c>
    </row>
    <row r="85" customFormat="false" ht="25.5" hidden="false" customHeight="true" outlineLevel="0" collapsed="false">
      <c r="A85" s="76" t="s">
        <v>412</v>
      </c>
      <c r="B85" s="36" t="s">
        <v>263</v>
      </c>
      <c r="C85" s="36" t="s">
        <v>413</v>
      </c>
      <c r="D85" s="36" t="s">
        <v>320</v>
      </c>
      <c r="E85" s="36" t="s">
        <v>299</v>
      </c>
      <c r="F85" s="36" t="s">
        <v>231</v>
      </c>
    </row>
    <row r="86" customFormat="false" ht="30" hidden="false" customHeight="true" outlineLevel="0" collapsed="false">
      <c r="A86" s="75" t="s">
        <v>414</v>
      </c>
      <c r="B86" s="75" t="s">
        <v>227</v>
      </c>
      <c r="C86" s="75" t="s">
        <v>415</v>
      </c>
      <c r="D86" s="75" t="s">
        <v>416</v>
      </c>
      <c r="E86" s="75" t="s">
        <v>230</v>
      </c>
      <c r="F86" s="75" t="s">
        <v>231</v>
      </c>
    </row>
    <row r="87" customFormat="false" ht="25.5" hidden="false" customHeight="true" outlineLevel="0" collapsed="false">
      <c r="A87" s="76" t="s">
        <v>417</v>
      </c>
      <c r="B87" s="36" t="s">
        <v>233</v>
      </c>
      <c r="C87" s="36" t="s">
        <v>418</v>
      </c>
      <c r="D87" s="36" t="s">
        <v>419</v>
      </c>
      <c r="E87" s="36" t="s">
        <v>321</v>
      </c>
      <c r="F87" s="36" t="s">
        <v>231</v>
      </c>
    </row>
    <row r="88" customFormat="false" ht="25.5" hidden="false" customHeight="true" outlineLevel="0" collapsed="false">
      <c r="A88" s="76" t="s">
        <v>420</v>
      </c>
      <c r="B88" s="36" t="s">
        <v>233</v>
      </c>
      <c r="C88" s="36" t="s">
        <v>421</v>
      </c>
      <c r="D88" s="36" t="s">
        <v>419</v>
      </c>
      <c r="E88" s="36" t="s">
        <v>377</v>
      </c>
      <c r="F88" s="36" t="s">
        <v>231</v>
      </c>
    </row>
    <row r="89" customFormat="false" ht="25.5" hidden="false" customHeight="true" outlineLevel="0" collapsed="false">
      <c r="A89" s="76" t="s">
        <v>422</v>
      </c>
      <c r="B89" s="36" t="s">
        <v>233</v>
      </c>
      <c r="C89" s="36" t="s">
        <v>423</v>
      </c>
      <c r="D89" s="36" t="s">
        <v>419</v>
      </c>
      <c r="E89" s="36" t="s">
        <v>256</v>
      </c>
      <c r="F89" s="36" t="s">
        <v>231</v>
      </c>
    </row>
    <row r="90" customFormat="false" ht="25.5" hidden="false" customHeight="true" outlineLevel="0" collapsed="false">
      <c r="A90" s="76" t="s">
        <v>424</v>
      </c>
      <c r="B90" s="36" t="s">
        <v>233</v>
      </c>
      <c r="C90" s="36" t="s">
        <v>425</v>
      </c>
      <c r="D90" s="36" t="s">
        <v>419</v>
      </c>
      <c r="E90" s="36" t="s">
        <v>256</v>
      </c>
      <c r="F90" s="36" t="s">
        <v>231</v>
      </c>
    </row>
    <row r="91" customFormat="false" ht="25.5" hidden="false" customHeight="true" outlineLevel="0" collapsed="false">
      <c r="A91" s="76" t="s">
        <v>426</v>
      </c>
      <c r="B91" s="36" t="s">
        <v>233</v>
      </c>
      <c r="C91" s="36" t="s">
        <v>427</v>
      </c>
      <c r="D91" s="36" t="s">
        <v>419</v>
      </c>
      <c r="E91" s="36" t="s">
        <v>377</v>
      </c>
      <c r="F91" s="36" t="s">
        <v>231</v>
      </c>
    </row>
    <row r="92" customFormat="false" ht="25.5" hidden="false" customHeight="true" outlineLevel="0" collapsed="false">
      <c r="A92" s="76" t="s">
        <v>428</v>
      </c>
      <c r="B92" s="36" t="s">
        <v>233</v>
      </c>
      <c r="C92" s="36" t="s">
        <v>429</v>
      </c>
      <c r="D92" s="36" t="s">
        <v>419</v>
      </c>
      <c r="E92" s="36" t="s">
        <v>377</v>
      </c>
      <c r="F92" s="36" t="s">
        <v>231</v>
      </c>
    </row>
    <row r="93" customFormat="false" ht="25.5" hidden="false" customHeight="true" outlineLevel="0" collapsed="false">
      <c r="A93" s="76" t="s">
        <v>430</v>
      </c>
      <c r="B93" s="36" t="s">
        <v>251</v>
      </c>
      <c r="C93" s="36" t="s">
        <v>431</v>
      </c>
      <c r="D93" s="36" t="s">
        <v>419</v>
      </c>
      <c r="E93" s="36" t="s">
        <v>321</v>
      </c>
      <c r="F93" s="36" t="s">
        <v>231</v>
      </c>
    </row>
    <row r="94" customFormat="false" ht="25.5" hidden="false" customHeight="true" outlineLevel="0" collapsed="false">
      <c r="A94" s="76" t="s">
        <v>432</v>
      </c>
      <c r="B94" s="36" t="s">
        <v>251</v>
      </c>
      <c r="C94" s="36" t="s">
        <v>433</v>
      </c>
      <c r="D94" s="36" t="s">
        <v>419</v>
      </c>
      <c r="E94" s="36" t="s">
        <v>377</v>
      </c>
      <c r="F94" s="36" t="s">
        <v>231</v>
      </c>
    </row>
    <row r="95" customFormat="false" ht="25.5" hidden="false" customHeight="true" outlineLevel="0" collapsed="false">
      <c r="A95" s="76" t="s">
        <v>434</v>
      </c>
      <c r="B95" s="36" t="s">
        <v>251</v>
      </c>
      <c r="C95" s="36" t="s">
        <v>435</v>
      </c>
      <c r="D95" s="36" t="s">
        <v>419</v>
      </c>
      <c r="E95" s="36" t="s">
        <v>256</v>
      </c>
      <c r="F95" s="36" t="s">
        <v>231</v>
      </c>
    </row>
    <row r="96" customFormat="false" ht="25.5" hidden="false" customHeight="true" outlineLevel="0" collapsed="false">
      <c r="A96" s="76" t="s">
        <v>436</v>
      </c>
      <c r="B96" s="36" t="s">
        <v>251</v>
      </c>
      <c r="C96" s="36" t="s">
        <v>437</v>
      </c>
      <c r="D96" s="36" t="s">
        <v>419</v>
      </c>
      <c r="E96" s="36" t="s">
        <v>256</v>
      </c>
      <c r="F96" s="36" t="s">
        <v>231</v>
      </c>
    </row>
    <row r="97" customFormat="false" ht="25.5" hidden="false" customHeight="true" outlineLevel="0" collapsed="false">
      <c r="A97" s="76" t="s">
        <v>438</v>
      </c>
      <c r="B97" s="36" t="s">
        <v>251</v>
      </c>
      <c r="C97" s="36" t="s">
        <v>439</v>
      </c>
      <c r="D97" s="36" t="s">
        <v>419</v>
      </c>
      <c r="E97" s="36" t="s">
        <v>377</v>
      </c>
      <c r="F97" s="36" t="s">
        <v>231</v>
      </c>
    </row>
    <row r="98" customFormat="false" ht="25.5" hidden="false" customHeight="true" outlineLevel="0" collapsed="false">
      <c r="A98" s="76" t="s">
        <v>440</v>
      </c>
      <c r="B98" s="36" t="s">
        <v>251</v>
      </c>
      <c r="C98" s="36" t="s">
        <v>441</v>
      </c>
      <c r="D98" s="36" t="s">
        <v>419</v>
      </c>
      <c r="E98" s="36" t="s">
        <v>377</v>
      </c>
      <c r="F98" s="36" t="s">
        <v>231</v>
      </c>
    </row>
    <row r="99" customFormat="false" ht="25.5" hidden="false" customHeight="true" outlineLevel="0" collapsed="false">
      <c r="A99" s="76" t="s">
        <v>442</v>
      </c>
      <c r="B99" s="36" t="s">
        <v>251</v>
      </c>
      <c r="C99" s="36" t="s">
        <v>443</v>
      </c>
      <c r="D99" s="36" t="s">
        <v>419</v>
      </c>
      <c r="E99" s="36" t="s">
        <v>377</v>
      </c>
      <c r="F99" s="36" t="s">
        <v>231</v>
      </c>
    </row>
    <row r="100" customFormat="false" ht="25.5" hidden="false" customHeight="true" outlineLevel="0" collapsed="false">
      <c r="A100" s="76" t="s">
        <v>444</v>
      </c>
      <c r="B100" s="36" t="s">
        <v>251</v>
      </c>
      <c r="C100" s="36" t="s">
        <v>445</v>
      </c>
      <c r="D100" s="36" t="s">
        <v>419</v>
      </c>
      <c r="E100" s="36" t="s">
        <v>377</v>
      </c>
      <c r="F100" s="36" t="s">
        <v>231</v>
      </c>
    </row>
    <row r="101" customFormat="false" ht="25.5" hidden="false" customHeight="true" outlineLevel="0" collapsed="false">
      <c r="A101" s="76" t="s">
        <v>446</v>
      </c>
      <c r="B101" s="36" t="s">
        <v>263</v>
      </c>
      <c r="C101" s="36" t="s">
        <v>447</v>
      </c>
      <c r="D101" s="36" t="s">
        <v>419</v>
      </c>
      <c r="E101" s="36" t="s">
        <v>321</v>
      </c>
      <c r="F101" s="36" t="s">
        <v>231</v>
      </c>
    </row>
    <row r="102" customFormat="false" ht="25.5" hidden="false" customHeight="true" outlineLevel="0" collapsed="false">
      <c r="A102" s="76" t="s">
        <v>448</v>
      </c>
      <c r="B102" s="36" t="s">
        <v>263</v>
      </c>
      <c r="C102" s="36" t="s">
        <v>449</v>
      </c>
      <c r="D102" s="36" t="s">
        <v>419</v>
      </c>
      <c r="E102" s="36" t="s">
        <v>377</v>
      </c>
      <c r="F102" s="36" t="s">
        <v>231</v>
      </c>
    </row>
    <row r="103" customFormat="false" ht="25.5" hidden="false" customHeight="true" outlineLevel="0" collapsed="false">
      <c r="A103" s="76" t="s">
        <v>450</v>
      </c>
      <c r="B103" s="36" t="s">
        <v>263</v>
      </c>
      <c r="C103" s="36" t="s">
        <v>451</v>
      </c>
      <c r="D103" s="36" t="s">
        <v>419</v>
      </c>
      <c r="E103" s="36" t="s">
        <v>256</v>
      </c>
      <c r="F103" s="36" t="s">
        <v>231</v>
      </c>
    </row>
    <row r="104" customFormat="false" ht="25.5" hidden="false" customHeight="true" outlineLevel="0" collapsed="false">
      <c r="A104" s="76" t="s">
        <v>452</v>
      </c>
      <c r="B104" s="36" t="s">
        <v>263</v>
      </c>
      <c r="C104" s="36" t="s">
        <v>453</v>
      </c>
      <c r="D104" s="36" t="s">
        <v>419</v>
      </c>
      <c r="E104" s="36" t="s">
        <v>256</v>
      </c>
      <c r="F104" s="36" t="s">
        <v>231</v>
      </c>
    </row>
    <row r="105" customFormat="false" ht="25.5" hidden="false" customHeight="true" outlineLevel="0" collapsed="false">
      <c r="A105" s="76" t="s">
        <v>454</v>
      </c>
      <c r="B105" s="36" t="s">
        <v>263</v>
      </c>
      <c r="C105" s="36" t="s">
        <v>455</v>
      </c>
      <c r="D105" s="36" t="s">
        <v>419</v>
      </c>
      <c r="E105" s="36" t="s">
        <v>377</v>
      </c>
      <c r="F105" s="36" t="s">
        <v>231</v>
      </c>
    </row>
    <row r="106" customFormat="false" ht="25.5" hidden="false" customHeight="true" outlineLevel="0" collapsed="false">
      <c r="A106" s="76" t="s">
        <v>456</v>
      </c>
      <c r="B106" s="36" t="s">
        <v>263</v>
      </c>
      <c r="C106" s="36" t="s">
        <v>457</v>
      </c>
      <c r="D106" s="36" t="s">
        <v>419</v>
      </c>
      <c r="E106" s="36" t="s">
        <v>377</v>
      </c>
      <c r="F106" s="36" t="s">
        <v>231</v>
      </c>
    </row>
    <row r="107" customFormat="false" ht="25.5" hidden="false" customHeight="true" outlineLevel="0" collapsed="false">
      <c r="A107" s="76" t="s">
        <v>458</v>
      </c>
      <c r="B107" s="36" t="s">
        <v>263</v>
      </c>
      <c r="C107" s="36" t="s">
        <v>443</v>
      </c>
      <c r="D107" s="36" t="s">
        <v>419</v>
      </c>
      <c r="E107" s="36" t="s">
        <v>377</v>
      </c>
      <c r="F107" s="36" t="s">
        <v>231</v>
      </c>
    </row>
    <row r="108" customFormat="false" ht="25.5" hidden="false" customHeight="true" outlineLevel="0" collapsed="false">
      <c r="A108" s="76" t="s">
        <v>459</v>
      </c>
      <c r="B108" s="36" t="s">
        <v>263</v>
      </c>
      <c r="C108" s="36" t="s">
        <v>460</v>
      </c>
      <c r="D108" s="36" t="s">
        <v>419</v>
      </c>
      <c r="E108" s="36" t="s">
        <v>377</v>
      </c>
      <c r="F108" s="36" t="s">
        <v>231</v>
      </c>
    </row>
    <row r="109" customFormat="false" ht="30" hidden="false" customHeight="true" outlineLevel="0" collapsed="false">
      <c r="A109" s="75" t="s">
        <v>461</v>
      </c>
      <c r="B109" s="75" t="s">
        <v>227</v>
      </c>
      <c r="C109" s="75" t="s">
        <v>462</v>
      </c>
      <c r="D109" s="75" t="s">
        <v>419</v>
      </c>
      <c r="E109" s="75" t="s">
        <v>290</v>
      </c>
      <c r="F109" s="75" t="s">
        <v>231</v>
      </c>
    </row>
    <row r="110" customFormat="false" ht="25.5" hidden="false" customHeight="true" outlineLevel="0" collapsed="false">
      <c r="A110" s="76" t="s">
        <v>463</v>
      </c>
      <c r="B110" s="36" t="s">
        <v>233</v>
      </c>
      <c r="C110" s="36" t="s">
        <v>464</v>
      </c>
      <c r="D110" s="36" t="s">
        <v>419</v>
      </c>
      <c r="E110" s="36" t="s">
        <v>299</v>
      </c>
      <c r="F110" s="36" t="s">
        <v>231</v>
      </c>
    </row>
    <row r="111" customFormat="false" ht="25.5" hidden="false" customHeight="true" outlineLevel="0" collapsed="false">
      <c r="A111" s="76" t="s">
        <v>465</v>
      </c>
      <c r="B111" s="36" t="s">
        <v>233</v>
      </c>
      <c r="C111" s="36" t="s">
        <v>466</v>
      </c>
      <c r="D111" s="36" t="s">
        <v>419</v>
      </c>
      <c r="E111" s="36" t="s">
        <v>261</v>
      </c>
      <c r="F111" s="36" t="s">
        <v>231</v>
      </c>
    </row>
    <row r="112" customFormat="false" ht="25.5" hidden="false" customHeight="true" outlineLevel="0" collapsed="false">
      <c r="A112" s="76" t="s">
        <v>467</v>
      </c>
      <c r="B112" s="36" t="s">
        <v>233</v>
      </c>
      <c r="C112" s="36" t="s">
        <v>468</v>
      </c>
      <c r="D112" s="36" t="s">
        <v>419</v>
      </c>
      <c r="E112" s="36" t="s">
        <v>469</v>
      </c>
      <c r="F112" s="36" t="s">
        <v>231</v>
      </c>
    </row>
    <row r="113" customFormat="false" ht="25.5" hidden="false" customHeight="true" outlineLevel="0" collapsed="false">
      <c r="A113" s="76" t="s">
        <v>470</v>
      </c>
      <c r="B113" s="36" t="s">
        <v>251</v>
      </c>
      <c r="C113" s="36" t="s">
        <v>471</v>
      </c>
      <c r="D113" s="36" t="s">
        <v>419</v>
      </c>
      <c r="E113" s="36" t="s">
        <v>299</v>
      </c>
      <c r="F113" s="36" t="s">
        <v>231</v>
      </c>
    </row>
    <row r="114" customFormat="false" ht="25.5" hidden="false" customHeight="true" outlineLevel="0" collapsed="false">
      <c r="A114" s="76" t="s">
        <v>472</v>
      </c>
      <c r="B114" s="36" t="s">
        <v>251</v>
      </c>
      <c r="C114" s="36" t="s">
        <v>473</v>
      </c>
      <c r="D114" s="36" t="s">
        <v>419</v>
      </c>
      <c r="E114" s="36" t="s">
        <v>261</v>
      </c>
      <c r="F114" s="36" t="s">
        <v>231</v>
      </c>
    </row>
    <row r="115" customFormat="false" ht="25.5" hidden="false" customHeight="true" outlineLevel="0" collapsed="false">
      <c r="A115" s="76" t="s">
        <v>474</v>
      </c>
      <c r="B115" s="36" t="s">
        <v>251</v>
      </c>
      <c r="C115" s="36" t="s">
        <v>475</v>
      </c>
      <c r="D115" s="36" t="s">
        <v>419</v>
      </c>
      <c r="E115" s="36" t="s">
        <v>290</v>
      </c>
      <c r="F115" s="36" t="s">
        <v>231</v>
      </c>
    </row>
    <row r="116" customFormat="false" ht="25.5" hidden="false" customHeight="true" outlineLevel="0" collapsed="false">
      <c r="A116" s="76" t="s">
        <v>476</v>
      </c>
      <c r="B116" s="36" t="s">
        <v>263</v>
      </c>
      <c r="C116" s="36" t="s">
        <v>477</v>
      </c>
      <c r="D116" s="36" t="s">
        <v>419</v>
      </c>
      <c r="E116" s="36" t="s">
        <v>299</v>
      </c>
      <c r="F116" s="36" t="s">
        <v>231</v>
      </c>
    </row>
    <row r="117" customFormat="false" ht="25.5" hidden="false" customHeight="true" outlineLevel="0" collapsed="false">
      <c r="A117" s="76" t="s">
        <v>478</v>
      </c>
      <c r="B117" s="36" t="s">
        <v>263</v>
      </c>
      <c r="C117" s="36" t="s">
        <v>473</v>
      </c>
      <c r="D117" s="36" t="s">
        <v>419</v>
      </c>
      <c r="E117" s="36" t="s">
        <v>261</v>
      </c>
      <c r="F117" s="36" t="s">
        <v>231</v>
      </c>
    </row>
    <row r="118" customFormat="false" ht="25.5" hidden="false" customHeight="true" outlineLevel="0" collapsed="false">
      <c r="A118" s="76" t="s">
        <v>479</v>
      </c>
      <c r="B118" s="36" t="s">
        <v>263</v>
      </c>
      <c r="C118" s="36" t="s">
        <v>475</v>
      </c>
      <c r="D118" s="36" t="s">
        <v>419</v>
      </c>
      <c r="E118" s="36" t="s">
        <v>290</v>
      </c>
      <c r="F118" s="36" t="s">
        <v>231</v>
      </c>
    </row>
    <row r="119" customFormat="false" ht="30" hidden="false" customHeight="true" outlineLevel="0" collapsed="false">
      <c r="A119" s="75" t="s">
        <v>480</v>
      </c>
      <c r="B119" s="75" t="s">
        <v>227</v>
      </c>
      <c r="C119" s="75" t="s">
        <v>481</v>
      </c>
      <c r="D119" s="75" t="s">
        <v>419</v>
      </c>
      <c r="E119" s="75" t="s">
        <v>299</v>
      </c>
      <c r="F119" s="75" t="s">
        <v>231</v>
      </c>
    </row>
    <row r="120" customFormat="false" ht="25.5" hidden="false" customHeight="true" outlineLevel="0" collapsed="false">
      <c r="A120" s="76" t="s">
        <v>482</v>
      </c>
      <c r="B120" s="36" t="s">
        <v>233</v>
      </c>
      <c r="C120" s="36" t="s">
        <v>483</v>
      </c>
      <c r="D120" s="36" t="s">
        <v>419</v>
      </c>
      <c r="E120" s="36" t="s">
        <v>299</v>
      </c>
      <c r="F120" s="36" t="s">
        <v>231</v>
      </c>
    </row>
    <row r="121" customFormat="false" ht="25.5" hidden="false" customHeight="true" outlineLevel="0" collapsed="false">
      <c r="A121" s="76" t="s">
        <v>484</v>
      </c>
      <c r="B121" s="36" t="s">
        <v>233</v>
      </c>
      <c r="C121" s="36" t="s">
        <v>485</v>
      </c>
      <c r="D121" s="36" t="s">
        <v>419</v>
      </c>
      <c r="E121" s="36" t="s">
        <v>299</v>
      </c>
      <c r="F121" s="36" t="s">
        <v>231</v>
      </c>
    </row>
    <row r="122" customFormat="false" ht="25.5" hidden="false" customHeight="true" outlineLevel="0" collapsed="false">
      <c r="A122" s="76" t="s">
        <v>486</v>
      </c>
      <c r="B122" s="36" t="s">
        <v>233</v>
      </c>
      <c r="C122" s="36" t="s">
        <v>487</v>
      </c>
      <c r="D122" s="36" t="s">
        <v>419</v>
      </c>
      <c r="E122" s="36" t="s">
        <v>299</v>
      </c>
      <c r="F122" s="36" t="s">
        <v>231</v>
      </c>
    </row>
    <row r="123" customFormat="false" ht="25.5" hidden="false" customHeight="true" outlineLevel="0" collapsed="false">
      <c r="A123" s="76" t="s">
        <v>488</v>
      </c>
      <c r="B123" s="36" t="s">
        <v>251</v>
      </c>
      <c r="C123" s="36" t="s">
        <v>489</v>
      </c>
      <c r="D123" s="36" t="s">
        <v>419</v>
      </c>
      <c r="E123" s="36" t="s">
        <v>299</v>
      </c>
      <c r="F123" s="36" t="s">
        <v>231</v>
      </c>
    </row>
    <row r="124" customFormat="false" ht="25.5" hidden="false" customHeight="true" outlineLevel="0" collapsed="false">
      <c r="A124" s="76" t="s">
        <v>490</v>
      </c>
      <c r="B124" s="36" t="s">
        <v>251</v>
      </c>
      <c r="C124" s="36" t="s">
        <v>491</v>
      </c>
      <c r="D124" s="36" t="s">
        <v>419</v>
      </c>
      <c r="E124" s="36" t="s">
        <v>299</v>
      </c>
      <c r="F124" s="36" t="s">
        <v>231</v>
      </c>
    </row>
    <row r="125" customFormat="false" ht="25.5" hidden="false" customHeight="true" outlineLevel="0" collapsed="false">
      <c r="A125" s="76" t="s">
        <v>492</v>
      </c>
      <c r="B125" s="36" t="s">
        <v>251</v>
      </c>
      <c r="C125" s="36" t="s">
        <v>493</v>
      </c>
      <c r="D125" s="36" t="s">
        <v>419</v>
      </c>
      <c r="E125" s="36" t="s">
        <v>299</v>
      </c>
      <c r="F125" s="36" t="s">
        <v>231</v>
      </c>
    </row>
    <row r="126" customFormat="false" ht="39" hidden="false" customHeight="true" outlineLevel="0" collapsed="false">
      <c r="A126" s="76" t="s">
        <v>494</v>
      </c>
      <c r="B126" s="36" t="s">
        <v>263</v>
      </c>
      <c r="C126" s="36" t="s">
        <v>495</v>
      </c>
      <c r="D126" s="36" t="s">
        <v>419</v>
      </c>
      <c r="E126" s="36" t="s">
        <v>299</v>
      </c>
      <c r="F126" s="36" t="s">
        <v>231</v>
      </c>
    </row>
    <row r="127" customFormat="false" ht="25.5" hidden="false" customHeight="true" outlineLevel="0" collapsed="false">
      <c r="A127" s="76" t="s">
        <v>496</v>
      </c>
      <c r="B127" s="36" t="s">
        <v>263</v>
      </c>
      <c r="C127" s="36" t="s">
        <v>497</v>
      </c>
      <c r="D127" s="36" t="s">
        <v>419</v>
      </c>
      <c r="E127" s="36" t="s">
        <v>299</v>
      </c>
      <c r="F127" s="36" t="s">
        <v>231</v>
      </c>
    </row>
    <row r="129" customFormat="false" ht="15" hidden="false" customHeight="true" outlineLevel="0" collapsed="false">
      <c r="A129" s="52" t="s">
        <v>498</v>
      </c>
      <c r="B129" s="52"/>
      <c r="C129" s="52"/>
      <c r="D129" s="52"/>
      <c r="E129" s="52"/>
      <c r="F129" s="52"/>
    </row>
  </sheetData>
  <mergeCells count="3">
    <mergeCell ref="A1:F1"/>
    <mergeCell ref="A2:F2"/>
    <mergeCell ref="A129:F129"/>
  </mergeCells>
  <hyperlinks>
    <hyperlink ref="F3" r:id="rId1" location="'🏠%20Accueil'!A1" display="◀ Accueil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7030A0"/>
    <pageSetUpPr fitToPage="false"/>
  </sheetPr>
  <dimension ref="A1:F5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0"/>
    <col collapsed="false" customWidth="true" hidden="false" outlineLevel="0" max="2" min="2" style="1" width="8"/>
    <col collapsed="false" customWidth="true" hidden="false" outlineLevel="0" max="3" min="3" style="1" width="78"/>
    <col collapsed="false" customWidth="true" hidden="false" outlineLevel="0" max="4" min="4" style="1" width="12"/>
    <col collapsed="false" customWidth="true" hidden="false" outlineLevel="0" max="5" min="5" style="1" width="16"/>
    <col collapsed="false" customWidth="true" hidden="false" outlineLevel="0" max="6" min="6" style="1" width="11"/>
  </cols>
  <sheetData>
    <row r="1" customFormat="false" ht="18" hidden="false" customHeight="true" outlineLevel="0" collapsed="false">
      <c r="A1" s="53" t="s">
        <v>499</v>
      </c>
      <c r="B1" s="53"/>
      <c r="C1" s="53"/>
      <c r="D1" s="53"/>
      <c r="E1" s="53"/>
      <c r="F1" s="53"/>
    </row>
    <row r="2" customFormat="false" ht="15" hidden="false" customHeight="true" outlineLevel="0" collapsed="false">
      <c r="A2" s="52" t="s">
        <v>500</v>
      </c>
      <c r="B2" s="52"/>
      <c r="C2" s="52"/>
      <c r="D2" s="52"/>
      <c r="E2" s="52"/>
      <c r="F2" s="52"/>
    </row>
    <row r="3" customFormat="false" ht="15" hidden="false" customHeight="true" outlineLevel="0" collapsed="false">
      <c r="F3" s="30" t="s">
        <v>58</v>
      </c>
    </row>
    <row r="4" customFormat="false" ht="15" hidden="false" customHeight="true" outlineLevel="0" collapsed="false">
      <c r="A4" s="31" t="s">
        <v>220</v>
      </c>
      <c r="B4" s="31" t="s">
        <v>221</v>
      </c>
      <c r="C4" s="31" t="s">
        <v>222</v>
      </c>
      <c r="D4" s="31" t="s">
        <v>223</v>
      </c>
      <c r="E4" s="31" t="s">
        <v>224</v>
      </c>
      <c r="F4" s="31" t="s">
        <v>225</v>
      </c>
    </row>
    <row r="5" customFormat="false" ht="30" hidden="false" customHeight="true" outlineLevel="0" collapsed="false">
      <c r="A5" s="75" t="s">
        <v>226</v>
      </c>
      <c r="B5" s="75" t="s">
        <v>227</v>
      </c>
      <c r="C5" s="75" t="s">
        <v>228</v>
      </c>
      <c r="D5" s="75" t="s">
        <v>229</v>
      </c>
      <c r="E5" s="75" t="s">
        <v>230</v>
      </c>
      <c r="F5" s="75" t="s">
        <v>231</v>
      </c>
    </row>
    <row r="6" customFormat="false" ht="25.5" hidden="false" customHeight="true" outlineLevel="0" collapsed="false">
      <c r="A6" s="76" t="s">
        <v>262</v>
      </c>
      <c r="B6" s="36" t="s">
        <v>263</v>
      </c>
      <c r="C6" s="36" t="s">
        <v>264</v>
      </c>
      <c r="D6" s="36" t="s">
        <v>235</v>
      </c>
      <c r="E6" s="36" t="s">
        <v>256</v>
      </c>
      <c r="F6" s="36" t="s">
        <v>231</v>
      </c>
    </row>
    <row r="7" customFormat="false" ht="25.5" hidden="false" customHeight="true" outlineLevel="0" collapsed="false">
      <c r="A7" s="76" t="s">
        <v>265</v>
      </c>
      <c r="B7" s="36" t="s">
        <v>263</v>
      </c>
      <c r="C7" s="36" t="s">
        <v>266</v>
      </c>
      <c r="D7" s="36" t="s">
        <v>235</v>
      </c>
      <c r="E7" s="36" t="s">
        <v>256</v>
      </c>
      <c r="F7" s="36" t="s">
        <v>231</v>
      </c>
    </row>
    <row r="8" customFormat="false" ht="25.5" hidden="false" customHeight="true" outlineLevel="0" collapsed="false">
      <c r="A8" s="76" t="s">
        <v>267</v>
      </c>
      <c r="B8" s="36" t="s">
        <v>263</v>
      </c>
      <c r="C8" s="36" t="s">
        <v>268</v>
      </c>
      <c r="D8" s="36" t="s">
        <v>235</v>
      </c>
      <c r="E8" s="36" t="s">
        <v>256</v>
      </c>
      <c r="F8" s="36" t="s">
        <v>231</v>
      </c>
    </row>
    <row r="9" customFormat="false" ht="25.5" hidden="false" customHeight="true" outlineLevel="0" collapsed="false">
      <c r="A9" s="76" t="s">
        <v>269</v>
      </c>
      <c r="B9" s="36" t="s">
        <v>263</v>
      </c>
      <c r="C9" s="36" t="s">
        <v>270</v>
      </c>
      <c r="D9" s="36" t="s">
        <v>235</v>
      </c>
      <c r="E9" s="36" t="s">
        <v>256</v>
      </c>
      <c r="F9" s="36" t="s">
        <v>231</v>
      </c>
    </row>
    <row r="10" customFormat="false" ht="25.5" hidden="false" customHeight="true" outlineLevel="0" collapsed="false">
      <c r="A10" s="76" t="s">
        <v>271</v>
      </c>
      <c r="B10" s="36" t="s">
        <v>263</v>
      </c>
      <c r="C10" s="36" t="s">
        <v>272</v>
      </c>
      <c r="D10" s="36" t="s">
        <v>235</v>
      </c>
      <c r="E10" s="36" t="s">
        <v>273</v>
      </c>
      <c r="F10" s="36" t="s">
        <v>231</v>
      </c>
    </row>
    <row r="11" customFormat="false" ht="30" hidden="false" customHeight="true" outlineLevel="0" collapsed="false">
      <c r="A11" s="75" t="s">
        <v>274</v>
      </c>
      <c r="B11" s="75" t="s">
        <v>227</v>
      </c>
      <c r="C11" s="75" t="s">
        <v>275</v>
      </c>
      <c r="D11" s="75" t="s">
        <v>235</v>
      </c>
      <c r="E11" s="75" t="s">
        <v>253</v>
      </c>
      <c r="F11" s="75" t="s">
        <v>231</v>
      </c>
    </row>
    <row r="12" customFormat="false" ht="25.5" hidden="false" customHeight="true" outlineLevel="0" collapsed="false">
      <c r="A12" s="76" t="s">
        <v>286</v>
      </c>
      <c r="B12" s="36" t="s">
        <v>263</v>
      </c>
      <c r="C12" s="36" t="s">
        <v>287</v>
      </c>
      <c r="D12" s="36" t="s">
        <v>235</v>
      </c>
      <c r="E12" s="36" t="s">
        <v>283</v>
      </c>
      <c r="F12" s="36" t="s">
        <v>231</v>
      </c>
    </row>
    <row r="13" customFormat="false" ht="30" hidden="false" customHeight="true" outlineLevel="0" collapsed="false">
      <c r="A13" s="75" t="s">
        <v>288</v>
      </c>
      <c r="B13" s="75" t="s">
        <v>227</v>
      </c>
      <c r="C13" s="75" t="s">
        <v>289</v>
      </c>
      <c r="D13" s="75" t="s">
        <v>235</v>
      </c>
      <c r="E13" s="75" t="s">
        <v>290</v>
      </c>
      <c r="F13" s="75" t="s">
        <v>231</v>
      </c>
    </row>
    <row r="14" customFormat="false" ht="25.5" hidden="false" customHeight="true" outlineLevel="0" collapsed="false">
      <c r="A14" s="76" t="s">
        <v>306</v>
      </c>
      <c r="B14" s="36" t="s">
        <v>263</v>
      </c>
      <c r="C14" s="36" t="s">
        <v>307</v>
      </c>
      <c r="D14" s="36" t="s">
        <v>235</v>
      </c>
      <c r="E14" s="36" t="s">
        <v>256</v>
      </c>
      <c r="F14" s="36" t="s">
        <v>231</v>
      </c>
    </row>
    <row r="15" customFormat="false" ht="25.5" hidden="false" customHeight="true" outlineLevel="0" collapsed="false">
      <c r="A15" s="76" t="s">
        <v>308</v>
      </c>
      <c r="B15" s="36" t="s">
        <v>263</v>
      </c>
      <c r="C15" s="36" t="s">
        <v>309</v>
      </c>
      <c r="D15" s="36" t="s">
        <v>235</v>
      </c>
      <c r="E15" s="36" t="s">
        <v>256</v>
      </c>
      <c r="F15" s="36" t="s">
        <v>231</v>
      </c>
    </row>
    <row r="16" customFormat="false" ht="25.5" hidden="false" customHeight="true" outlineLevel="0" collapsed="false">
      <c r="A16" s="76" t="s">
        <v>310</v>
      </c>
      <c r="B16" s="36" t="s">
        <v>263</v>
      </c>
      <c r="C16" s="36" t="s">
        <v>311</v>
      </c>
      <c r="D16" s="36" t="s">
        <v>235</v>
      </c>
      <c r="E16" s="36" t="s">
        <v>256</v>
      </c>
      <c r="F16" s="36" t="s">
        <v>231</v>
      </c>
    </row>
    <row r="17" customFormat="false" ht="25.5" hidden="false" customHeight="true" outlineLevel="0" collapsed="false">
      <c r="A17" s="76" t="s">
        <v>312</v>
      </c>
      <c r="B17" s="36" t="s">
        <v>263</v>
      </c>
      <c r="C17" s="36" t="s">
        <v>313</v>
      </c>
      <c r="D17" s="36" t="s">
        <v>235</v>
      </c>
      <c r="E17" s="36" t="s">
        <v>299</v>
      </c>
      <c r="F17" s="36" t="s">
        <v>231</v>
      </c>
    </row>
    <row r="18" customFormat="false" ht="30" hidden="false" customHeight="true" outlineLevel="0" collapsed="false">
      <c r="A18" s="75" t="s">
        <v>314</v>
      </c>
      <c r="B18" s="75" t="s">
        <v>227</v>
      </c>
      <c r="C18" s="75" t="s">
        <v>315</v>
      </c>
      <c r="D18" s="75" t="s">
        <v>316</v>
      </c>
      <c r="E18" s="75" t="s">
        <v>317</v>
      </c>
      <c r="F18" s="75" t="s">
        <v>231</v>
      </c>
    </row>
    <row r="19" customFormat="false" ht="25.5" hidden="false" customHeight="true" outlineLevel="0" collapsed="false">
      <c r="A19" s="76" t="s">
        <v>355</v>
      </c>
      <c r="B19" s="36" t="s">
        <v>263</v>
      </c>
      <c r="C19" s="36" t="s">
        <v>356</v>
      </c>
      <c r="D19" s="36" t="s">
        <v>320</v>
      </c>
      <c r="E19" s="36" t="s">
        <v>299</v>
      </c>
      <c r="F19" s="36" t="s">
        <v>231</v>
      </c>
    </row>
    <row r="20" customFormat="false" ht="25.5" hidden="false" customHeight="true" outlineLevel="0" collapsed="false">
      <c r="A20" s="76" t="s">
        <v>357</v>
      </c>
      <c r="B20" s="36" t="s">
        <v>263</v>
      </c>
      <c r="C20" s="36" t="s">
        <v>358</v>
      </c>
      <c r="D20" s="36" t="s">
        <v>320</v>
      </c>
      <c r="E20" s="36" t="s">
        <v>256</v>
      </c>
      <c r="F20" s="36" t="s">
        <v>231</v>
      </c>
    </row>
    <row r="21" customFormat="false" ht="25.5" hidden="false" customHeight="true" outlineLevel="0" collapsed="false">
      <c r="A21" s="76" t="s">
        <v>359</v>
      </c>
      <c r="B21" s="36" t="s">
        <v>263</v>
      </c>
      <c r="C21" s="36" t="s">
        <v>360</v>
      </c>
      <c r="D21" s="36" t="s">
        <v>320</v>
      </c>
      <c r="E21" s="36" t="s">
        <v>299</v>
      </c>
      <c r="F21" s="36" t="s">
        <v>231</v>
      </c>
    </row>
    <row r="22" customFormat="false" ht="25.5" hidden="false" customHeight="true" outlineLevel="0" collapsed="false">
      <c r="A22" s="76" t="s">
        <v>361</v>
      </c>
      <c r="B22" s="36" t="s">
        <v>263</v>
      </c>
      <c r="C22" s="36" t="s">
        <v>362</v>
      </c>
      <c r="D22" s="36" t="s">
        <v>320</v>
      </c>
      <c r="E22" s="36" t="s">
        <v>299</v>
      </c>
      <c r="F22" s="36" t="s">
        <v>231</v>
      </c>
    </row>
    <row r="23" customFormat="false" ht="25.5" hidden="false" customHeight="true" outlineLevel="0" collapsed="false">
      <c r="A23" s="76" t="s">
        <v>363</v>
      </c>
      <c r="B23" s="36" t="s">
        <v>263</v>
      </c>
      <c r="C23" s="36" t="s">
        <v>364</v>
      </c>
      <c r="D23" s="36" t="s">
        <v>320</v>
      </c>
      <c r="E23" s="36" t="s">
        <v>299</v>
      </c>
      <c r="F23" s="36" t="s">
        <v>231</v>
      </c>
    </row>
    <row r="24" customFormat="false" ht="25.5" hidden="false" customHeight="true" outlineLevel="0" collapsed="false">
      <c r="A24" s="76" t="s">
        <v>365</v>
      </c>
      <c r="B24" s="36" t="s">
        <v>263</v>
      </c>
      <c r="C24" s="36" t="s">
        <v>366</v>
      </c>
      <c r="D24" s="36" t="s">
        <v>320</v>
      </c>
      <c r="E24" s="36" t="s">
        <v>299</v>
      </c>
      <c r="F24" s="36" t="s">
        <v>231</v>
      </c>
    </row>
    <row r="25" customFormat="false" ht="25.5" hidden="false" customHeight="true" outlineLevel="0" collapsed="false">
      <c r="A25" s="76" t="s">
        <v>367</v>
      </c>
      <c r="B25" s="36" t="s">
        <v>263</v>
      </c>
      <c r="C25" s="36" t="s">
        <v>368</v>
      </c>
      <c r="D25" s="36" t="s">
        <v>320</v>
      </c>
      <c r="E25" s="36" t="s">
        <v>236</v>
      </c>
      <c r="F25" s="36" t="s">
        <v>231</v>
      </c>
    </row>
    <row r="26" customFormat="false" ht="25.5" hidden="false" customHeight="true" outlineLevel="0" collapsed="false">
      <c r="A26" s="76" t="s">
        <v>369</v>
      </c>
      <c r="B26" s="36" t="s">
        <v>263</v>
      </c>
      <c r="C26" s="36" t="s">
        <v>370</v>
      </c>
      <c r="D26" s="36" t="s">
        <v>320</v>
      </c>
      <c r="E26" s="36" t="s">
        <v>236</v>
      </c>
      <c r="F26" s="36" t="s">
        <v>231</v>
      </c>
    </row>
    <row r="27" customFormat="false" ht="30" hidden="false" customHeight="true" outlineLevel="0" collapsed="false">
      <c r="A27" s="75" t="s">
        <v>371</v>
      </c>
      <c r="B27" s="75" t="s">
        <v>227</v>
      </c>
      <c r="C27" s="75" t="s">
        <v>372</v>
      </c>
      <c r="D27" s="75" t="s">
        <v>320</v>
      </c>
      <c r="E27" s="75" t="s">
        <v>290</v>
      </c>
      <c r="F27" s="75" t="s">
        <v>231</v>
      </c>
    </row>
    <row r="28" customFormat="false" ht="25.5" hidden="false" customHeight="true" outlineLevel="0" collapsed="false">
      <c r="A28" s="76" t="s">
        <v>386</v>
      </c>
      <c r="B28" s="36" t="s">
        <v>263</v>
      </c>
      <c r="C28" s="36" t="s">
        <v>387</v>
      </c>
      <c r="D28" s="36" t="s">
        <v>320</v>
      </c>
      <c r="E28" s="36" t="s">
        <v>299</v>
      </c>
      <c r="F28" s="36" t="s">
        <v>231</v>
      </c>
    </row>
    <row r="29" customFormat="false" ht="25.5" hidden="false" customHeight="true" outlineLevel="0" collapsed="false">
      <c r="A29" s="76" t="s">
        <v>388</v>
      </c>
      <c r="B29" s="36" t="s">
        <v>263</v>
      </c>
      <c r="C29" s="36" t="s">
        <v>389</v>
      </c>
      <c r="D29" s="36" t="s">
        <v>320</v>
      </c>
      <c r="E29" s="36" t="s">
        <v>299</v>
      </c>
      <c r="F29" s="36" t="s">
        <v>231</v>
      </c>
    </row>
    <row r="30" customFormat="false" ht="25.5" hidden="false" customHeight="true" outlineLevel="0" collapsed="false">
      <c r="A30" s="76" t="s">
        <v>390</v>
      </c>
      <c r="B30" s="36" t="s">
        <v>263</v>
      </c>
      <c r="C30" s="36" t="s">
        <v>391</v>
      </c>
      <c r="D30" s="36" t="s">
        <v>320</v>
      </c>
      <c r="E30" s="36" t="s">
        <v>377</v>
      </c>
      <c r="F30" s="36" t="s">
        <v>231</v>
      </c>
    </row>
    <row r="31" customFormat="false" ht="25.5" hidden="false" customHeight="true" outlineLevel="0" collapsed="false">
      <c r="A31" s="76" t="s">
        <v>392</v>
      </c>
      <c r="B31" s="36" t="s">
        <v>263</v>
      </c>
      <c r="C31" s="36" t="s">
        <v>393</v>
      </c>
      <c r="D31" s="36" t="s">
        <v>320</v>
      </c>
      <c r="E31" s="36" t="s">
        <v>377</v>
      </c>
      <c r="F31" s="36" t="s">
        <v>231</v>
      </c>
    </row>
    <row r="32" customFormat="false" ht="30" hidden="false" customHeight="true" outlineLevel="0" collapsed="false">
      <c r="A32" s="75" t="s">
        <v>394</v>
      </c>
      <c r="B32" s="75" t="s">
        <v>227</v>
      </c>
      <c r="C32" s="75" t="s">
        <v>395</v>
      </c>
      <c r="D32" s="75" t="s">
        <v>320</v>
      </c>
      <c r="E32" s="75" t="s">
        <v>299</v>
      </c>
      <c r="F32" s="75" t="s">
        <v>231</v>
      </c>
    </row>
    <row r="33" customFormat="false" ht="25.5" hidden="false" customHeight="true" outlineLevel="0" collapsed="false">
      <c r="A33" s="76" t="s">
        <v>408</v>
      </c>
      <c r="B33" s="36" t="s">
        <v>263</v>
      </c>
      <c r="C33" s="36" t="s">
        <v>409</v>
      </c>
      <c r="D33" s="36" t="s">
        <v>320</v>
      </c>
      <c r="E33" s="36" t="s">
        <v>299</v>
      </c>
      <c r="F33" s="36" t="s">
        <v>231</v>
      </c>
    </row>
    <row r="34" customFormat="false" ht="25.5" hidden="false" customHeight="true" outlineLevel="0" collapsed="false">
      <c r="A34" s="76" t="s">
        <v>410</v>
      </c>
      <c r="B34" s="36" t="s">
        <v>263</v>
      </c>
      <c r="C34" s="36" t="s">
        <v>411</v>
      </c>
      <c r="D34" s="36" t="s">
        <v>320</v>
      </c>
      <c r="E34" s="36" t="s">
        <v>299</v>
      </c>
      <c r="F34" s="36" t="s">
        <v>231</v>
      </c>
    </row>
    <row r="35" customFormat="false" ht="25.5" hidden="false" customHeight="true" outlineLevel="0" collapsed="false">
      <c r="A35" s="76" t="s">
        <v>412</v>
      </c>
      <c r="B35" s="36" t="s">
        <v>263</v>
      </c>
      <c r="C35" s="36" t="s">
        <v>413</v>
      </c>
      <c r="D35" s="36" t="s">
        <v>320</v>
      </c>
      <c r="E35" s="36" t="s">
        <v>299</v>
      </c>
      <c r="F35" s="36" t="s">
        <v>231</v>
      </c>
    </row>
    <row r="36" customFormat="false" ht="30" hidden="false" customHeight="true" outlineLevel="0" collapsed="false">
      <c r="A36" s="75" t="s">
        <v>414</v>
      </c>
      <c r="B36" s="75" t="s">
        <v>227</v>
      </c>
      <c r="C36" s="75" t="s">
        <v>415</v>
      </c>
      <c r="D36" s="75" t="s">
        <v>416</v>
      </c>
      <c r="E36" s="75" t="s">
        <v>230</v>
      </c>
      <c r="F36" s="75" t="s">
        <v>231</v>
      </c>
    </row>
    <row r="37" customFormat="false" ht="25.5" hidden="false" customHeight="true" outlineLevel="0" collapsed="false">
      <c r="A37" s="76" t="s">
        <v>446</v>
      </c>
      <c r="B37" s="36" t="s">
        <v>263</v>
      </c>
      <c r="C37" s="36" t="s">
        <v>447</v>
      </c>
      <c r="D37" s="36" t="s">
        <v>419</v>
      </c>
      <c r="E37" s="36" t="s">
        <v>321</v>
      </c>
      <c r="F37" s="36" t="s">
        <v>231</v>
      </c>
    </row>
    <row r="38" customFormat="false" ht="25.5" hidden="false" customHeight="true" outlineLevel="0" collapsed="false">
      <c r="A38" s="76" t="s">
        <v>448</v>
      </c>
      <c r="B38" s="36" t="s">
        <v>263</v>
      </c>
      <c r="C38" s="36" t="s">
        <v>449</v>
      </c>
      <c r="D38" s="36" t="s">
        <v>419</v>
      </c>
      <c r="E38" s="36" t="s">
        <v>377</v>
      </c>
      <c r="F38" s="36" t="s">
        <v>231</v>
      </c>
    </row>
    <row r="39" customFormat="false" ht="25.5" hidden="false" customHeight="true" outlineLevel="0" collapsed="false">
      <c r="A39" s="76" t="s">
        <v>450</v>
      </c>
      <c r="B39" s="36" t="s">
        <v>263</v>
      </c>
      <c r="C39" s="36" t="s">
        <v>451</v>
      </c>
      <c r="D39" s="36" t="s">
        <v>419</v>
      </c>
      <c r="E39" s="36" t="s">
        <v>256</v>
      </c>
      <c r="F39" s="36" t="s">
        <v>231</v>
      </c>
    </row>
    <row r="40" customFormat="false" ht="25.5" hidden="false" customHeight="true" outlineLevel="0" collapsed="false">
      <c r="A40" s="76" t="s">
        <v>452</v>
      </c>
      <c r="B40" s="36" t="s">
        <v>263</v>
      </c>
      <c r="C40" s="36" t="s">
        <v>453</v>
      </c>
      <c r="D40" s="36" t="s">
        <v>419</v>
      </c>
      <c r="E40" s="36" t="s">
        <v>256</v>
      </c>
      <c r="F40" s="36" t="s">
        <v>231</v>
      </c>
    </row>
    <row r="41" customFormat="false" ht="25.5" hidden="false" customHeight="true" outlineLevel="0" collapsed="false">
      <c r="A41" s="76" t="s">
        <v>454</v>
      </c>
      <c r="B41" s="36" t="s">
        <v>263</v>
      </c>
      <c r="C41" s="36" t="s">
        <v>455</v>
      </c>
      <c r="D41" s="36" t="s">
        <v>419</v>
      </c>
      <c r="E41" s="36" t="s">
        <v>377</v>
      </c>
      <c r="F41" s="36" t="s">
        <v>231</v>
      </c>
    </row>
    <row r="42" customFormat="false" ht="25.5" hidden="false" customHeight="true" outlineLevel="0" collapsed="false">
      <c r="A42" s="76" t="s">
        <v>456</v>
      </c>
      <c r="B42" s="36" t="s">
        <v>263</v>
      </c>
      <c r="C42" s="36" t="s">
        <v>457</v>
      </c>
      <c r="D42" s="36" t="s">
        <v>419</v>
      </c>
      <c r="E42" s="36" t="s">
        <v>377</v>
      </c>
      <c r="F42" s="36" t="s">
        <v>231</v>
      </c>
    </row>
    <row r="43" customFormat="false" ht="25.5" hidden="false" customHeight="true" outlineLevel="0" collapsed="false">
      <c r="A43" s="76" t="s">
        <v>458</v>
      </c>
      <c r="B43" s="36" t="s">
        <v>263</v>
      </c>
      <c r="C43" s="36" t="s">
        <v>443</v>
      </c>
      <c r="D43" s="36" t="s">
        <v>419</v>
      </c>
      <c r="E43" s="36" t="s">
        <v>377</v>
      </c>
      <c r="F43" s="36" t="s">
        <v>231</v>
      </c>
    </row>
    <row r="44" customFormat="false" ht="25.5" hidden="false" customHeight="true" outlineLevel="0" collapsed="false">
      <c r="A44" s="76" t="s">
        <v>459</v>
      </c>
      <c r="B44" s="36" t="s">
        <v>263</v>
      </c>
      <c r="C44" s="36" t="s">
        <v>460</v>
      </c>
      <c r="D44" s="36" t="s">
        <v>419</v>
      </c>
      <c r="E44" s="36" t="s">
        <v>377</v>
      </c>
      <c r="F44" s="36" t="s">
        <v>231</v>
      </c>
    </row>
    <row r="45" customFormat="false" ht="30" hidden="false" customHeight="true" outlineLevel="0" collapsed="false">
      <c r="A45" s="75" t="s">
        <v>461</v>
      </c>
      <c r="B45" s="75" t="s">
        <v>227</v>
      </c>
      <c r="C45" s="75" t="s">
        <v>462</v>
      </c>
      <c r="D45" s="75" t="s">
        <v>419</v>
      </c>
      <c r="E45" s="75" t="s">
        <v>290</v>
      </c>
      <c r="F45" s="75" t="s">
        <v>231</v>
      </c>
    </row>
    <row r="46" customFormat="false" ht="25.5" hidden="false" customHeight="true" outlineLevel="0" collapsed="false">
      <c r="A46" s="76" t="s">
        <v>476</v>
      </c>
      <c r="B46" s="36" t="s">
        <v>263</v>
      </c>
      <c r="C46" s="36" t="s">
        <v>477</v>
      </c>
      <c r="D46" s="36" t="s">
        <v>419</v>
      </c>
      <c r="E46" s="36" t="s">
        <v>299</v>
      </c>
      <c r="F46" s="36" t="s">
        <v>231</v>
      </c>
    </row>
    <row r="47" customFormat="false" ht="25.5" hidden="false" customHeight="true" outlineLevel="0" collapsed="false">
      <c r="A47" s="76" t="s">
        <v>478</v>
      </c>
      <c r="B47" s="36" t="s">
        <v>263</v>
      </c>
      <c r="C47" s="36" t="s">
        <v>473</v>
      </c>
      <c r="D47" s="36" t="s">
        <v>419</v>
      </c>
      <c r="E47" s="36" t="s">
        <v>261</v>
      </c>
      <c r="F47" s="36" t="s">
        <v>231</v>
      </c>
    </row>
    <row r="48" customFormat="false" ht="25.5" hidden="false" customHeight="true" outlineLevel="0" collapsed="false">
      <c r="A48" s="76" t="s">
        <v>479</v>
      </c>
      <c r="B48" s="36" t="s">
        <v>263</v>
      </c>
      <c r="C48" s="36" t="s">
        <v>475</v>
      </c>
      <c r="D48" s="36" t="s">
        <v>419</v>
      </c>
      <c r="E48" s="36" t="s">
        <v>290</v>
      </c>
      <c r="F48" s="36" t="s">
        <v>231</v>
      </c>
    </row>
    <row r="49" customFormat="false" ht="30" hidden="false" customHeight="true" outlineLevel="0" collapsed="false">
      <c r="A49" s="75" t="s">
        <v>480</v>
      </c>
      <c r="B49" s="75" t="s">
        <v>227</v>
      </c>
      <c r="C49" s="75" t="s">
        <v>481</v>
      </c>
      <c r="D49" s="75" t="s">
        <v>419</v>
      </c>
      <c r="E49" s="75" t="s">
        <v>299</v>
      </c>
      <c r="F49" s="75" t="s">
        <v>231</v>
      </c>
    </row>
    <row r="50" customFormat="false" ht="39" hidden="false" customHeight="true" outlineLevel="0" collapsed="false">
      <c r="A50" s="76" t="s">
        <v>494</v>
      </c>
      <c r="B50" s="36" t="s">
        <v>263</v>
      </c>
      <c r="C50" s="36" t="s">
        <v>495</v>
      </c>
      <c r="D50" s="36" t="s">
        <v>419</v>
      </c>
      <c r="E50" s="36" t="s">
        <v>299</v>
      </c>
      <c r="F50" s="36" t="s">
        <v>231</v>
      </c>
    </row>
    <row r="51" customFormat="false" ht="25.5" hidden="false" customHeight="true" outlineLevel="0" collapsed="false">
      <c r="A51" s="76" t="s">
        <v>496</v>
      </c>
      <c r="B51" s="36" t="s">
        <v>263</v>
      </c>
      <c r="C51" s="36" t="s">
        <v>497</v>
      </c>
      <c r="D51" s="36" t="s">
        <v>419</v>
      </c>
      <c r="E51" s="36" t="s">
        <v>299</v>
      </c>
      <c r="F51" s="36" t="s">
        <v>231</v>
      </c>
    </row>
    <row r="53" customFormat="false" ht="15" hidden="false" customHeight="true" outlineLevel="0" collapsed="false">
      <c r="A53" s="52" t="s">
        <v>501</v>
      </c>
      <c r="B53" s="52"/>
      <c r="C53" s="52"/>
      <c r="D53" s="52"/>
      <c r="E53" s="52"/>
      <c r="F53" s="52"/>
    </row>
  </sheetData>
  <mergeCells count="3">
    <mergeCell ref="A1:F1"/>
    <mergeCell ref="A2:F2"/>
    <mergeCell ref="A53:F53"/>
  </mergeCells>
  <hyperlinks>
    <hyperlink ref="F3" r:id="rId1" location="'🏠%20Accueil'!A1" display="◀ Accueil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BF8F00"/>
    <pageSetUpPr fitToPage="false"/>
  </sheetPr>
  <dimension ref="A1:M1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3" topLeftCell="C4" activePane="bottomRight" state="frozen"/>
      <selection pane="topLeft" activeCell="A1" activeCellId="0" sqref="A1"/>
      <selection pane="topRight" activeCell="C1" activeCellId="0" sqref="C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4"/>
    <col collapsed="false" customWidth="true" hidden="false" outlineLevel="0" max="2" min="2" style="1" width="8"/>
    <col collapsed="false" customWidth="true" hidden="false" outlineLevel="0" max="3" min="3" style="1" width="30"/>
    <col collapsed="false" customWidth="true" hidden="false" outlineLevel="0" max="4" min="4" style="1" width="34"/>
    <col collapsed="false" customWidth="true" hidden="false" outlineLevel="0" max="5" min="5" style="1" width="9"/>
    <col collapsed="false" customWidth="true" hidden="false" outlineLevel="0" max="6" min="6" style="1" width="28"/>
    <col collapsed="false" customWidth="true" hidden="false" outlineLevel="0" max="7" min="7" style="1" width="8"/>
    <col collapsed="false" customWidth="true" hidden="false" outlineLevel="0" max="8" min="8" style="1" width="30"/>
    <col collapsed="false" customWidth="true" hidden="false" outlineLevel="0" max="9" min="9" style="1" width="34"/>
    <col collapsed="false" customWidth="true" hidden="false" outlineLevel="0" max="10" min="10" style="1" width="30"/>
    <col collapsed="false" customWidth="true" hidden="false" outlineLevel="0" max="11" min="11" style="1" width="16"/>
    <col collapsed="false" customWidth="true" hidden="false" outlineLevel="0" max="13" min="12" style="1" width="20"/>
  </cols>
  <sheetData>
    <row r="1" customFormat="false" ht="19.5" hidden="false" customHeight="true" outlineLevel="0" collapsed="false">
      <c r="A1" s="28" t="s">
        <v>502</v>
      </c>
    </row>
    <row r="2" customFormat="false" ht="15" hidden="false" customHeight="true" outlineLevel="0" collapsed="false">
      <c r="K2" s="30" t="s">
        <v>58</v>
      </c>
    </row>
    <row r="3" customFormat="false" ht="15" hidden="false" customHeight="true" outlineLevel="0" collapsed="false">
      <c r="A3" s="31" t="s">
        <v>503</v>
      </c>
      <c r="B3" s="31" t="s">
        <v>61</v>
      </c>
      <c r="C3" s="31" t="s">
        <v>504</v>
      </c>
      <c r="D3" s="31" t="s">
        <v>505</v>
      </c>
      <c r="E3" s="31" t="s">
        <v>223</v>
      </c>
      <c r="F3" s="31" t="s">
        <v>506</v>
      </c>
      <c r="G3" s="31" t="s">
        <v>507</v>
      </c>
      <c r="H3" s="31" t="s">
        <v>508</v>
      </c>
      <c r="I3" s="31" t="s">
        <v>509</v>
      </c>
      <c r="J3" s="31" t="s">
        <v>510</v>
      </c>
      <c r="K3" s="31" t="s">
        <v>511</v>
      </c>
      <c r="L3" s="32" t="s">
        <v>512</v>
      </c>
      <c r="M3" s="32" t="s">
        <v>513</v>
      </c>
    </row>
    <row r="4" customFormat="false" ht="78" hidden="false" customHeight="true" outlineLevel="0" collapsed="false">
      <c r="A4" s="77" t="n">
        <v>1</v>
      </c>
      <c r="B4" s="77" t="s">
        <v>69</v>
      </c>
      <c r="C4" s="78" t="s">
        <v>514</v>
      </c>
      <c r="D4" s="79" t="s">
        <v>515</v>
      </c>
      <c r="E4" s="77" t="s">
        <v>235</v>
      </c>
      <c r="F4" s="79" t="s">
        <v>516</v>
      </c>
      <c r="G4" s="77" t="n">
        <v>3</v>
      </c>
      <c r="H4" s="79" t="s">
        <v>517</v>
      </c>
      <c r="I4" s="79" t="s">
        <v>518</v>
      </c>
      <c r="J4" s="79" t="s">
        <v>519</v>
      </c>
      <c r="K4" s="79" t="s">
        <v>520</v>
      </c>
      <c r="L4" s="80" t="str">
        <f aca="false">IFERROR(INDEX('📅 Calendrier'!$A$4:$A$54,MATCH("S1 · séance 1",'📅 Calendrier'!$D$4:$D$54,0))&amp;" ("&amp;INDEX('📅 Calendrier'!$B$4:$B$54,MATCH("S1 · séance 1",'📅 Calendrier'!$D$4:$D$54,0))&amp;")","⚠ hors année !")</f>
        <v>S01 (31/08/2026)</v>
      </c>
      <c r="M4" s="80" t="str">
        <f aca="false">IFERROR(INDEX('📅 Calendrier'!$A$4:$A$54,MATCH("S1 · séance 3",'📅 Calendrier'!$D$4:$D$54,0))&amp;" ("&amp;INDEX('📅 Calendrier'!$B$4:$B$54,MATCH("S1 · séance 3",'📅 Calendrier'!$D$4:$D$54,0))&amp;")","⚠ hors année !")</f>
        <v>S03 (14/09/2026)</v>
      </c>
    </row>
    <row r="5" customFormat="false" ht="78" hidden="false" customHeight="true" outlineLevel="0" collapsed="false">
      <c r="A5" s="77" t="n">
        <v>2</v>
      </c>
      <c r="B5" s="77" t="s">
        <v>69</v>
      </c>
      <c r="C5" s="78" t="s">
        <v>521</v>
      </c>
      <c r="D5" s="79" t="s">
        <v>522</v>
      </c>
      <c r="E5" s="77" t="s">
        <v>235</v>
      </c>
      <c r="F5" s="79" t="s">
        <v>523</v>
      </c>
      <c r="G5" s="77" t="n">
        <v>2</v>
      </c>
      <c r="H5" s="79" t="s">
        <v>524</v>
      </c>
      <c r="I5" s="79" t="s">
        <v>518</v>
      </c>
      <c r="J5" s="79" t="s">
        <v>525</v>
      </c>
      <c r="K5" s="79" t="s">
        <v>520</v>
      </c>
      <c r="L5" s="80" t="str">
        <f aca="false">IFERROR(INDEX('📅 Calendrier'!$A$4:$A$54,MATCH("S2 · séance 1",'📅 Calendrier'!$D$4:$D$54,0))&amp;" ("&amp;INDEX('📅 Calendrier'!$B$4:$B$54,MATCH("S2 · séance 1",'📅 Calendrier'!$D$4:$D$54,0))&amp;")","⚠ hors année !")</f>
        <v>S04 (21/09/2026)</v>
      </c>
      <c r="M5" s="80" t="str">
        <f aca="false">IFERROR(INDEX('📅 Calendrier'!$A$4:$A$54,MATCH("S2 · séance 2",'📅 Calendrier'!$D$4:$D$54,0))&amp;" ("&amp;INDEX('📅 Calendrier'!$B$4:$B$54,MATCH("S2 · séance 2",'📅 Calendrier'!$D$4:$D$54,0))&amp;")","⚠ hors année !")</f>
        <v>S05 (28/09/2026)</v>
      </c>
    </row>
    <row r="6" customFormat="false" ht="78" hidden="false" customHeight="true" outlineLevel="0" collapsed="false">
      <c r="A6" s="77" t="n">
        <v>3</v>
      </c>
      <c r="B6" s="77" t="s">
        <v>526</v>
      </c>
      <c r="C6" s="78" t="s">
        <v>527</v>
      </c>
      <c r="D6" s="79" t="s">
        <v>528</v>
      </c>
      <c r="E6" s="77" t="s">
        <v>235</v>
      </c>
      <c r="F6" s="79" t="s">
        <v>529</v>
      </c>
      <c r="G6" s="77" t="n">
        <v>3</v>
      </c>
      <c r="H6" s="79" t="s">
        <v>530</v>
      </c>
      <c r="I6" s="79" t="s">
        <v>531</v>
      </c>
      <c r="J6" s="79" t="s">
        <v>532</v>
      </c>
      <c r="K6" s="79" t="s">
        <v>520</v>
      </c>
      <c r="L6" s="80" t="str">
        <f aca="false">IFERROR(INDEX('📅 Calendrier'!$A$4:$A$54,MATCH("S3 · séance 1",'📅 Calendrier'!$D$4:$D$54,0))&amp;" ("&amp;INDEX('📅 Calendrier'!$B$4:$B$54,MATCH("S3 · séance 1",'📅 Calendrier'!$D$4:$D$54,0))&amp;")","⚠ hors année !")</f>
        <v>S06 (05/10/2026)</v>
      </c>
      <c r="M6" s="80" t="str">
        <f aca="false">IFERROR(INDEX('📅 Calendrier'!$A$4:$A$54,MATCH("S3 · séance 3",'📅 Calendrier'!$D$4:$D$54,0))&amp;" ("&amp;INDEX('📅 Calendrier'!$B$4:$B$54,MATCH("S3 · séance 3",'📅 Calendrier'!$D$4:$D$54,0))&amp;")","⚠ hors année !")</f>
        <v>S09 (02/11/2026)</v>
      </c>
    </row>
    <row r="7" customFormat="false" ht="78" hidden="false" customHeight="true" outlineLevel="0" collapsed="false">
      <c r="A7" s="81" t="n">
        <v>4</v>
      </c>
      <c r="B7" s="81" t="s">
        <v>88</v>
      </c>
      <c r="C7" s="82" t="s">
        <v>533</v>
      </c>
      <c r="D7" s="83" t="s">
        <v>534</v>
      </c>
      <c r="E7" s="81" t="s">
        <v>320</v>
      </c>
      <c r="F7" s="83" t="s">
        <v>535</v>
      </c>
      <c r="G7" s="81" t="n">
        <v>5</v>
      </c>
      <c r="H7" s="83" t="s">
        <v>536</v>
      </c>
      <c r="I7" s="83" t="s">
        <v>537</v>
      </c>
      <c r="J7" s="83" t="s">
        <v>538</v>
      </c>
      <c r="K7" s="83" t="s">
        <v>539</v>
      </c>
      <c r="L7" s="84" t="str">
        <f aca="false">IFERROR(INDEX('📅 Calendrier'!$A$4:$A$54,MATCH("S4 · séance 1",'📅 Calendrier'!$D$4:$D$54,0))&amp;" ("&amp;INDEX('📅 Calendrier'!$B$4:$B$54,MATCH("S4 · séance 1",'📅 Calendrier'!$D$4:$D$54,0))&amp;")","⚠ hors année !")</f>
        <v>S10 (09/11/2026)</v>
      </c>
      <c r="M7" s="84" t="str">
        <f aca="false">IFERROR(INDEX('📅 Calendrier'!$A$4:$A$54,MATCH("S4 · séance 5",'📅 Calendrier'!$D$4:$D$54,0))&amp;" ("&amp;INDEX('📅 Calendrier'!$B$4:$B$54,MATCH("S4 · séance 5",'📅 Calendrier'!$D$4:$D$54,0))&amp;")","⚠ hors année !")</f>
        <v>S14 (07/12/2026)</v>
      </c>
    </row>
    <row r="8" customFormat="false" ht="78" hidden="false" customHeight="true" outlineLevel="0" collapsed="false">
      <c r="A8" s="81" t="n">
        <v>5</v>
      </c>
      <c r="B8" s="81" t="s">
        <v>105</v>
      </c>
      <c r="C8" s="82" t="s">
        <v>540</v>
      </c>
      <c r="D8" s="83" t="s">
        <v>541</v>
      </c>
      <c r="E8" s="81" t="s">
        <v>320</v>
      </c>
      <c r="F8" s="83" t="s">
        <v>542</v>
      </c>
      <c r="G8" s="81" t="n">
        <v>3</v>
      </c>
      <c r="H8" s="83" t="s">
        <v>543</v>
      </c>
      <c r="I8" s="83" t="s">
        <v>544</v>
      </c>
      <c r="J8" s="83" t="s">
        <v>545</v>
      </c>
      <c r="K8" s="83" t="s">
        <v>539</v>
      </c>
      <c r="L8" s="84" t="str">
        <f aca="false">IFERROR(INDEX('📅 Calendrier'!$A$4:$A$54,MATCH("S5 · séance 1",'📅 Calendrier'!$D$4:$D$54,0))&amp;" ("&amp;INDEX('📅 Calendrier'!$B$4:$B$54,MATCH("S5 · séance 1",'📅 Calendrier'!$D$4:$D$54,0))&amp;")","⚠ hors année !")</f>
        <v>S16 (04/01/2027)</v>
      </c>
      <c r="M8" s="84" t="str">
        <f aca="false">IFERROR(INDEX('📅 Calendrier'!$A$4:$A$54,MATCH("S5 · séance 3",'📅 Calendrier'!$D$4:$D$54,0))&amp;" ("&amp;INDEX('📅 Calendrier'!$B$4:$B$54,MATCH("S5 · séance 3",'📅 Calendrier'!$D$4:$D$54,0))&amp;")","⚠ hors année !")</f>
        <v>S18 (18/01/2027)</v>
      </c>
    </row>
    <row r="9" customFormat="false" ht="78" hidden="false" customHeight="true" outlineLevel="0" collapsed="false">
      <c r="A9" s="81" t="n">
        <v>6</v>
      </c>
      <c r="B9" s="81" t="s">
        <v>546</v>
      </c>
      <c r="C9" s="82" t="s">
        <v>547</v>
      </c>
      <c r="D9" s="83" t="s">
        <v>548</v>
      </c>
      <c r="E9" s="81" t="s">
        <v>320</v>
      </c>
      <c r="F9" s="83" t="s">
        <v>549</v>
      </c>
      <c r="G9" s="81" t="n">
        <v>4</v>
      </c>
      <c r="H9" s="83" t="s">
        <v>550</v>
      </c>
      <c r="I9" s="83" t="s">
        <v>551</v>
      </c>
      <c r="J9" s="83" t="s">
        <v>552</v>
      </c>
      <c r="K9" s="83" t="s">
        <v>539</v>
      </c>
      <c r="L9" s="84" t="str">
        <f aca="false">IFERROR(INDEX('📅 Calendrier'!$A$4:$A$54,MATCH("S6 · séance 1",'📅 Calendrier'!$D$4:$D$54,0))&amp;" ("&amp;INDEX('📅 Calendrier'!$B$4:$B$54,MATCH("S6 · séance 1",'📅 Calendrier'!$D$4:$D$54,0))&amp;")","⚠ hors année !")</f>
        <v>S19 (25/01/2027)</v>
      </c>
      <c r="M9" s="84" t="str">
        <f aca="false">IFERROR(INDEX('📅 Calendrier'!$A$4:$A$54,MATCH("S6 · séance 4",'📅 Calendrier'!$D$4:$D$54,0))&amp;" ("&amp;INDEX('📅 Calendrier'!$B$4:$B$54,MATCH("S6 · séance 4",'📅 Calendrier'!$D$4:$D$54,0))&amp;")","⚠ hors année !")</f>
        <v>S23 (08/03/2027)</v>
      </c>
    </row>
    <row r="10" customFormat="false" ht="78" hidden="false" customHeight="true" outlineLevel="0" collapsed="false">
      <c r="A10" s="85" t="n">
        <v>7</v>
      </c>
      <c r="B10" s="85" t="s">
        <v>117</v>
      </c>
      <c r="C10" s="86" t="s">
        <v>553</v>
      </c>
      <c r="D10" s="87" t="s">
        <v>554</v>
      </c>
      <c r="E10" s="85" t="s">
        <v>419</v>
      </c>
      <c r="F10" s="87" t="s">
        <v>555</v>
      </c>
      <c r="G10" s="85" t="n">
        <v>3</v>
      </c>
      <c r="H10" s="87" t="s">
        <v>556</v>
      </c>
      <c r="I10" s="87" t="s">
        <v>557</v>
      </c>
      <c r="J10" s="87" t="s">
        <v>558</v>
      </c>
      <c r="K10" s="87" t="s">
        <v>559</v>
      </c>
      <c r="L10" s="88" t="str">
        <f aca="false">IFERROR(INDEX('📅 Calendrier'!$A$4:$A$54,MATCH("S7 · séance 1",'📅 Calendrier'!$D$4:$D$54,0))&amp;" ("&amp;INDEX('📅 Calendrier'!$B$4:$B$54,MATCH("S7 · séance 1",'📅 Calendrier'!$D$4:$D$54,0))&amp;")","⚠ hors année !")</f>
        <v>S24 (15/03/2027)</v>
      </c>
      <c r="M10" s="88" t="str">
        <f aca="false">IFERROR(INDEX('📅 Calendrier'!$A$4:$A$54,MATCH("S7 · séance 3",'📅 Calendrier'!$D$4:$D$54,0))&amp;" ("&amp;INDEX('📅 Calendrier'!$B$4:$B$54,MATCH("S7 · séance 3",'📅 Calendrier'!$D$4:$D$54,0))&amp;")","⚠ hors année !")</f>
        <v>S26 (29/03/2027)</v>
      </c>
    </row>
    <row r="11" customFormat="false" ht="78" hidden="false" customHeight="true" outlineLevel="0" collapsed="false">
      <c r="A11" s="85" t="n">
        <v>8</v>
      </c>
      <c r="B11" s="85" t="s">
        <v>560</v>
      </c>
      <c r="C11" s="86" t="s">
        <v>561</v>
      </c>
      <c r="D11" s="87" t="s">
        <v>562</v>
      </c>
      <c r="E11" s="85" t="s">
        <v>419</v>
      </c>
      <c r="F11" s="87" t="s">
        <v>563</v>
      </c>
      <c r="G11" s="85" t="n">
        <v>4</v>
      </c>
      <c r="H11" s="87" t="s">
        <v>564</v>
      </c>
      <c r="I11" s="87" t="s">
        <v>557</v>
      </c>
      <c r="J11" s="87" t="s">
        <v>565</v>
      </c>
      <c r="K11" s="87" t="s">
        <v>559</v>
      </c>
      <c r="L11" s="88" t="str">
        <f aca="false">IFERROR(INDEX('📅 Calendrier'!$A$4:$A$54,MATCH("S8 · séance 1",'📅 Calendrier'!$D$4:$D$54,0))&amp;" ("&amp;INDEX('📅 Calendrier'!$B$4:$B$54,MATCH("S8 · séance 1",'📅 Calendrier'!$D$4:$D$54,0))&amp;")","⚠ hors année !")</f>
        <v>S27 (05/04/2027)</v>
      </c>
      <c r="M11" s="88" t="str">
        <f aca="false">IFERROR(INDEX('📅 Calendrier'!$A$4:$A$54,MATCH("S8 · séance 4",'📅 Calendrier'!$D$4:$D$54,0))&amp;" ("&amp;INDEX('📅 Calendrier'!$B$4:$B$54,MATCH("S8 · séance 4",'📅 Calendrier'!$D$4:$D$54,0))&amp;")","⚠ hors année !")</f>
        <v>S31 (17/05/2027)</v>
      </c>
    </row>
    <row r="12" customFormat="false" ht="78" hidden="false" customHeight="true" outlineLevel="0" collapsed="false">
      <c r="A12" s="85" t="n">
        <v>9</v>
      </c>
      <c r="B12" s="85" t="s">
        <v>137</v>
      </c>
      <c r="C12" s="86" t="s">
        <v>566</v>
      </c>
      <c r="D12" s="87" t="s">
        <v>567</v>
      </c>
      <c r="E12" s="85" t="s">
        <v>419</v>
      </c>
      <c r="F12" s="87" t="s">
        <v>568</v>
      </c>
      <c r="G12" s="85" t="n">
        <v>3</v>
      </c>
      <c r="H12" s="87" t="s">
        <v>569</v>
      </c>
      <c r="I12" s="87" t="s">
        <v>557</v>
      </c>
      <c r="J12" s="87" t="s">
        <v>565</v>
      </c>
      <c r="K12" s="87" t="s">
        <v>559</v>
      </c>
      <c r="L12" s="88" t="str">
        <f aca="false">IFERROR(INDEX('📅 Calendrier'!$A$4:$A$54,MATCH("S9 · séance 1",'📅 Calendrier'!$D$4:$D$54,0))&amp;" ("&amp;INDEX('📅 Calendrier'!$B$4:$B$54,MATCH("S9 · séance 1",'📅 Calendrier'!$D$4:$D$54,0))&amp;")","⚠ hors année !")</f>
        <v>S32 (24/05/2027)</v>
      </c>
      <c r="M12" s="88" t="str">
        <f aca="false">IFERROR(INDEX('📅 Calendrier'!$A$4:$A$54,MATCH("S9 · séance 3",'📅 Calendrier'!$D$4:$D$54,0))&amp;" ("&amp;INDEX('📅 Calendrier'!$B$4:$B$54,MATCH("S9 · séance 3",'📅 Calendrier'!$D$4:$D$54,0))&amp;")","⚠ hors année !")</f>
        <v>S34 (07/06/2027)</v>
      </c>
    </row>
    <row r="13" customFormat="false" ht="15" hidden="false" customHeight="true" outlineLevel="0" collapsed="false">
      <c r="F13" s="89" t="s">
        <v>570</v>
      </c>
      <c r="G13" s="90" t="n">
        <f aca="false">SUM(G4:G12)</f>
        <v>30</v>
      </c>
      <c r="H13" s="27" t="s">
        <v>571</v>
      </c>
    </row>
  </sheetData>
  <hyperlinks>
    <hyperlink ref="K2" r:id="rId1" location="'🏠%20Accueil'!A1" display="◀ Accueil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C55A11"/>
    <pageSetUpPr fitToPage="false"/>
  </sheetPr>
  <dimension ref="A1:F4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1"/>
    <col collapsed="false" customWidth="true" hidden="false" outlineLevel="0" max="4" min="2" style="1" width="40"/>
    <col collapsed="false" customWidth="true" hidden="false" outlineLevel="0" max="5" min="5" style="1" width="30"/>
    <col collapsed="false" customWidth="true" hidden="false" outlineLevel="0" max="6" min="6" style="1" width="22"/>
  </cols>
  <sheetData>
    <row r="1" customFormat="false" ht="17.25" hidden="false" customHeight="true" outlineLevel="0" collapsed="false">
      <c r="A1" s="91" t="s">
        <v>572</v>
      </c>
      <c r="B1" s="91"/>
      <c r="C1" s="91"/>
      <c r="D1" s="91"/>
      <c r="E1" s="91"/>
      <c r="F1" s="91"/>
    </row>
    <row r="2" customFormat="false" ht="15" hidden="false" customHeight="true" outlineLevel="0" collapsed="false">
      <c r="A2" s="52" t="s">
        <v>573</v>
      </c>
      <c r="B2" s="52"/>
      <c r="C2" s="52"/>
      <c r="D2" s="52"/>
      <c r="E2" s="52"/>
      <c r="F2" s="52"/>
    </row>
    <row r="3" customFormat="false" ht="15" hidden="false" customHeight="true" outlineLevel="0" collapsed="false">
      <c r="E3" s="92" t="s">
        <v>574</v>
      </c>
      <c r="F3" s="30" t="s">
        <v>58</v>
      </c>
    </row>
    <row r="4" customFormat="false" ht="27.75" hidden="false" customHeight="true" outlineLevel="0" collapsed="false">
      <c r="A4" s="78" t="s">
        <v>505</v>
      </c>
      <c r="B4" s="93" t="s">
        <v>515</v>
      </c>
      <c r="C4" s="93"/>
      <c r="D4" s="93"/>
      <c r="E4" s="93"/>
      <c r="F4" s="93"/>
    </row>
    <row r="5" customFormat="false" ht="27.75" hidden="false" customHeight="true" outlineLevel="0" collapsed="false">
      <c r="A5" s="78" t="s">
        <v>575</v>
      </c>
      <c r="B5" s="93" t="s">
        <v>576</v>
      </c>
      <c r="C5" s="93"/>
      <c r="D5" s="93"/>
      <c r="E5" s="93"/>
      <c r="F5" s="93"/>
    </row>
    <row r="6" customFormat="false" ht="27.75" hidden="false" customHeight="true" outlineLevel="0" collapsed="false">
      <c r="A6" s="78" t="s">
        <v>577</v>
      </c>
      <c r="B6" s="93" t="s">
        <v>227</v>
      </c>
      <c r="C6" s="93"/>
      <c r="D6" s="93"/>
      <c r="E6" s="93"/>
      <c r="F6" s="93"/>
    </row>
    <row r="7" customFormat="false" ht="27.75" hidden="false" customHeight="true" outlineLevel="0" collapsed="false">
      <c r="A7" s="78" t="s">
        <v>578</v>
      </c>
      <c r="B7" s="93" t="s">
        <v>576</v>
      </c>
      <c r="C7" s="93"/>
      <c r="D7" s="93"/>
      <c r="E7" s="93"/>
      <c r="F7" s="93"/>
    </row>
    <row r="8" customFormat="false" ht="27.75" hidden="false" customHeight="true" outlineLevel="0" collapsed="false">
      <c r="A8" s="78" t="s">
        <v>579</v>
      </c>
      <c r="B8" s="93" t="s">
        <v>580</v>
      </c>
      <c r="C8" s="93"/>
      <c r="D8" s="93"/>
      <c r="E8" s="93"/>
      <c r="F8" s="93"/>
    </row>
    <row r="9" customFormat="false" ht="27.75" hidden="false" customHeight="true" outlineLevel="0" collapsed="false">
      <c r="A9" s="78" t="s">
        <v>581</v>
      </c>
      <c r="B9" s="93" t="s">
        <v>582</v>
      </c>
      <c r="C9" s="93"/>
      <c r="D9" s="93"/>
      <c r="E9" s="93"/>
      <c r="F9" s="93"/>
    </row>
    <row r="10" customFormat="false" ht="27.75" hidden="false" customHeight="true" outlineLevel="0" collapsed="false">
      <c r="A10" s="78" t="s">
        <v>583</v>
      </c>
      <c r="B10" s="93" t="s">
        <v>584</v>
      </c>
      <c r="C10" s="93"/>
      <c r="D10" s="93"/>
      <c r="E10" s="93"/>
      <c r="F10" s="93"/>
    </row>
    <row r="11" customFormat="false" ht="27.75" hidden="false" customHeight="true" outlineLevel="0" collapsed="false">
      <c r="A11" s="78" t="s">
        <v>585</v>
      </c>
      <c r="B11" s="93" t="s">
        <v>576</v>
      </c>
      <c r="C11" s="93"/>
      <c r="D11" s="93"/>
      <c r="E11" s="93"/>
      <c r="F11" s="93"/>
    </row>
    <row r="12" customFormat="false" ht="27.75" hidden="false" customHeight="true" outlineLevel="0" collapsed="false">
      <c r="A12" s="78" t="s">
        <v>586</v>
      </c>
      <c r="B12" s="93" t="s">
        <v>576</v>
      </c>
      <c r="C12" s="93"/>
      <c r="D12" s="93"/>
      <c r="E12" s="93"/>
      <c r="F12" s="93"/>
    </row>
    <row r="13" customFormat="false" ht="27.75" hidden="false" customHeight="true" outlineLevel="0" collapsed="false">
      <c r="A13" s="78" t="s">
        <v>587</v>
      </c>
      <c r="B13" s="93" t="s">
        <v>519</v>
      </c>
      <c r="C13" s="93"/>
      <c r="D13" s="93"/>
      <c r="E13" s="93"/>
      <c r="F13" s="93"/>
    </row>
    <row r="14" customFormat="false" ht="27.75" hidden="false" customHeight="true" outlineLevel="0" collapsed="false">
      <c r="A14" s="78" t="s">
        <v>588</v>
      </c>
      <c r="B14" s="93" t="s">
        <v>518</v>
      </c>
      <c r="C14" s="93"/>
      <c r="D14" s="93"/>
      <c r="E14" s="93"/>
      <c r="F14" s="93"/>
    </row>
    <row r="16" customFormat="false" ht="15" hidden="false" customHeight="true" outlineLevel="0" collapsed="false">
      <c r="A16" s="50" t="s">
        <v>589</v>
      </c>
    </row>
    <row r="17" customFormat="false" ht="15" hidden="false" customHeight="true" outlineLevel="0" collapsed="false">
      <c r="A17" s="31" t="s">
        <v>220</v>
      </c>
      <c r="B17" s="31" t="s">
        <v>590</v>
      </c>
      <c r="C17" s="31" t="s">
        <v>591</v>
      </c>
      <c r="D17" s="31" t="s">
        <v>592</v>
      </c>
      <c r="E17" s="31" t="s">
        <v>593</v>
      </c>
    </row>
    <row r="18" customFormat="false" ht="30" hidden="false" customHeight="true" outlineLevel="0" collapsed="false">
      <c r="A18" s="76" t="s">
        <v>262</v>
      </c>
      <c r="B18" s="36" t="s">
        <v>264</v>
      </c>
      <c r="C18" s="36" t="s">
        <v>256</v>
      </c>
      <c r="D18" s="36" t="s">
        <v>227</v>
      </c>
      <c r="E18" s="36" t="s">
        <v>594</v>
      </c>
    </row>
    <row r="19" customFormat="false" ht="30" hidden="false" customHeight="true" outlineLevel="0" collapsed="false">
      <c r="A19" s="76" t="s">
        <v>265</v>
      </c>
      <c r="B19" s="36" t="s">
        <v>266</v>
      </c>
      <c r="C19" s="36" t="s">
        <v>256</v>
      </c>
      <c r="D19" s="36" t="s">
        <v>227</v>
      </c>
      <c r="E19" s="36" t="s">
        <v>594</v>
      </c>
    </row>
    <row r="20" customFormat="false" ht="30" hidden="false" customHeight="true" outlineLevel="0" collapsed="false">
      <c r="A20" s="76" t="s">
        <v>267</v>
      </c>
      <c r="B20" s="36" t="s">
        <v>268</v>
      </c>
      <c r="C20" s="36" t="s">
        <v>256</v>
      </c>
      <c r="D20" s="36" t="s">
        <v>227</v>
      </c>
      <c r="E20" s="36" t="s">
        <v>594</v>
      </c>
    </row>
    <row r="21" customFormat="false" ht="30" hidden="false" customHeight="true" outlineLevel="0" collapsed="false">
      <c r="A21" s="76" t="s">
        <v>269</v>
      </c>
      <c r="B21" s="36" t="s">
        <v>270</v>
      </c>
      <c r="C21" s="36" t="s">
        <v>256</v>
      </c>
      <c r="D21" s="36" t="s">
        <v>227</v>
      </c>
      <c r="E21" s="36" t="s">
        <v>594</v>
      </c>
    </row>
    <row r="23" customFormat="false" ht="15" hidden="false" customHeight="true" outlineLevel="0" collapsed="false">
      <c r="A23" s="50" t="s">
        <v>595</v>
      </c>
    </row>
    <row r="24" customFormat="false" ht="15" hidden="false" customHeight="true" outlineLevel="0" collapsed="false">
      <c r="A24" s="94" t="s">
        <v>596</v>
      </c>
      <c r="B24" s="94"/>
      <c r="C24" s="94"/>
      <c r="D24" s="94"/>
      <c r="E24" s="94"/>
      <c r="F24" s="94"/>
    </row>
    <row r="25" customFormat="false" ht="27.75" hidden="false" customHeight="true" outlineLevel="0" collapsed="false">
      <c r="A25" s="78" t="s">
        <v>597</v>
      </c>
      <c r="B25" s="93" t="s">
        <v>598</v>
      </c>
      <c r="C25" s="93"/>
      <c r="D25" s="93"/>
      <c r="E25" s="93"/>
      <c r="F25" s="93"/>
    </row>
    <row r="26" customFormat="false" ht="27.75" hidden="false" customHeight="true" outlineLevel="0" collapsed="false">
      <c r="A26" s="78" t="s">
        <v>599</v>
      </c>
      <c r="B26" s="93" t="s">
        <v>600</v>
      </c>
      <c r="C26" s="93"/>
      <c r="D26" s="93"/>
      <c r="E26" s="93"/>
      <c r="F26" s="93"/>
    </row>
    <row r="27" customFormat="false" ht="27.75" hidden="false" customHeight="true" outlineLevel="0" collapsed="false">
      <c r="A27" s="78" t="s">
        <v>601</v>
      </c>
      <c r="B27" s="93" t="s">
        <v>602</v>
      </c>
      <c r="C27" s="93"/>
      <c r="D27" s="93"/>
      <c r="E27" s="93"/>
      <c r="F27" s="93"/>
    </row>
    <row r="28" customFormat="false" ht="27.75" hidden="false" customHeight="true" outlineLevel="0" collapsed="false">
      <c r="A28" s="78" t="s">
        <v>603</v>
      </c>
      <c r="B28" s="93" t="s">
        <v>604</v>
      </c>
      <c r="C28" s="93"/>
      <c r="D28" s="93"/>
      <c r="E28" s="93"/>
      <c r="F28" s="93"/>
    </row>
    <row r="29" customFormat="false" ht="39.75" hidden="false" customHeight="true" outlineLevel="0" collapsed="false">
      <c r="A29" s="95" t="s">
        <v>605</v>
      </c>
      <c r="B29" s="96" t="s">
        <v>606</v>
      </c>
      <c r="C29" s="96"/>
      <c r="D29" s="96"/>
      <c r="E29" s="96"/>
      <c r="F29" s="96"/>
    </row>
    <row r="30" customFormat="false" ht="39.75" hidden="false" customHeight="true" outlineLevel="0" collapsed="false">
      <c r="A30" s="95" t="s">
        <v>607</v>
      </c>
      <c r="B30" s="96" t="s">
        <v>608</v>
      </c>
      <c r="C30" s="96"/>
      <c r="D30" s="96"/>
      <c r="E30" s="96"/>
      <c r="F30" s="96"/>
    </row>
    <row r="31" customFormat="false" ht="15" hidden="false" customHeight="true" outlineLevel="0" collapsed="false">
      <c r="A31" s="97" t="s">
        <v>609</v>
      </c>
      <c r="B31" s="98" t="s">
        <v>610</v>
      </c>
      <c r="C31" s="99" t="s">
        <v>611</v>
      </c>
      <c r="D31" s="99"/>
      <c r="E31" s="99"/>
      <c r="F31" s="99"/>
    </row>
    <row r="33" customFormat="false" ht="15" hidden="false" customHeight="true" outlineLevel="0" collapsed="false">
      <c r="A33" s="94" t="s">
        <v>612</v>
      </c>
      <c r="B33" s="94"/>
      <c r="C33" s="94"/>
      <c r="D33" s="94"/>
      <c r="E33" s="94"/>
      <c r="F33" s="94"/>
    </row>
    <row r="34" customFormat="false" ht="27.75" hidden="false" customHeight="true" outlineLevel="0" collapsed="false">
      <c r="A34" s="78" t="s">
        <v>597</v>
      </c>
      <c r="B34" s="93" t="s">
        <v>598</v>
      </c>
      <c r="C34" s="93"/>
      <c r="D34" s="93"/>
      <c r="E34" s="93"/>
      <c r="F34" s="93"/>
    </row>
    <row r="35" customFormat="false" ht="27.75" hidden="false" customHeight="true" outlineLevel="0" collapsed="false">
      <c r="A35" s="78" t="s">
        <v>599</v>
      </c>
      <c r="B35" s="93" t="s">
        <v>600</v>
      </c>
      <c r="C35" s="93"/>
      <c r="D35" s="93"/>
      <c r="E35" s="93"/>
      <c r="F35" s="93"/>
    </row>
    <row r="36" customFormat="false" ht="27.75" hidden="false" customHeight="true" outlineLevel="0" collapsed="false">
      <c r="A36" s="78" t="s">
        <v>601</v>
      </c>
      <c r="B36" s="93" t="s">
        <v>602</v>
      </c>
      <c r="C36" s="93"/>
      <c r="D36" s="93"/>
      <c r="E36" s="93"/>
      <c r="F36" s="93"/>
    </row>
    <row r="37" customFormat="false" ht="27.75" hidden="false" customHeight="true" outlineLevel="0" collapsed="false">
      <c r="A37" s="78" t="s">
        <v>603</v>
      </c>
      <c r="B37" s="93" t="s">
        <v>604</v>
      </c>
      <c r="C37" s="93"/>
      <c r="D37" s="93"/>
      <c r="E37" s="93"/>
      <c r="F37" s="93"/>
    </row>
    <row r="38" customFormat="false" ht="39.75" hidden="false" customHeight="true" outlineLevel="0" collapsed="false">
      <c r="A38" s="95" t="s">
        <v>605</v>
      </c>
      <c r="B38" s="96" t="s">
        <v>613</v>
      </c>
      <c r="C38" s="96"/>
      <c r="D38" s="96"/>
      <c r="E38" s="96"/>
      <c r="F38" s="96"/>
    </row>
    <row r="39" customFormat="false" ht="39.75" hidden="false" customHeight="true" outlineLevel="0" collapsed="false">
      <c r="A39" s="95" t="s">
        <v>607</v>
      </c>
      <c r="B39" s="96" t="s">
        <v>608</v>
      </c>
      <c r="C39" s="96"/>
      <c r="D39" s="96"/>
      <c r="E39" s="96"/>
      <c r="F39" s="96"/>
    </row>
    <row r="40" customFormat="false" ht="15" hidden="false" customHeight="true" outlineLevel="0" collapsed="false">
      <c r="A40" s="97" t="s">
        <v>609</v>
      </c>
      <c r="B40" s="98" t="s">
        <v>610</v>
      </c>
      <c r="C40" s="99" t="s">
        <v>611</v>
      </c>
      <c r="D40" s="99"/>
      <c r="E40" s="99"/>
      <c r="F40" s="99"/>
    </row>
    <row r="42" customFormat="false" ht="15" hidden="false" customHeight="true" outlineLevel="0" collapsed="false">
      <c r="A42" s="94" t="s">
        <v>614</v>
      </c>
      <c r="B42" s="94"/>
      <c r="C42" s="94"/>
      <c r="D42" s="94"/>
      <c r="E42" s="94"/>
      <c r="F42" s="94"/>
    </row>
    <row r="43" customFormat="false" ht="27.75" hidden="false" customHeight="true" outlineLevel="0" collapsed="false">
      <c r="A43" s="78" t="s">
        <v>597</v>
      </c>
      <c r="B43" s="93" t="s">
        <v>598</v>
      </c>
      <c r="C43" s="93"/>
      <c r="D43" s="93"/>
      <c r="E43" s="93"/>
      <c r="F43" s="93"/>
    </row>
    <row r="44" customFormat="false" ht="27.75" hidden="false" customHeight="true" outlineLevel="0" collapsed="false">
      <c r="A44" s="78" t="s">
        <v>599</v>
      </c>
      <c r="B44" s="93" t="s">
        <v>600</v>
      </c>
      <c r="C44" s="93"/>
      <c r="D44" s="93"/>
      <c r="E44" s="93"/>
      <c r="F44" s="93"/>
    </row>
    <row r="45" customFormat="false" ht="27.75" hidden="false" customHeight="true" outlineLevel="0" collapsed="false">
      <c r="A45" s="78" t="s">
        <v>601</v>
      </c>
      <c r="B45" s="93" t="s">
        <v>602</v>
      </c>
      <c r="C45" s="93"/>
      <c r="D45" s="93"/>
      <c r="E45" s="93"/>
      <c r="F45" s="93"/>
    </row>
    <row r="46" customFormat="false" ht="27.75" hidden="false" customHeight="true" outlineLevel="0" collapsed="false">
      <c r="A46" s="78" t="s">
        <v>603</v>
      </c>
      <c r="B46" s="93" t="s">
        <v>604</v>
      </c>
      <c r="C46" s="93"/>
      <c r="D46" s="93"/>
      <c r="E46" s="93"/>
      <c r="F46" s="93"/>
    </row>
    <row r="47" customFormat="false" ht="39.75" hidden="false" customHeight="true" outlineLevel="0" collapsed="false">
      <c r="A47" s="95" t="s">
        <v>605</v>
      </c>
      <c r="B47" s="96" t="s">
        <v>615</v>
      </c>
      <c r="C47" s="96"/>
      <c r="D47" s="96"/>
      <c r="E47" s="96"/>
      <c r="F47" s="96"/>
    </row>
    <row r="48" customFormat="false" ht="39.75" hidden="false" customHeight="true" outlineLevel="0" collapsed="false">
      <c r="A48" s="95" t="s">
        <v>607</v>
      </c>
      <c r="B48" s="96" t="s">
        <v>608</v>
      </c>
      <c r="C48" s="96"/>
      <c r="D48" s="96"/>
      <c r="E48" s="96"/>
      <c r="F48" s="96"/>
    </row>
    <row r="49" customFormat="false" ht="15" hidden="false" customHeight="true" outlineLevel="0" collapsed="false">
      <c r="A49" s="97" t="s">
        <v>609</v>
      </c>
      <c r="B49" s="98" t="s">
        <v>610</v>
      </c>
      <c r="C49" s="99" t="s">
        <v>611</v>
      </c>
      <c r="D49" s="99"/>
      <c r="E49" s="99"/>
      <c r="F49" s="99"/>
    </row>
  </sheetData>
  <mergeCells count="37">
    <mergeCell ref="A1:F1"/>
    <mergeCell ref="A2:F2"/>
    <mergeCell ref="B4:F4"/>
    <mergeCell ref="B5:F5"/>
    <mergeCell ref="B6:F6"/>
    <mergeCell ref="B7:F7"/>
    <mergeCell ref="B8:F8"/>
    <mergeCell ref="B9:F9"/>
    <mergeCell ref="B10:F10"/>
    <mergeCell ref="B11:F11"/>
    <mergeCell ref="B12:F12"/>
    <mergeCell ref="B13:F13"/>
    <mergeCell ref="B14:F14"/>
    <mergeCell ref="A24:F24"/>
    <mergeCell ref="B25:F25"/>
    <mergeCell ref="B26:F26"/>
    <mergeCell ref="B27:F27"/>
    <mergeCell ref="B28:F28"/>
    <mergeCell ref="B29:F29"/>
    <mergeCell ref="B30:F30"/>
    <mergeCell ref="C31:F31"/>
    <mergeCell ref="A33:F33"/>
    <mergeCell ref="B34:F34"/>
    <mergeCell ref="B35:F35"/>
    <mergeCell ref="B36:F36"/>
    <mergeCell ref="B37:F37"/>
    <mergeCell ref="B38:F38"/>
    <mergeCell ref="B39:F39"/>
    <mergeCell ref="C40:F40"/>
    <mergeCell ref="A42:F42"/>
    <mergeCell ref="B43:F43"/>
    <mergeCell ref="B44:F44"/>
    <mergeCell ref="B45:F45"/>
    <mergeCell ref="B46:F46"/>
    <mergeCell ref="B47:F47"/>
    <mergeCell ref="B48:F48"/>
    <mergeCell ref="C49:F49"/>
  </mergeCells>
  <hyperlinks>
    <hyperlink ref="E3" r:id="rId1" location="'🧭%20Progression'!A1" display="◀ Progression"/>
    <hyperlink ref="F3" r:id="rId2" location="'🏠%20Accueil'!A1" display="◀ Accueil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C55A11"/>
    <pageSetUpPr fitToPage="false"/>
  </sheetPr>
  <dimension ref="A1:F3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1"/>
    <col collapsed="false" customWidth="true" hidden="false" outlineLevel="0" max="4" min="2" style="1" width="40"/>
    <col collapsed="false" customWidth="true" hidden="false" outlineLevel="0" max="5" min="5" style="1" width="30"/>
    <col collapsed="false" customWidth="true" hidden="false" outlineLevel="0" max="6" min="6" style="1" width="22"/>
  </cols>
  <sheetData>
    <row r="1" customFormat="false" ht="17.25" hidden="false" customHeight="true" outlineLevel="0" collapsed="false">
      <c r="A1" s="91" t="s">
        <v>616</v>
      </c>
      <c r="B1" s="91"/>
      <c r="C1" s="91"/>
      <c r="D1" s="91"/>
      <c r="E1" s="91"/>
      <c r="F1" s="91"/>
    </row>
    <row r="2" customFormat="false" ht="15" hidden="false" customHeight="true" outlineLevel="0" collapsed="false">
      <c r="A2" s="52" t="s">
        <v>617</v>
      </c>
      <c r="B2" s="52"/>
      <c r="C2" s="52"/>
      <c r="D2" s="52"/>
      <c r="E2" s="52"/>
      <c r="F2" s="52"/>
    </row>
    <row r="3" customFormat="false" ht="15" hidden="false" customHeight="true" outlineLevel="0" collapsed="false">
      <c r="E3" s="92" t="s">
        <v>574</v>
      </c>
      <c r="F3" s="30" t="s">
        <v>58</v>
      </c>
    </row>
    <row r="4" customFormat="false" ht="27.75" hidden="false" customHeight="true" outlineLevel="0" collapsed="false">
      <c r="A4" s="78" t="s">
        <v>505</v>
      </c>
      <c r="B4" s="93" t="s">
        <v>522</v>
      </c>
      <c r="C4" s="93"/>
      <c r="D4" s="93"/>
      <c r="E4" s="93"/>
      <c r="F4" s="93"/>
    </row>
    <row r="5" customFormat="false" ht="27.75" hidden="false" customHeight="true" outlineLevel="0" collapsed="false">
      <c r="A5" s="78" t="s">
        <v>575</v>
      </c>
      <c r="B5" s="93" t="s">
        <v>576</v>
      </c>
      <c r="C5" s="93"/>
      <c r="D5" s="93"/>
      <c r="E5" s="93"/>
      <c r="F5" s="93"/>
    </row>
    <row r="6" customFormat="false" ht="27.75" hidden="false" customHeight="true" outlineLevel="0" collapsed="false">
      <c r="A6" s="78" t="s">
        <v>577</v>
      </c>
      <c r="B6" s="93" t="s">
        <v>227</v>
      </c>
      <c r="C6" s="93"/>
      <c r="D6" s="93"/>
      <c r="E6" s="93"/>
      <c r="F6" s="93"/>
    </row>
    <row r="7" customFormat="false" ht="27.75" hidden="false" customHeight="true" outlineLevel="0" collapsed="false">
      <c r="A7" s="78" t="s">
        <v>578</v>
      </c>
      <c r="B7" s="93" t="s">
        <v>576</v>
      </c>
      <c r="C7" s="93"/>
      <c r="D7" s="93"/>
      <c r="E7" s="93"/>
      <c r="F7" s="93"/>
    </row>
    <row r="8" customFormat="false" ht="27.75" hidden="false" customHeight="true" outlineLevel="0" collapsed="false">
      <c r="A8" s="78" t="s">
        <v>579</v>
      </c>
      <c r="B8" s="93" t="s">
        <v>618</v>
      </c>
      <c r="C8" s="93"/>
      <c r="D8" s="93"/>
      <c r="E8" s="93"/>
      <c r="F8" s="93"/>
    </row>
    <row r="9" customFormat="false" ht="27.75" hidden="false" customHeight="true" outlineLevel="0" collapsed="false">
      <c r="A9" s="78" t="s">
        <v>581</v>
      </c>
      <c r="B9" s="93" t="s">
        <v>619</v>
      </c>
      <c r="C9" s="93"/>
      <c r="D9" s="93"/>
      <c r="E9" s="93"/>
      <c r="F9" s="93"/>
    </row>
    <row r="10" customFormat="false" ht="27.75" hidden="false" customHeight="true" outlineLevel="0" collapsed="false">
      <c r="A10" s="78" t="s">
        <v>583</v>
      </c>
      <c r="B10" s="93" t="s">
        <v>620</v>
      </c>
      <c r="C10" s="93"/>
      <c r="D10" s="93"/>
      <c r="E10" s="93"/>
      <c r="F10" s="93"/>
    </row>
    <row r="11" customFormat="false" ht="27.75" hidden="false" customHeight="true" outlineLevel="0" collapsed="false">
      <c r="A11" s="78" t="s">
        <v>585</v>
      </c>
      <c r="B11" s="93" t="s">
        <v>576</v>
      </c>
      <c r="C11" s="93"/>
      <c r="D11" s="93"/>
      <c r="E11" s="93"/>
      <c r="F11" s="93"/>
    </row>
    <row r="12" customFormat="false" ht="27.75" hidden="false" customHeight="true" outlineLevel="0" collapsed="false">
      <c r="A12" s="78" t="s">
        <v>586</v>
      </c>
      <c r="B12" s="93" t="s">
        <v>576</v>
      </c>
      <c r="C12" s="93"/>
      <c r="D12" s="93"/>
      <c r="E12" s="93"/>
      <c r="F12" s="93"/>
    </row>
    <row r="13" customFormat="false" ht="27.75" hidden="false" customHeight="true" outlineLevel="0" collapsed="false">
      <c r="A13" s="78" t="s">
        <v>587</v>
      </c>
      <c r="B13" s="93" t="s">
        <v>525</v>
      </c>
      <c r="C13" s="93"/>
      <c r="D13" s="93"/>
      <c r="E13" s="93"/>
      <c r="F13" s="93"/>
    </row>
    <row r="14" customFormat="false" ht="27.75" hidden="false" customHeight="true" outlineLevel="0" collapsed="false">
      <c r="A14" s="78" t="s">
        <v>588</v>
      </c>
      <c r="B14" s="93" t="s">
        <v>518</v>
      </c>
      <c r="C14" s="93"/>
      <c r="D14" s="93"/>
      <c r="E14" s="93"/>
      <c r="F14" s="93"/>
    </row>
    <row r="16" customFormat="false" ht="15" hidden="false" customHeight="true" outlineLevel="0" collapsed="false">
      <c r="A16" s="50" t="s">
        <v>589</v>
      </c>
    </row>
    <row r="17" customFormat="false" ht="15" hidden="false" customHeight="true" outlineLevel="0" collapsed="false">
      <c r="A17" s="31" t="s">
        <v>220</v>
      </c>
      <c r="B17" s="31" t="s">
        <v>590</v>
      </c>
      <c r="C17" s="31" t="s">
        <v>591</v>
      </c>
      <c r="D17" s="31" t="s">
        <v>592</v>
      </c>
      <c r="E17" s="31" t="s">
        <v>593</v>
      </c>
    </row>
    <row r="18" customFormat="false" ht="30" hidden="false" customHeight="true" outlineLevel="0" collapsed="false">
      <c r="A18" s="76" t="s">
        <v>271</v>
      </c>
      <c r="B18" s="36" t="s">
        <v>272</v>
      </c>
      <c r="C18" s="36" t="s">
        <v>273</v>
      </c>
      <c r="D18" s="36" t="s">
        <v>227</v>
      </c>
      <c r="E18" s="36" t="s">
        <v>594</v>
      </c>
    </row>
    <row r="19" customFormat="false" ht="30" hidden="false" customHeight="true" outlineLevel="0" collapsed="false">
      <c r="A19" s="76" t="s">
        <v>286</v>
      </c>
      <c r="B19" s="36" t="s">
        <v>287</v>
      </c>
      <c r="C19" s="36" t="s">
        <v>283</v>
      </c>
      <c r="D19" s="36" t="s">
        <v>227</v>
      </c>
      <c r="E19" s="36" t="s">
        <v>594</v>
      </c>
    </row>
    <row r="21" customFormat="false" ht="15" hidden="false" customHeight="true" outlineLevel="0" collapsed="false">
      <c r="A21" s="50" t="s">
        <v>595</v>
      </c>
    </row>
    <row r="22" customFormat="false" ht="15" hidden="false" customHeight="true" outlineLevel="0" collapsed="false">
      <c r="A22" s="94" t="s">
        <v>621</v>
      </c>
      <c r="B22" s="94"/>
      <c r="C22" s="94"/>
      <c r="D22" s="94"/>
      <c r="E22" s="94"/>
      <c r="F22" s="94"/>
    </row>
    <row r="23" customFormat="false" ht="27.75" hidden="false" customHeight="true" outlineLevel="0" collapsed="false">
      <c r="A23" s="78" t="s">
        <v>597</v>
      </c>
      <c r="B23" s="93" t="s">
        <v>598</v>
      </c>
      <c r="C23" s="93"/>
      <c r="D23" s="93"/>
      <c r="E23" s="93"/>
      <c r="F23" s="93"/>
    </row>
    <row r="24" customFormat="false" ht="27.75" hidden="false" customHeight="true" outlineLevel="0" collapsed="false">
      <c r="A24" s="78" t="s">
        <v>599</v>
      </c>
      <c r="B24" s="93" t="s">
        <v>622</v>
      </c>
      <c r="C24" s="93"/>
      <c r="D24" s="93"/>
      <c r="E24" s="93"/>
      <c r="F24" s="93"/>
    </row>
    <row r="25" customFormat="false" ht="27.75" hidden="false" customHeight="true" outlineLevel="0" collapsed="false">
      <c r="A25" s="78" t="s">
        <v>601</v>
      </c>
      <c r="B25" s="93" t="s">
        <v>602</v>
      </c>
      <c r="C25" s="93"/>
      <c r="D25" s="93"/>
      <c r="E25" s="93"/>
      <c r="F25" s="93"/>
    </row>
    <row r="26" customFormat="false" ht="27.75" hidden="false" customHeight="true" outlineLevel="0" collapsed="false">
      <c r="A26" s="78" t="s">
        <v>603</v>
      </c>
      <c r="B26" s="93" t="s">
        <v>604</v>
      </c>
      <c r="C26" s="93"/>
      <c r="D26" s="93"/>
      <c r="E26" s="93"/>
      <c r="F26" s="93"/>
    </row>
    <row r="27" customFormat="false" ht="39.75" hidden="false" customHeight="true" outlineLevel="0" collapsed="false">
      <c r="A27" s="95" t="s">
        <v>605</v>
      </c>
      <c r="B27" s="96" t="s">
        <v>606</v>
      </c>
      <c r="C27" s="96"/>
      <c r="D27" s="96"/>
      <c r="E27" s="96"/>
      <c r="F27" s="96"/>
    </row>
    <row r="28" customFormat="false" ht="39.75" hidden="false" customHeight="true" outlineLevel="0" collapsed="false">
      <c r="A28" s="95" t="s">
        <v>607</v>
      </c>
      <c r="B28" s="96" t="s">
        <v>608</v>
      </c>
      <c r="C28" s="96"/>
      <c r="D28" s="96"/>
      <c r="E28" s="96"/>
      <c r="F28" s="96"/>
    </row>
    <row r="29" customFormat="false" ht="15" hidden="false" customHeight="true" outlineLevel="0" collapsed="false">
      <c r="A29" s="97" t="s">
        <v>609</v>
      </c>
      <c r="B29" s="98" t="s">
        <v>610</v>
      </c>
      <c r="C29" s="99" t="s">
        <v>611</v>
      </c>
      <c r="D29" s="99"/>
      <c r="E29" s="99"/>
      <c r="F29" s="99"/>
    </row>
    <row r="31" customFormat="false" ht="15" hidden="false" customHeight="true" outlineLevel="0" collapsed="false">
      <c r="A31" s="94" t="s">
        <v>623</v>
      </c>
      <c r="B31" s="94"/>
      <c r="C31" s="94"/>
      <c r="D31" s="94"/>
      <c r="E31" s="94"/>
      <c r="F31" s="94"/>
    </row>
    <row r="32" customFormat="false" ht="27.75" hidden="false" customHeight="true" outlineLevel="0" collapsed="false">
      <c r="A32" s="78" t="s">
        <v>597</v>
      </c>
      <c r="B32" s="93" t="s">
        <v>598</v>
      </c>
      <c r="C32" s="93"/>
      <c r="D32" s="93"/>
      <c r="E32" s="93"/>
      <c r="F32" s="93"/>
    </row>
    <row r="33" customFormat="false" ht="27.75" hidden="false" customHeight="true" outlineLevel="0" collapsed="false">
      <c r="A33" s="78" t="s">
        <v>599</v>
      </c>
      <c r="B33" s="93" t="s">
        <v>622</v>
      </c>
      <c r="C33" s="93"/>
      <c r="D33" s="93"/>
      <c r="E33" s="93"/>
      <c r="F33" s="93"/>
    </row>
    <row r="34" customFormat="false" ht="27.75" hidden="false" customHeight="true" outlineLevel="0" collapsed="false">
      <c r="A34" s="78" t="s">
        <v>601</v>
      </c>
      <c r="B34" s="93" t="s">
        <v>602</v>
      </c>
      <c r="C34" s="93"/>
      <c r="D34" s="93"/>
      <c r="E34" s="93"/>
      <c r="F34" s="93"/>
    </row>
    <row r="35" customFormat="false" ht="27.75" hidden="false" customHeight="true" outlineLevel="0" collapsed="false">
      <c r="A35" s="78" t="s">
        <v>603</v>
      </c>
      <c r="B35" s="93" t="s">
        <v>604</v>
      </c>
      <c r="C35" s="93"/>
      <c r="D35" s="93"/>
      <c r="E35" s="93"/>
      <c r="F35" s="93"/>
    </row>
    <row r="36" customFormat="false" ht="39.75" hidden="false" customHeight="true" outlineLevel="0" collapsed="false">
      <c r="A36" s="95" t="s">
        <v>605</v>
      </c>
      <c r="B36" s="96" t="s">
        <v>613</v>
      </c>
      <c r="C36" s="96"/>
      <c r="D36" s="96"/>
      <c r="E36" s="96"/>
      <c r="F36" s="96"/>
    </row>
    <row r="37" customFormat="false" ht="39.75" hidden="false" customHeight="true" outlineLevel="0" collapsed="false">
      <c r="A37" s="95" t="s">
        <v>607</v>
      </c>
      <c r="B37" s="96" t="s">
        <v>608</v>
      </c>
      <c r="C37" s="96"/>
      <c r="D37" s="96"/>
      <c r="E37" s="96"/>
      <c r="F37" s="96"/>
    </row>
    <row r="38" customFormat="false" ht="15" hidden="false" customHeight="true" outlineLevel="0" collapsed="false">
      <c r="A38" s="97" t="s">
        <v>609</v>
      </c>
      <c r="B38" s="98" t="s">
        <v>610</v>
      </c>
      <c r="C38" s="99" t="s">
        <v>611</v>
      </c>
      <c r="D38" s="99"/>
      <c r="E38" s="99"/>
      <c r="F38" s="99"/>
    </row>
  </sheetData>
  <mergeCells count="29">
    <mergeCell ref="A1:F1"/>
    <mergeCell ref="A2:F2"/>
    <mergeCell ref="B4:F4"/>
    <mergeCell ref="B5:F5"/>
    <mergeCell ref="B6:F6"/>
    <mergeCell ref="B7:F7"/>
    <mergeCell ref="B8:F8"/>
    <mergeCell ref="B9:F9"/>
    <mergeCell ref="B10:F10"/>
    <mergeCell ref="B11:F11"/>
    <mergeCell ref="B12:F12"/>
    <mergeCell ref="B13:F13"/>
    <mergeCell ref="B14:F14"/>
    <mergeCell ref="A22:F22"/>
    <mergeCell ref="B23:F23"/>
    <mergeCell ref="B24:F24"/>
    <mergeCell ref="B25:F25"/>
    <mergeCell ref="B26:F26"/>
    <mergeCell ref="B27:F27"/>
    <mergeCell ref="B28:F28"/>
    <mergeCell ref="C29:F29"/>
    <mergeCell ref="A31:F31"/>
    <mergeCell ref="B32:F32"/>
    <mergeCell ref="B33:F33"/>
    <mergeCell ref="B34:F34"/>
    <mergeCell ref="B35:F35"/>
    <mergeCell ref="B36:F36"/>
    <mergeCell ref="B37:F37"/>
    <mergeCell ref="C38:F38"/>
  </mergeCells>
  <hyperlinks>
    <hyperlink ref="E3" r:id="rId1" location="'🧭%20Progression'!A1" display="◀ Progression"/>
    <hyperlink ref="F3" r:id="rId2" location="'🏠%20Accueil'!A1" display="◀ Accueil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C55A11"/>
    <pageSetUpPr fitToPage="false"/>
  </sheetPr>
  <dimension ref="A1:F4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1"/>
    <col collapsed="false" customWidth="true" hidden="false" outlineLevel="0" max="4" min="2" style="1" width="40"/>
    <col collapsed="false" customWidth="true" hidden="false" outlineLevel="0" max="5" min="5" style="1" width="30"/>
    <col collapsed="false" customWidth="true" hidden="false" outlineLevel="0" max="6" min="6" style="1" width="22"/>
  </cols>
  <sheetData>
    <row r="1" customFormat="false" ht="17.25" hidden="false" customHeight="true" outlineLevel="0" collapsed="false">
      <c r="A1" s="91" t="s">
        <v>624</v>
      </c>
      <c r="B1" s="91"/>
      <c r="C1" s="91"/>
      <c r="D1" s="91"/>
      <c r="E1" s="91"/>
      <c r="F1" s="91"/>
    </row>
    <row r="2" customFormat="false" ht="15" hidden="false" customHeight="true" outlineLevel="0" collapsed="false">
      <c r="A2" s="52" t="s">
        <v>625</v>
      </c>
      <c r="B2" s="52"/>
      <c r="C2" s="52"/>
      <c r="D2" s="52"/>
      <c r="E2" s="52"/>
      <c r="F2" s="52"/>
    </row>
    <row r="3" customFormat="false" ht="15" hidden="false" customHeight="true" outlineLevel="0" collapsed="false">
      <c r="E3" s="92" t="s">
        <v>574</v>
      </c>
      <c r="F3" s="30" t="s">
        <v>58</v>
      </c>
    </row>
    <row r="4" customFormat="false" ht="27.75" hidden="false" customHeight="true" outlineLevel="0" collapsed="false">
      <c r="A4" s="78" t="s">
        <v>505</v>
      </c>
      <c r="B4" s="93" t="s">
        <v>528</v>
      </c>
      <c r="C4" s="93"/>
      <c r="D4" s="93"/>
      <c r="E4" s="93"/>
      <c r="F4" s="93"/>
    </row>
    <row r="5" customFormat="false" ht="27.75" hidden="false" customHeight="true" outlineLevel="0" collapsed="false">
      <c r="A5" s="78" t="s">
        <v>575</v>
      </c>
      <c r="B5" s="93" t="s">
        <v>576</v>
      </c>
      <c r="C5" s="93"/>
      <c r="D5" s="93"/>
      <c r="E5" s="93"/>
      <c r="F5" s="93"/>
    </row>
    <row r="6" customFormat="false" ht="27.75" hidden="false" customHeight="true" outlineLevel="0" collapsed="false">
      <c r="A6" s="78" t="s">
        <v>577</v>
      </c>
      <c r="B6" s="93" t="s">
        <v>227</v>
      </c>
      <c r="C6" s="93"/>
      <c r="D6" s="93"/>
      <c r="E6" s="93"/>
      <c r="F6" s="93"/>
    </row>
    <row r="7" customFormat="false" ht="27.75" hidden="false" customHeight="true" outlineLevel="0" collapsed="false">
      <c r="A7" s="78" t="s">
        <v>578</v>
      </c>
      <c r="B7" s="93" t="s">
        <v>576</v>
      </c>
      <c r="C7" s="93"/>
      <c r="D7" s="93"/>
      <c r="E7" s="93"/>
      <c r="F7" s="93"/>
    </row>
    <row r="8" customFormat="false" ht="27.75" hidden="false" customHeight="true" outlineLevel="0" collapsed="false">
      <c r="A8" s="78" t="s">
        <v>579</v>
      </c>
      <c r="B8" s="93" t="s">
        <v>626</v>
      </c>
      <c r="C8" s="93"/>
      <c r="D8" s="93"/>
      <c r="E8" s="93"/>
      <c r="F8" s="93"/>
    </row>
    <row r="9" customFormat="false" ht="27.75" hidden="false" customHeight="true" outlineLevel="0" collapsed="false">
      <c r="A9" s="78" t="s">
        <v>581</v>
      </c>
      <c r="B9" s="93" t="s">
        <v>619</v>
      </c>
      <c r="C9" s="93"/>
      <c r="D9" s="93"/>
      <c r="E9" s="93"/>
      <c r="F9" s="93"/>
    </row>
    <row r="10" customFormat="false" ht="27.75" hidden="false" customHeight="true" outlineLevel="0" collapsed="false">
      <c r="A10" s="78" t="s">
        <v>583</v>
      </c>
      <c r="B10" s="93" t="s">
        <v>627</v>
      </c>
      <c r="C10" s="93"/>
      <c r="D10" s="93"/>
      <c r="E10" s="93"/>
      <c r="F10" s="93"/>
    </row>
    <row r="11" customFormat="false" ht="27.75" hidden="false" customHeight="true" outlineLevel="0" collapsed="false">
      <c r="A11" s="78" t="s">
        <v>585</v>
      </c>
      <c r="B11" s="93" t="s">
        <v>576</v>
      </c>
      <c r="C11" s="93"/>
      <c r="D11" s="93"/>
      <c r="E11" s="93"/>
      <c r="F11" s="93"/>
    </row>
    <row r="12" customFormat="false" ht="27.75" hidden="false" customHeight="true" outlineLevel="0" collapsed="false">
      <c r="A12" s="78" t="s">
        <v>586</v>
      </c>
      <c r="B12" s="93" t="s">
        <v>576</v>
      </c>
      <c r="C12" s="93"/>
      <c r="D12" s="93"/>
      <c r="E12" s="93"/>
      <c r="F12" s="93"/>
    </row>
    <row r="13" customFormat="false" ht="27.75" hidden="false" customHeight="true" outlineLevel="0" collapsed="false">
      <c r="A13" s="78" t="s">
        <v>587</v>
      </c>
      <c r="B13" s="93" t="s">
        <v>532</v>
      </c>
      <c r="C13" s="93"/>
      <c r="D13" s="93"/>
      <c r="E13" s="93"/>
      <c r="F13" s="93"/>
    </row>
    <row r="14" customFormat="false" ht="27.75" hidden="false" customHeight="true" outlineLevel="0" collapsed="false">
      <c r="A14" s="78" t="s">
        <v>588</v>
      </c>
      <c r="B14" s="93" t="s">
        <v>531</v>
      </c>
      <c r="C14" s="93"/>
      <c r="D14" s="93"/>
      <c r="E14" s="93"/>
      <c r="F14" s="93"/>
    </row>
    <row r="16" customFormat="false" ht="15" hidden="false" customHeight="true" outlineLevel="0" collapsed="false">
      <c r="A16" s="50" t="s">
        <v>589</v>
      </c>
    </row>
    <row r="17" customFormat="false" ht="15" hidden="false" customHeight="true" outlineLevel="0" collapsed="false">
      <c r="A17" s="31" t="s">
        <v>220</v>
      </c>
      <c r="B17" s="31" t="s">
        <v>590</v>
      </c>
      <c r="C17" s="31" t="s">
        <v>591</v>
      </c>
      <c r="D17" s="31" t="s">
        <v>592</v>
      </c>
      <c r="E17" s="31" t="s">
        <v>593</v>
      </c>
    </row>
    <row r="18" customFormat="false" ht="30" hidden="false" customHeight="true" outlineLevel="0" collapsed="false">
      <c r="A18" s="76" t="s">
        <v>306</v>
      </c>
      <c r="B18" s="36" t="s">
        <v>307</v>
      </c>
      <c r="C18" s="36" t="s">
        <v>256</v>
      </c>
      <c r="D18" s="36" t="s">
        <v>227</v>
      </c>
      <c r="E18" s="36" t="s">
        <v>594</v>
      </c>
    </row>
    <row r="19" customFormat="false" ht="30" hidden="false" customHeight="true" outlineLevel="0" collapsed="false">
      <c r="A19" s="76" t="s">
        <v>308</v>
      </c>
      <c r="B19" s="36" t="s">
        <v>309</v>
      </c>
      <c r="C19" s="36" t="s">
        <v>256</v>
      </c>
      <c r="D19" s="36" t="s">
        <v>227</v>
      </c>
      <c r="E19" s="36" t="s">
        <v>594</v>
      </c>
    </row>
    <row r="20" customFormat="false" ht="30" hidden="false" customHeight="true" outlineLevel="0" collapsed="false">
      <c r="A20" s="76" t="s">
        <v>310</v>
      </c>
      <c r="B20" s="36" t="s">
        <v>311</v>
      </c>
      <c r="C20" s="36" t="s">
        <v>256</v>
      </c>
      <c r="D20" s="36" t="s">
        <v>227</v>
      </c>
      <c r="E20" s="36" t="s">
        <v>594</v>
      </c>
    </row>
    <row r="21" customFormat="false" ht="30" hidden="false" customHeight="true" outlineLevel="0" collapsed="false">
      <c r="A21" s="76" t="s">
        <v>312</v>
      </c>
      <c r="B21" s="36" t="s">
        <v>313</v>
      </c>
      <c r="C21" s="36" t="s">
        <v>299</v>
      </c>
      <c r="D21" s="36" t="s">
        <v>227</v>
      </c>
      <c r="E21" s="36" t="s">
        <v>594</v>
      </c>
    </row>
    <row r="23" customFormat="false" ht="15" hidden="false" customHeight="true" outlineLevel="0" collapsed="false">
      <c r="A23" s="50" t="s">
        <v>595</v>
      </c>
    </row>
    <row r="24" customFormat="false" ht="15" hidden="false" customHeight="true" outlineLevel="0" collapsed="false">
      <c r="A24" s="94" t="s">
        <v>628</v>
      </c>
      <c r="B24" s="94"/>
      <c r="C24" s="94"/>
      <c r="D24" s="94"/>
      <c r="E24" s="94"/>
      <c r="F24" s="94"/>
    </row>
    <row r="25" customFormat="false" ht="27.75" hidden="false" customHeight="true" outlineLevel="0" collapsed="false">
      <c r="A25" s="78" t="s">
        <v>597</v>
      </c>
      <c r="B25" s="93" t="s">
        <v>598</v>
      </c>
      <c r="C25" s="93"/>
      <c r="D25" s="93"/>
      <c r="E25" s="93"/>
      <c r="F25" s="93"/>
    </row>
    <row r="26" customFormat="false" ht="27.75" hidden="false" customHeight="true" outlineLevel="0" collapsed="false">
      <c r="A26" s="78" t="s">
        <v>599</v>
      </c>
      <c r="B26" s="93" t="s">
        <v>629</v>
      </c>
      <c r="C26" s="93"/>
      <c r="D26" s="93"/>
      <c r="E26" s="93"/>
      <c r="F26" s="93"/>
    </row>
    <row r="27" customFormat="false" ht="27.75" hidden="false" customHeight="true" outlineLevel="0" collapsed="false">
      <c r="A27" s="78" t="s">
        <v>601</v>
      </c>
      <c r="B27" s="93" t="s">
        <v>602</v>
      </c>
      <c r="C27" s="93"/>
      <c r="D27" s="93"/>
      <c r="E27" s="93"/>
      <c r="F27" s="93"/>
    </row>
    <row r="28" customFormat="false" ht="27.75" hidden="false" customHeight="true" outlineLevel="0" collapsed="false">
      <c r="A28" s="78" t="s">
        <v>603</v>
      </c>
      <c r="B28" s="93" t="s">
        <v>604</v>
      </c>
      <c r="C28" s="93"/>
      <c r="D28" s="93"/>
      <c r="E28" s="93"/>
      <c r="F28" s="93"/>
    </row>
    <row r="29" customFormat="false" ht="39.75" hidden="false" customHeight="true" outlineLevel="0" collapsed="false">
      <c r="A29" s="95" t="s">
        <v>605</v>
      </c>
      <c r="B29" s="96" t="s">
        <v>606</v>
      </c>
      <c r="C29" s="96"/>
      <c r="D29" s="96"/>
      <c r="E29" s="96"/>
      <c r="F29" s="96"/>
    </row>
    <row r="30" customFormat="false" ht="39.75" hidden="false" customHeight="true" outlineLevel="0" collapsed="false">
      <c r="A30" s="95" t="s">
        <v>607</v>
      </c>
      <c r="B30" s="96" t="s">
        <v>608</v>
      </c>
      <c r="C30" s="96"/>
      <c r="D30" s="96"/>
      <c r="E30" s="96"/>
      <c r="F30" s="96"/>
    </row>
    <row r="31" customFormat="false" ht="15" hidden="false" customHeight="true" outlineLevel="0" collapsed="false">
      <c r="A31" s="97" t="s">
        <v>609</v>
      </c>
      <c r="B31" s="98" t="s">
        <v>610</v>
      </c>
      <c r="C31" s="99" t="s">
        <v>611</v>
      </c>
      <c r="D31" s="99"/>
      <c r="E31" s="99"/>
      <c r="F31" s="99"/>
    </row>
    <row r="33" customFormat="false" ht="15" hidden="false" customHeight="true" outlineLevel="0" collapsed="false">
      <c r="A33" s="94" t="s">
        <v>630</v>
      </c>
      <c r="B33" s="94"/>
      <c r="C33" s="94"/>
      <c r="D33" s="94"/>
      <c r="E33" s="94"/>
      <c r="F33" s="94"/>
    </row>
    <row r="34" customFormat="false" ht="27.75" hidden="false" customHeight="true" outlineLevel="0" collapsed="false">
      <c r="A34" s="78" t="s">
        <v>597</v>
      </c>
      <c r="B34" s="93" t="s">
        <v>598</v>
      </c>
      <c r="C34" s="93"/>
      <c r="D34" s="93"/>
      <c r="E34" s="93"/>
      <c r="F34" s="93"/>
    </row>
    <row r="35" customFormat="false" ht="27.75" hidden="false" customHeight="true" outlineLevel="0" collapsed="false">
      <c r="A35" s="78" t="s">
        <v>599</v>
      </c>
      <c r="B35" s="93" t="s">
        <v>629</v>
      </c>
      <c r="C35" s="93"/>
      <c r="D35" s="93"/>
      <c r="E35" s="93"/>
      <c r="F35" s="93"/>
    </row>
    <row r="36" customFormat="false" ht="27.75" hidden="false" customHeight="true" outlineLevel="0" collapsed="false">
      <c r="A36" s="78" t="s">
        <v>601</v>
      </c>
      <c r="B36" s="93" t="s">
        <v>602</v>
      </c>
      <c r="C36" s="93"/>
      <c r="D36" s="93"/>
      <c r="E36" s="93"/>
      <c r="F36" s="93"/>
    </row>
    <row r="37" customFormat="false" ht="27.75" hidden="false" customHeight="true" outlineLevel="0" collapsed="false">
      <c r="A37" s="78" t="s">
        <v>603</v>
      </c>
      <c r="B37" s="93" t="s">
        <v>604</v>
      </c>
      <c r="C37" s="93"/>
      <c r="D37" s="93"/>
      <c r="E37" s="93"/>
      <c r="F37" s="93"/>
    </row>
    <row r="38" customFormat="false" ht="39.75" hidden="false" customHeight="true" outlineLevel="0" collapsed="false">
      <c r="A38" s="95" t="s">
        <v>605</v>
      </c>
      <c r="B38" s="96" t="s">
        <v>613</v>
      </c>
      <c r="C38" s="96"/>
      <c r="D38" s="96"/>
      <c r="E38" s="96"/>
      <c r="F38" s="96"/>
    </row>
    <row r="39" customFormat="false" ht="39.75" hidden="false" customHeight="true" outlineLevel="0" collapsed="false">
      <c r="A39" s="95" t="s">
        <v>607</v>
      </c>
      <c r="B39" s="96" t="s">
        <v>608</v>
      </c>
      <c r="C39" s="96"/>
      <c r="D39" s="96"/>
      <c r="E39" s="96"/>
      <c r="F39" s="96"/>
    </row>
    <row r="40" customFormat="false" ht="15" hidden="false" customHeight="true" outlineLevel="0" collapsed="false">
      <c r="A40" s="97" t="s">
        <v>609</v>
      </c>
      <c r="B40" s="98" t="s">
        <v>610</v>
      </c>
      <c r="C40" s="99" t="s">
        <v>611</v>
      </c>
      <c r="D40" s="99"/>
      <c r="E40" s="99"/>
      <c r="F40" s="99"/>
    </row>
    <row r="42" customFormat="false" ht="15" hidden="false" customHeight="true" outlineLevel="0" collapsed="false">
      <c r="A42" s="94" t="s">
        <v>631</v>
      </c>
      <c r="B42" s="94"/>
      <c r="C42" s="94"/>
      <c r="D42" s="94"/>
      <c r="E42" s="94"/>
      <c r="F42" s="94"/>
    </row>
    <row r="43" customFormat="false" ht="27.75" hidden="false" customHeight="true" outlineLevel="0" collapsed="false">
      <c r="A43" s="78" t="s">
        <v>597</v>
      </c>
      <c r="B43" s="93" t="s">
        <v>598</v>
      </c>
      <c r="C43" s="93"/>
      <c r="D43" s="93"/>
      <c r="E43" s="93"/>
      <c r="F43" s="93"/>
    </row>
    <row r="44" customFormat="false" ht="27.75" hidden="false" customHeight="true" outlineLevel="0" collapsed="false">
      <c r="A44" s="78" t="s">
        <v>599</v>
      </c>
      <c r="B44" s="93" t="s">
        <v>629</v>
      </c>
      <c r="C44" s="93"/>
      <c r="D44" s="93"/>
      <c r="E44" s="93"/>
      <c r="F44" s="93"/>
    </row>
    <row r="45" customFormat="false" ht="27.75" hidden="false" customHeight="true" outlineLevel="0" collapsed="false">
      <c r="A45" s="78" t="s">
        <v>601</v>
      </c>
      <c r="B45" s="93" t="s">
        <v>602</v>
      </c>
      <c r="C45" s="93"/>
      <c r="D45" s="93"/>
      <c r="E45" s="93"/>
      <c r="F45" s="93"/>
    </row>
    <row r="46" customFormat="false" ht="27.75" hidden="false" customHeight="true" outlineLevel="0" collapsed="false">
      <c r="A46" s="78" t="s">
        <v>603</v>
      </c>
      <c r="B46" s="93" t="s">
        <v>604</v>
      </c>
      <c r="C46" s="93"/>
      <c r="D46" s="93"/>
      <c r="E46" s="93"/>
      <c r="F46" s="93"/>
    </row>
    <row r="47" customFormat="false" ht="39.75" hidden="false" customHeight="true" outlineLevel="0" collapsed="false">
      <c r="A47" s="95" t="s">
        <v>605</v>
      </c>
      <c r="B47" s="96" t="s">
        <v>615</v>
      </c>
      <c r="C47" s="96"/>
      <c r="D47" s="96"/>
      <c r="E47" s="96"/>
      <c r="F47" s="96"/>
    </row>
    <row r="48" customFormat="false" ht="39.75" hidden="false" customHeight="true" outlineLevel="0" collapsed="false">
      <c r="A48" s="95" t="s">
        <v>607</v>
      </c>
      <c r="B48" s="96" t="s">
        <v>608</v>
      </c>
      <c r="C48" s="96"/>
      <c r="D48" s="96"/>
      <c r="E48" s="96"/>
      <c r="F48" s="96"/>
    </row>
    <row r="49" customFormat="false" ht="15" hidden="false" customHeight="true" outlineLevel="0" collapsed="false">
      <c r="A49" s="97" t="s">
        <v>609</v>
      </c>
      <c r="B49" s="98" t="s">
        <v>610</v>
      </c>
      <c r="C49" s="99" t="s">
        <v>611</v>
      </c>
      <c r="D49" s="99"/>
      <c r="E49" s="99"/>
      <c r="F49" s="99"/>
    </row>
  </sheetData>
  <mergeCells count="37">
    <mergeCell ref="A1:F1"/>
    <mergeCell ref="A2:F2"/>
    <mergeCell ref="B4:F4"/>
    <mergeCell ref="B5:F5"/>
    <mergeCell ref="B6:F6"/>
    <mergeCell ref="B7:F7"/>
    <mergeCell ref="B8:F8"/>
    <mergeCell ref="B9:F9"/>
    <mergeCell ref="B10:F10"/>
    <mergeCell ref="B11:F11"/>
    <mergeCell ref="B12:F12"/>
    <mergeCell ref="B13:F13"/>
    <mergeCell ref="B14:F14"/>
    <mergeCell ref="A24:F24"/>
    <mergeCell ref="B25:F25"/>
    <mergeCell ref="B26:F26"/>
    <mergeCell ref="B27:F27"/>
    <mergeCell ref="B28:F28"/>
    <mergeCell ref="B29:F29"/>
    <mergeCell ref="B30:F30"/>
    <mergeCell ref="C31:F31"/>
    <mergeCell ref="A33:F33"/>
    <mergeCell ref="B34:F34"/>
    <mergeCell ref="B35:F35"/>
    <mergeCell ref="B36:F36"/>
    <mergeCell ref="B37:F37"/>
    <mergeCell ref="B38:F38"/>
    <mergeCell ref="B39:F39"/>
    <mergeCell ref="C40:F40"/>
    <mergeCell ref="A42:F42"/>
    <mergeCell ref="B43:F43"/>
    <mergeCell ref="B44:F44"/>
    <mergeCell ref="B45:F45"/>
    <mergeCell ref="B46:F46"/>
    <mergeCell ref="B47:F47"/>
    <mergeCell ref="B48:F48"/>
    <mergeCell ref="C49:F49"/>
  </mergeCells>
  <hyperlinks>
    <hyperlink ref="E3" r:id="rId1" location="'🧭%20Progression'!A1" display="◀ Progression"/>
    <hyperlink ref="F3" r:id="rId2" location="'🏠%20Accueil'!A1" display="◀ Accueil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E75B6"/>
    <pageSetUpPr fitToPage="false"/>
  </sheetPr>
  <dimension ref="A1:F6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1"/>
    <col collapsed="false" customWidth="true" hidden="false" outlineLevel="0" max="4" min="2" style="1" width="40"/>
    <col collapsed="false" customWidth="true" hidden="false" outlineLevel="0" max="5" min="5" style="1" width="30"/>
    <col collapsed="false" customWidth="true" hidden="false" outlineLevel="0" max="6" min="6" style="1" width="22"/>
  </cols>
  <sheetData>
    <row r="1" customFormat="false" ht="17.25" hidden="false" customHeight="true" outlineLevel="0" collapsed="false">
      <c r="A1" s="100" t="s">
        <v>632</v>
      </c>
      <c r="B1" s="100"/>
      <c r="C1" s="100"/>
      <c r="D1" s="100"/>
      <c r="E1" s="100"/>
      <c r="F1" s="100"/>
    </row>
    <row r="2" customFormat="false" ht="15" hidden="false" customHeight="true" outlineLevel="0" collapsed="false">
      <c r="A2" s="52" t="s">
        <v>633</v>
      </c>
      <c r="B2" s="52"/>
      <c r="C2" s="52"/>
      <c r="D2" s="52"/>
      <c r="E2" s="52"/>
      <c r="F2" s="52"/>
    </row>
    <row r="3" customFormat="false" ht="15" hidden="false" customHeight="true" outlineLevel="0" collapsed="false">
      <c r="E3" s="92" t="s">
        <v>574</v>
      </c>
      <c r="F3" s="30" t="s">
        <v>58</v>
      </c>
    </row>
    <row r="4" customFormat="false" ht="27.75" hidden="false" customHeight="true" outlineLevel="0" collapsed="false">
      <c r="A4" s="82" t="s">
        <v>505</v>
      </c>
      <c r="B4" s="93" t="s">
        <v>534</v>
      </c>
      <c r="C4" s="93"/>
      <c r="D4" s="93"/>
      <c r="E4" s="93"/>
      <c r="F4" s="93"/>
    </row>
    <row r="5" customFormat="false" ht="27.75" hidden="false" customHeight="true" outlineLevel="0" collapsed="false">
      <c r="A5" s="82" t="s">
        <v>575</v>
      </c>
      <c r="B5" s="93" t="s">
        <v>634</v>
      </c>
      <c r="C5" s="93"/>
      <c r="D5" s="93"/>
      <c r="E5" s="93"/>
      <c r="F5" s="93"/>
    </row>
    <row r="6" customFormat="false" ht="27.75" hidden="false" customHeight="true" outlineLevel="0" collapsed="false">
      <c r="A6" s="82" t="s">
        <v>577</v>
      </c>
      <c r="B6" s="93" t="s">
        <v>635</v>
      </c>
      <c r="C6" s="93"/>
      <c r="D6" s="93"/>
      <c r="E6" s="93"/>
      <c r="F6" s="93"/>
    </row>
    <row r="7" customFormat="false" ht="39" hidden="false" customHeight="true" outlineLevel="0" collapsed="false">
      <c r="A7" s="82" t="s">
        <v>578</v>
      </c>
      <c r="B7" s="93" t="s">
        <v>636</v>
      </c>
      <c r="C7" s="93"/>
      <c r="D7" s="93"/>
      <c r="E7" s="93"/>
      <c r="F7" s="93"/>
    </row>
    <row r="8" customFormat="false" ht="27.75" hidden="false" customHeight="true" outlineLevel="0" collapsed="false">
      <c r="A8" s="82" t="s">
        <v>579</v>
      </c>
      <c r="B8" s="93" t="s">
        <v>637</v>
      </c>
      <c r="C8" s="93"/>
      <c r="D8" s="93"/>
      <c r="E8" s="93"/>
      <c r="F8" s="93"/>
    </row>
    <row r="9" customFormat="false" ht="27.75" hidden="false" customHeight="true" outlineLevel="0" collapsed="false">
      <c r="A9" s="82" t="s">
        <v>581</v>
      </c>
      <c r="B9" s="93" t="s">
        <v>619</v>
      </c>
      <c r="C9" s="93"/>
      <c r="D9" s="93"/>
      <c r="E9" s="93"/>
      <c r="F9" s="93"/>
    </row>
    <row r="10" customFormat="false" ht="27.75" hidden="false" customHeight="true" outlineLevel="0" collapsed="false">
      <c r="A10" s="82" t="s">
        <v>583</v>
      </c>
      <c r="B10" s="93" t="s">
        <v>638</v>
      </c>
      <c r="C10" s="93"/>
      <c r="D10" s="93"/>
      <c r="E10" s="93"/>
      <c r="F10" s="93"/>
    </row>
    <row r="11" customFormat="false" ht="27.75" hidden="false" customHeight="true" outlineLevel="0" collapsed="false">
      <c r="A11" s="82" t="s">
        <v>585</v>
      </c>
      <c r="B11" s="93" t="s">
        <v>639</v>
      </c>
      <c r="C11" s="93"/>
      <c r="D11" s="93"/>
      <c r="E11" s="93"/>
      <c r="F11" s="93"/>
    </row>
    <row r="12" customFormat="false" ht="27.75" hidden="false" customHeight="true" outlineLevel="0" collapsed="false">
      <c r="A12" s="82" t="s">
        <v>586</v>
      </c>
      <c r="B12" s="93" t="s">
        <v>640</v>
      </c>
      <c r="C12" s="93"/>
      <c r="D12" s="93"/>
      <c r="E12" s="93"/>
      <c r="F12" s="93"/>
    </row>
    <row r="13" customFormat="false" ht="27.75" hidden="false" customHeight="true" outlineLevel="0" collapsed="false">
      <c r="A13" s="82" t="s">
        <v>587</v>
      </c>
      <c r="B13" s="93" t="s">
        <v>538</v>
      </c>
      <c r="C13" s="93"/>
      <c r="D13" s="93"/>
      <c r="E13" s="93"/>
      <c r="F13" s="93"/>
    </row>
    <row r="14" customFormat="false" ht="27.75" hidden="false" customHeight="true" outlineLevel="0" collapsed="false">
      <c r="A14" s="82" t="s">
        <v>588</v>
      </c>
      <c r="B14" s="93" t="s">
        <v>537</v>
      </c>
      <c r="C14" s="93"/>
      <c r="D14" s="93"/>
      <c r="E14" s="93"/>
      <c r="F14" s="93"/>
    </row>
    <row r="16" customFormat="false" ht="15" hidden="false" customHeight="true" outlineLevel="0" collapsed="false">
      <c r="A16" s="50" t="s">
        <v>589</v>
      </c>
    </row>
    <row r="17" customFormat="false" ht="15" hidden="false" customHeight="true" outlineLevel="0" collapsed="false">
      <c r="A17" s="31" t="s">
        <v>220</v>
      </c>
      <c r="B17" s="31" t="s">
        <v>590</v>
      </c>
      <c r="C17" s="31" t="s">
        <v>591</v>
      </c>
      <c r="D17" s="31" t="s">
        <v>592</v>
      </c>
      <c r="E17" s="31" t="s">
        <v>593</v>
      </c>
    </row>
    <row r="18" customFormat="false" ht="30" hidden="false" customHeight="true" outlineLevel="0" collapsed="false">
      <c r="A18" s="76" t="s">
        <v>355</v>
      </c>
      <c r="B18" s="36" t="s">
        <v>356</v>
      </c>
      <c r="C18" s="36" t="s">
        <v>299</v>
      </c>
      <c r="D18" s="36" t="s">
        <v>641</v>
      </c>
      <c r="E18" s="36" t="s">
        <v>642</v>
      </c>
    </row>
    <row r="19" customFormat="false" ht="30" hidden="false" customHeight="true" outlineLevel="0" collapsed="false">
      <c r="A19" s="76" t="s">
        <v>357</v>
      </c>
      <c r="B19" s="36" t="s">
        <v>358</v>
      </c>
      <c r="C19" s="36" t="s">
        <v>256</v>
      </c>
      <c r="D19" s="36" t="s">
        <v>641</v>
      </c>
      <c r="E19" s="36" t="s">
        <v>643</v>
      </c>
    </row>
    <row r="20" customFormat="false" ht="30" hidden="false" customHeight="true" outlineLevel="0" collapsed="false">
      <c r="A20" s="76" t="s">
        <v>359</v>
      </c>
      <c r="B20" s="36" t="s">
        <v>360</v>
      </c>
      <c r="C20" s="36" t="s">
        <v>299</v>
      </c>
      <c r="D20" s="36" t="s">
        <v>644</v>
      </c>
      <c r="E20" s="36" t="s">
        <v>645</v>
      </c>
    </row>
    <row r="21" customFormat="false" ht="30" hidden="false" customHeight="true" outlineLevel="0" collapsed="false">
      <c r="A21" s="76" t="s">
        <v>361</v>
      </c>
      <c r="B21" s="36" t="s">
        <v>362</v>
      </c>
      <c r="C21" s="36" t="s">
        <v>299</v>
      </c>
      <c r="D21" s="36" t="s">
        <v>646</v>
      </c>
      <c r="E21" s="36" t="s">
        <v>647</v>
      </c>
    </row>
    <row r="22" customFormat="false" ht="30" hidden="false" customHeight="true" outlineLevel="0" collapsed="false">
      <c r="A22" s="76" t="s">
        <v>363</v>
      </c>
      <c r="B22" s="36" t="s">
        <v>364</v>
      </c>
      <c r="C22" s="36" t="s">
        <v>299</v>
      </c>
      <c r="D22" s="36" t="s">
        <v>648</v>
      </c>
      <c r="E22" s="36" t="s">
        <v>647</v>
      </c>
    </row>
    <row r="23" customFormat="false" ht="30" hidden="false" customHeight="true" outlineLevel="0" collapsed="false">
      <c r="A23" s="76" t="s">
        <v>365</v>
      </c>
      <c r="B23" s="36" t="s">
        <v>366</v>
      </c>
      <c r="C23" s="36" t="s">
        <v>299</v>
      </c>
      <c r="D23" s="36" t="s">
        <v>648</v>
      </c>
      <c r="E23" s="36" t="s">
        <v>647</v>
      </c>
    </row>
    <row r="25" customFormat="false" ht="15" hidden="false" customHeight="true" outlineLevel="0" collapsed="false">
      <c r="A25" s="50" t="s">
        <v>595</v>
      </c>
    </row>
    <row r="26" customFormat="false" ht="15" hidden="false" customHeight="true" outlineLevel="0" collapsed="false">
      <c r="A26" s="101" t="s">
        <v>649</v>
      </c>
      <c r="B26" s="101"/>
      <c r="C26" s="101"/>
      <c r="D26" s="101"/>
      <c r="E26" s="101"/>
      <c r="F26" s="101"/>
    </row>
    <row r="27" customFormat="false" ht="27.75" hidden="false" customHeight="true" outlineLevel="0" collapsed="false">
      <c r="A27" s="82" t="s">
        <v>597</v>
      </c>
      <c r="B27" s="93" t="s">
        <v>650</v>
      </c>
      <c r="C27" s="93"/>
      <c r="D27" s="93"/>
      <c r="E27" s="93"/>
      <c r="F27" s="93"/>
    </row>
    <row r="28" customFormat="false" ht="51.75" hidden="false" customHeight="true" outlineLevel="0" collapsed="false">
      <c r="A28" s="82" t="s">
        <v>599</v>
      </c>
      <c r="B28" s="93" t="s">
        <v>651</v>
      </c>
      <c r="C28" s="93"/>
      <c r="D28" s="93"/>
      <c r="E28" s="93"/>
      <c r="F28" s="93"/>
    </row>
    <row r="29" customFormat="false" ht="27.75" hidden="false" customHeight="true" outlineLevel="0" collapsed="false">
      <c r="A29" s="82" t="s">
        <v>601</v>
      </c>
      <c r="B29" s="93" t="s">
        <v>652</v>
      </c>
      <c r="C29" s="93"/>
      <c r="D29" s="93"/>
      <c r="E29" s="93"/>
      <c r="F29" s="93"/>
    </row>
    <row r="30" customFormat="false" ht="27.75" hidden="false" customHeight="true" outlineLevel="0" collapsed="false">
      <c r="A30" s="82" t="s">
        <v>603</v>
      </c>
      <c r="B30" s="93" t="s">
        <v>653</v>
      </c>
      <c r="C30" s="93"/>
      <c r="D30" s="93"/>
      <c r="E30" s="93"/>
      <c r="F30" s="93"/>
    </row>
    <row r="31" customFormat="false" ht="39.75" hidden="false" customHeight="true" outlineLevel="0" collapsed="false">
      <c r="A31" s="95" t="s">
        <v>605</v>
      </c>
      <c r="B31" s="96" t="s">
        <v>654</v>
      </c>
      <c r="C31" s="96"/>
      <c r="D31" s="96"/>
      <c r="E31" s="96"/>
      <c r="F31" s="96"/>
    </row>
    <row r="32" customFormat="false" ht="51.75" hidden="false" customHeight="true" outlineLevel="0" collapsed="false">
      <c r="A32" s="95" t="s">
        <v>607</v>
      </c>
      <c r="B32" s="96" t="s">
        <v>655</v>
      </c>
      <c r="C32" s="96"/>
      <c r="D32" s="96"/>
      <c r="E32" s="96"/>
      <c r="F32" s="96"/>
    </row>
    <row r="33" customFormat="false" ht="15" hidden="false" customHeight="true" outlineLevel="0" collapsed="false">
      <c r="A33" s="97" t="s">
        <v>609</v>
      </c>
      <c r="B33" s="98" t="s">
        <v>610</v>
      </c>
      <c r="C33" s="99" t="s">
        <v>611</v>
      </c>
      <c r="D33" s="99"/>
      <c r="E33" s="99"/>
      <c r="F33" s="99"/>
    </row>
    <row r="35" customFormat="false" ht="15" hidden="false" customHeight="true" outlineLevel="0" collapsed="false">
      <c r="A35" s="101" t="s">
        <v>656</v>
      </c>
      <c r="B35" s="101"/>
      <c r="C35" s="101"/>
      <c r="D35" s="101"/>
      <c r="E35" s="101"/>
      <c r="F35" s="101"/>
    </row>
    <row r="36" customFormat="false" ht="27.75" hidden="false" customHeight="true" outlineLevel="0" collapsed="false">
      <c r="A36" s="82" t="s">
        <v>597</v>
      </c>
      <c r="B36" s="93" t="s">
        <v>657</v>
      </c>
      <c r="C36" s="93"/>
      <c r="D36" s="93"/>
      <c r="E36" s="93"/>
      <c r="F36" s="93"/>
    </row>
    <row r="37" customFormat="false" ht="51.75" hidden="false" customHeight="true" outlineLevel="0" collapsed="false">
      <c r="A37" s="82" t="s">
        <v>599</v>
      </c>
      <c r="B37" s="93" t="s">
        <v>658</v>
      </c>
      <c r="C37" s="93"/>
      <c r="D37" s="93"/>
      <c r="E37" s="93"/>
      <c r="F37" s="93"/>
    </row>
    <row r="38" customFormat="false" ht="27.75" hidden="false" customHeight="true" outlineLevel="0" collapsed="false">
      <c r="A38" s="82" t="s">
        <v>601</v>
      </c>
      <c r="B38" s="93" t="s">
        <v>659</v>
      </c>
      <c r="C38" s="93"/>
      <c r="D38" s="93"/>
      <c r="E38" s="93"/>
      <c r="F38" s="93"/>
    </row>
    <row r="39" customFormat="false" ht="27.75" hidden="false" customHeight="true" outlineLevel="0" collapsed="false">
      <c r="A39" s="82" t="s">
        <v>603</v>
      </c>
      <c r="B39" s="93" t="s">
        <v>660</v>
      </c>
      <c r="C39" s="93"/>
      <c r="D39" s="93"/>
      <c r="E39" s="93"/>
      <c r="F39" s="93"/>
    </row>
    <row r="40" customFormat="false" ht="39.75" hidden="false" customHeight="true" outlineLevel="0" collapsed="false">
      <c r="A40" s="95" t="s">
        <v>605</v>
      </c>
      <c r="B40" s="96" t="s">
        <v>661</v>
      </c>
      <c r="C40" s="96"/>
      <c r="D40" s="96"/>
      <c r="E40" s="96"/>
      <c r="F40" s="96"/>
    </row>
    <row r="41" customFormat="false" ht="39.75" hidden="false" customHeight="true" outlineLevel="0" collapsed="false">
      <c r="A41" s="95" t="s">
        <v>607</v>
      </c>
      <c r="B41" s="96" t="s">
        <v>662</v>
      </c>
      <c r="C41" s="96"/>
      <c r="D41" s="96"/>
      <c r="E41" s="96"/>
      <c r="F41" s="96"/>
    </row>
    <row r="42" customFormat="false" ht="15" hidden="false" customHeight="true" outlineLevel="0" collapsed="false">
      <c r="A42" s="97" t="s">
        <v>609</v>
      </c>
      <c r="B42" s="98" t="s">
        <v>610</v>
      </c>
      <c r="C42" s="99" t="s">
        <v>611</v>
      </c>
      <c r="D42" s="99"/>
      <c r="E42" s="99"/>
      <c r="F42" s="99"/>
    </row>
    <row r="44" customFormat="false" ht="15" hidden="false" customHeight="true" outlineLevel="0" collapsed="false">
      <c r="A44" s="101" t="s">
        <v>663</v>
      </c>
      <c r="B44" s="101"/>
      <c r="C44" s="101"/>
      <c r="D44" s="101"/>
      <c r="E44" s="101"/>
      <c r="F44" s="101"/>
    </row>
    <row r="45" customFormat="false" ht="27.75" hidden="false" customHeight="true" outlineLevel="0" collapsed="false">
      <c r="A45" s="82" t="s">
        <v>597</v>
      </c>
      <c r="B45" s="93" t="s">
        <v>664</v>
      </c>
      <c r="C45" s="93"/>
      <c r="D45" s="93"/>
      <c r="E45" s="93"/>
      <c r="F45" s="93"/>
    </row>
    <row r="46" customFormat="false" ht="51.75" hidden="false" customHeight="true" outlineLevel="0" collapsed="false">
      <c r="A46" s="82" t="s">
        <v>599</v>
      </c>
      <c r="B46" s="93" t="s">
        <v>665</v>
      </c>
      <c r="C46" s="93"/>
      <c r="D46" s="93"/>
      <c r="E46" s="93"/>
      <c r="F46" s="93"/>
    </row>
    <row r="47" customFormat="false" ht="27.75" hidden="false" customHeight="true" outlineLevel="0" collapsed="false">
      <c r="A47" s="82" t="s">
        <v>601</v>
      </c>
      <c r="B47" s="93" t="s">
        <v>666</v>
      </c>
      <c r="C47" s="93"/>
      <c r="D47" s="93"/>
      <c r="E47" s="93"/>
      <c r="F47" s="93"/>
    </row>
    <row r="48" customFormat="false" ht="27.75" hidden="false" customHeight="true" outlineLevel="0" collapsed="false">
      <c r="A48" s="82" t="s">
        <v>603</v>
      </c>
      <c r="B48" s="93" t="s">
        <v>667</v>
      </c>
      <c r="C48" s="93"/>
      <c r="D48" s="93"/>
      <c r="E48" s="93"/>
      <c r="F48" s="93"/>
    </row>
    <row r="49" customFormat="false" ht="39.75" hidden="false" customHeight="true" outlineLevel="0" collapsed="false">
      <c r="A49" s="95" t="s">
        <v>605</v>
      </c>
      <c r="B49" s="96" t="s">
        <v>668</v>
      </c>
      <c r="C49" s="96"/>
      <c r="D49" s="96"/>
      <c r="E49" s="96"/>
      <c r="F49" s="96"/>
    </row>
    <row r="50" customFormat="false" ht="39.75" hidden="false" customHeight="true" outlineLevel="0" collapsed="false">
      <c r="A50" s="95" t="s">
        <v>607</v>
      </c>
      <c r="B50" s="96" t="s">
        <v>669</v>
      </c>
      <c r="C50" s="96"/>
      <c r="D50" s="96"/>
      <c r="E50" s="96"/>
      <c r="F50" s="96"/>
    </row>
    <row r="51" customFormat="false" ht="15" hidden="false" customHeight="true" outlineLevel="0" collapsed="false">
      <c r="A51" s="97" t="s">
        <v>609</v>
      </c>
      <c r="B51" s="98" t="s">
        <v>610</v>
      </c>
      <c r="C51" s="99" t="s">
        <v>611</v>
      </c>
      <c r="D51" s="99"/>
      <c r="E51" s="99"/>
      <c r="F51" s="99"/>
    </row>
    <row r="53" customFormat="false" ht="15" hidden="false" customHeight="true" outlineLevel="0" collapsed="false">
      <c r="A53" s="101" t="s">
        <v>670</v>
      </c>
      <c r="B53" s="101"/>
      <c r="C53" s="101"/>
      <c r="D53" s="101"/>
      <c r="E53" s="101"/>
      <c r="F53" s="101"/>
    </row>
    <row r="54" customFormat="false" ht="27.75" hidden="false" customHeight="true" outlineLevel="0" collapsed="false">
      <c r="A54" s="82" t="s">
        <v>597</v>
      </c>
      <c r="B54" s="93" t="s">
        <v>671</v>
      </c>
      <c r="C54" s="93"/>
      <c r="D54" s="93"/>
      <c r="E54" s="93"/>
      <c r="F54" s="93"/>
    </row>
    <row r="55" customFormat="false" ht="39" hidden="false" customHeight="true" outlineLevel="0" collapsed="false">
      <c r="A55" s="82" t="s">
        <v>599</v>
      </c>
      <c r="B55" s="93" t="s">
        <v>672</v>
      </c>
      <c r="C55" s="93"/>
      <c r="D55" s="93"/>
      <c r="E55" s="93"/>
      <c r="F55" s="93"/>
    </row>
    <row r="56" customFormat="false" ht="27.75" hidden="false" customHeight="true" outlineLevel="0" collapsed="false">
      <c r="A56" s="82" t="s">
        <v>601</v>
      </c>
      <c r="B56" s="93" t="s">
        <v>673</v>
      </c>
      <c r="C56" s="93"/>
      <c r="D56" s="93"/>
      <c r="E56" s="93"/>
      <c r="F56" s="93"/>
    </row>
    <row r="57" customFormat="false" ht="27.75" hidden="false" customHeight="true" outlineLevel="0" collapsed="false">
      <c r="A57" s="82" t="s">
        <v>603</v>
      </c>
      <c r="B57" s="93" t="s">
        <v>674</v>
      </c>
      <c r="C57" s="93"/>
      <c r="D57" s="93"/>
      <c r="E57" s="93"/>
      <c r="F57" s="93"/>
    </row>
    <row r="58" customFormat="false" ht="39.75" hidden="false" customHeight="true" outlineLevel="0" collapsed="false">
      <c r="A58" s="95" t="s">
        <v>605</v>
      </c>
      <c r="B58" s="96" t="s">
        <v>675</v>
      </c>
      <c r="C58" s="96"/>
      <c r="D58" s="96"/>
      <c r="E58" s="96"/>
      <c r="F58" s="96"/>
    </row>
    <row r="59" customFormat="false" ht="39.75" hidden="false" customHeight="true" outlineLevel="0" collapsed="false">
      <c r="A59" s="95" t="s">
        <v>607</v>
      </c>
      <c r="B59" s="96" t="s">
        <v>676</v>
      </c>
      <c r="C59" s="96"/>
      <c r="D59" s="96"/>
      <c r="E59" s="96"/>
      <c r="F59" s="96"/>
    </row>
    <row r="60" customFormat="false" ht="15" hidden="false" customHeight="true" outlineLevel="0" collapsed="false">
      <c r="A60" s="97" t="s">
        <v>609</v>
      </c>
      <c r="B60" s="98" t="s">
        <v>610</v>
      </c>
      <c r="C60" s="99" t="s">
        <v>611</v>
      </c>
      <c r="D60" s="99"/>
      <c r="E60" s="99"/>
      <c r="F60" s="99"/>
    </row>
    <row r="62" customFormat="false" ht="15" hidden="false" customHeight="true" outlineLevel="0" collapsed="false">
      <c r="A62" s="101" t="s">
        <v>677</v>
      </c>
      <c r="B62" s="101"/>
      <c r="C62" s="101"/>
      <c r="D62" s="101"/>
      <c r="E62" s="101"/>
      <c r="F62" s="101"/>
    </row>
    <row r="63" customFormat="false" ht="27.75" hidden="false" customHeight="true" outlineLevel="0" collapsed="false">
      <c r="A63" s="82" t="s">
        <v>597</v>
      </c>
      <c r="B63" s="93" t="s">
        <v>678</v>
      </c>
      <c r="C63" s="93"/>
      <c r="D63" s="93"/>
      <c r="E63" s="93"/>
      <c r="F63" s="93"/>
    </row>
    <row r="64" customFormat="false" ht="27.75" hidden="false" customHeight="true" outlineLevel="0" collapsed="false">
      <c r="A64" s="82" t="s">
        <v>599</v>
      </c>
      <c r="B64" s="93" t="s">
        <v>679</v>
      </c>
      <c r="C64" s="93"/>
      <c r="D64" s="93"/>
      <c r="E64" s="93"/>
      <c r="F64" s="93"/>
    </row>
    <row r="65" customFormat="false" ht="27.75" hidden="false" customHeight="true" outlineLevel="0" collapsed="false">
      <c r="A65" s="82" t="s">
        <v>601</v>
      </c>
      <c r="B65" s="93" t="s">
        <v>680</v>
      </c>
      <c r="C65" s="93"/>
      <c r="D65" s="93"/>
      <c r="E65" s="93"/>
      <c r="F65" s="93"/>
    </row>
    <row r="66" customFormat="false" ht="27.75" hidden="false" customHeight="true" outlineLevel="0" collapsed="false">
      <c r="A66" s="82" t="s">
        <v>603</v>
      </c>
      <c r="B66" s="93" t="s">
        <v>681</v>
      </c>
      <c r="C66" s="93"/>
      <c r="D66" s="93"/>
      <c r="E66" s="93"/>
      <c r="F66" s="93"/>
    </row>
    <row r="67" customFormat="false" ht="39.75" hidden="false" customHeight="true" outlineLevel="0" collapsed="false">
      <c r="A67" s="95" t="s">
        <v>605</v>
      </c>
      <c r="B67" s="96" t="s">
        <v>682</v>
      </c>
      <c r="C67" s="96"/>
      <c r="D67" s="96"/>
      <c r="E67" s="96"/>
      <c r="F67" s="96"/>
    </row>
    <row r="68" customFormat="false" ht="51.75" hidden="false" customHeight="true" outlineLevel="0" collapsed="false">
      <c r="A68" s="95" t="s">
        <v>607</v>
      </c>
      <c r="B68" s="96" t="s">
        <v>683</v>
      </c>
      <c r="C68" s="96"/>
      <c r="D68" s="96"/>
      <c r="E68" s="96"/>
      <c r="F68" s="96"/>
    </row>
    <row r="69" customFormat="false" ht="15" hidden="false" customHeight="true" outlineLevel="0" collapsed="false">
      <c r="A69" s="97" t="s">
        <v>609</v>
      </c>
      <c r="B69" s="98" t="s">
        <v>610</v>
      </c>
      <c r="C69" s="99" t="s">
        <v>611</v>
      </c>
      <c r="D69" s="99"/>
      <c r="E69" s="99"/>
      <c r="F69" s="99"/>
    </row>
  </sheetData>
  <mergeCells count="53">
    <mergeCell ref="A1:F1"/>
    <mergeCell ref="A2:F2"/>
    <mergeCell ref="B4:F4"/>
    <mergeCell ref="B5:F5"/>
    <mergeCell ref="B6:F6"/>
    <mergeCell ref="B7:F7"/>
    <mergeCell ref="B8:F8"/>
    <mergeCell ref="B9:F9"/>
    <mergeCell ref="B10:F10"/>
    <mergeCell ref="B11:F11"/>
    <mergeCell ref="B12:F12"/>
    <mergeCell ref="B13:F13"/>
    <mergeCell ref="B14:F14"/>
    <mergeCell ref="A26:F26"/>
    <mergeCell ref="B27:F27"/>
    <mergeCell ref="B28:F28"/>
    <mergeCell ref="B29:F29"/>
    <mergeCell ref="B30:F30"/>
    <mergeCell ref="B31:F31"/>
    <mergeCell ref="B32:F32"/>
    <mergeCell ref="C33:F33"/>
    <mergeCell ref="A35:F35"/>
    <mergeCell ref="B36:F36"/>
    <mergeCell ref="B37:F37"/>
    <mergeCell ref="B38:F38"/>
    <mergeCell ref="B39:F39"/>
    <mergeCell ref="B40:F40"/>
    <mergeCell ref="B41:F41"/>
    <mergeCell ref="C42:F42"/>
    <mergeCell ref="A44:F44"/>
    <mergeCell ref="B45:F45"/>
    <mergeCell ref="B46:F46"/>
    <mergeCell ref="B47:F47"/>
    <mergeCell ref="B48:F48"/>
    <mergeCell ref="B49:F49"/>
    <mergeCell ref="B50:F50"/>
    <mergeCell ref="C51:F51"/>
    <mergeCell ref="A53:F53"/>
    <mergeCell ref="B54:F54"/>
    <mergeCell ref="B55:F55"/>
    <mergeCell ref="B56:F56"/>
    <mergeCell ref="B57:F57"/>
    <mergeCell ref="B58:F58"/>
    <mergeCell ref="B59:F59"/>
    <mergeCell ref="C60:F60"/>
    <mergeCell ref="A62:F62"/>
    <mergeCell ref="B63:F63"/>
    <mergeCell ref="B64:F64"/>
    <mergeCell ref="B65:F65"/>
    <mergeCell ref="B66:F66"/>
    <mergeCell ref="B67:F67"/>
    <mergeCell ref="B68:F68"/>
    <mergeCell ref="C69:F69"/>
  </mergeCells>
  <hyperlinks>
    <hyperlink ref="E3" r:id="rId1" location="'🧭%20Progression'!A1" display="◀ Progression"/>
    <hyperlink ref="F3" r:id="rId2" location="'🏠%20Accueil'!A1" display="◀ Accueil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E75B6"/>
    <pageSetUpPr fitToPage="false"/>
  </sheetPr>
  <dimension ref="A1:F4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1"/>
    <col collapsed="false" customWidth="true" hidden="false" outlineLevel="0" max="4" min="2" style="1" width="40"/>
    <col collapsed="false" customWidth="true" hidden="false" outlineLevel="0" max="5" min="5" style="1" width="30"/>
    <col collapsed="false" customWidth="true" hidden="false" outlineLevel="0" max="6" min="6" style="1" width="22"/>
  </cols>
  <sheetData>
    <row r="1" customFormat="false" ht="17.25" hidden="false" customHeight="true" outlineLevel="0" collapsed="false">
      <c r="A1" s="100" t="s">
        <v>684</v>
      </c>
      <c r="B1" s="100"/>
      <c r="C1" s="100"/>
      <c r="D1" s="100"/>
      <c r="E1" s="100"/>
      <c r="F1" s="100"/>
    </row>
    <row r="2" customFormat="false" ht="15" hidden="false" customHeight="true" outlineLevel="0" collapsed="false">
      <c r="A2" s="52" t="s">
        <v>685</v>
      </c>
      <c r="B2" s="52"/>
      <c r="C2" s="52"/>
      <c r="D2" s="52"/>
      <c r="E2" s="52"/>
      <c r="F2" s="52"/>
    </row>
    <row r="3" customFormat="false" ht="15" hidden="false" customHeight="true" outlineLevel="0" collapsed="false">
      <c r="E3" s="92" t="s">
        <v>574</v>
      </c>
      <c r="F3" s="30" t="s">
        <v>58</v>
      </c>
    </row>
    <row r="4" customFormat="false" ht="27.75" hidden="false" customHeight="true" outlineLevel="0" collapsed="false">
      <c r="A4" s="82" t="s">
        <v>505</v>
      </c>
      <c r="B4" s="93" t="s">
        <v>541</v>
      </c>
      <c r="C4" s="93"/>
      <c r="D4" s="93"/>
      <c r="E4" s="93"/>
      <c r="F4" s="93"/>
    </row>
    <row r="5" customFormat="false" ht="27.75" hidden="false" customHeight="true" outlineLevel="0" collapsed="false">
      <c r="A5" s="82" t="s">
        <v>575</v>
      </c>
      <c r="B5" s="93" t="s">
        <v>686</v>
      </c>
      <c r="C5" s="93"/>
      <c r="D5" s="93"/>
      <c r="E5" s="93"/>
      <c r="F5" s="93"/>
    </row>
    <row r="6" customFormat="false" ht="27.75" hidden="false" customHeight="true" outlineLevel="0" collapsed="false">
      <c r="A6" s="82" t="s">
        <v>577</v>
      </c>
      <c r="B6" s="93" t="s">
        <v>687</v>
      </c>
      <c r="C6" s="93"/>
      <c r="D6" s="93"/>
      <c r="E6" s="93"/>
      <c r="F6" s="93"/>
    </row>
    <row r="7" customFormat="false" ht="27.75" hidden="false" customHeight="true" outlineLevel="0" collapsed="false">
      <c r="A7" s="82" t="s">
        <v>578</v>
      </c>
      <c r="B7" s="93" t="s">
        <v>688</v>
      </c>
      <c r="C7" s="93"/>
      <c r="D7" s="93"/>
      <c r="E7" s="93"/>
      <c r="F7" s="93"/>
    </row>
    <row r="8" customFormat="false" ht="27.75" hidden="false" customHeight="true" outlineLevel="0" collapsed="false">
      <c r="A8" s="82" t="s">
        <v>579</v>
      </c>
      <c r="B8" s="93" t="s">
        <v>689</v>
      </c>
      <c r="C8" s="93"/>
      <c r="D8" s="93"/>
      <c r="E8" s="93"/>
      <c r="F8" s="93"/>
    </row>
    <row r="9" customFormat="false" ht="27.75" hidden="false" customHeight="true" outlineLevel="0" collapsed="false">
      <c r="A9" s="82" t="s">
        <v>581</v>
      </c>
      <c r="B9" s="93" t="s">
        <v>690</v>
      </c>
      <c r="C9" s="93"/>
      <c r="D9" s="93"/>
      <c r="E9" s="93"/>
      <c r="F9" s="93"/>
    </row>
    <row r="10" customFormat="false" ht="27.75" hidden="false" customHeight="true" outlineLevel="0" collapsed="false">
      <c r="A10" s="82" t="s">
        <v>583</v>
      </c>
      <c r="B10" s="93" t="s">
        <v>691</v>
      </c>
      <c r="C10" s="93"/>
      <c r="D10" s="93"/>
      <c r="E10" s="93"/>
      <c r="F10" s="93"/>
    </row>
    <row r="11" customFormat="false" ht="27.75" hidden="false" customHeight="true" outlineLevel="0" collapsed="false">
      <c r="A11" s="82" t="s">
        <v>585</v>
      </c>
      <c r="B11" s="93" t="s">
        <v>692</v>
      </c>
      <c r="C11" s="93"/>
      <c r="D11" s="93"/>
      <c r="E11" s="93"/>
      <c r="F11" s="93"/>
    </row>
    <row r="12" customFormat="false" ht="27.75" hidden="false" customHeight="true" outlineLevel="0" collapsed="false">
      <c r="A12" s="82" t="s">
        <v>586</v>
      </c>
      <c r="B12" s="93" t="s">
        <v>693</v>
      </c>
      <c r="C12" s="93"/>
      <c r="D12" s="93"/>
      <c r="E12" s="93"/>
      <c r="F12" s="93"/>
    </row>
    <row r="13" customFormat="false" ht="27.75" hidden="false" customHeight="true" outlineLevel="0" collapsed="false">
      <c r="A13" s="82" t="s">
        <v>587</v>
      </c>
      <c r="B13" s="93" t="s">
        <v>545</v>
      </c>
      <c r="C13" s="93"/>
      <c r="D13" s="93"/>
      <c r="E13" s="93"/>
      <c r="F13" s="93"/>
    </row>
    <row r="14" customFormat="false" ht="27.75" hidden="false" customHeight="true" outlineLevel="0" collapsed="false">
      <c r="A14" s="82" t="s">
        <v>588</v>
      </c>
      <c r="B14" s="93" t="s">
        <v>544</v>
      </c>
      <c r="C14" s="93"/>
      <c r="D14" s="93"/>
      <c r="E14" s="93"/>
      <c r="F14" s="93"/>
    </row>
    <row r="16" customFormat="false" ht="15" hidden="false" customHeight="true" outlineLevel="0" collapsed="false">
      <c r="A16" s="50" t="s">
        <v>589</v>
      </c>
    </row>
    <row r="17" customFormat="false" ht="15" hidden="false" customHeight="true" outlineLevel="0" collapsed="false">
      <c r="A17" s="31" t="s">
        <v>220</v>
      </c>
      <c r="B17" s="31" t="s">
        <v>590</v>
      </c>
      <c r="C17" s="31" t="s">
        <v>591</v>
      </c>
      <c r="D17" s="31" t="s">
        <v>592</v>
      </c>
      <c r="E17" s="31" t="s">
        <v>593</v>
      </c>
    </row>
    <row r="18" customFormat="false" ht="30" hidden="false" customHeight="true" outlineLevel="0" collapsed="false">
      <c r="A18" s="76" t="s">
        <v>367</v>
      </c>
      <c r="B18" s="36" t="s">
        <v>368</v>
      </c>
      <c r="C18" s="36" t="s">
        <v>236</v>
      </c>
      <c r="D18" s="36" t="s">
        <v>644</v>
      </c>
      <c r="E18" s="36" t="s">
        <v>694</v>
      </c>
    </row>
    <row r="19" customFormat="false" ht="30" hidden="false" customHeight="true" outlineLevel="0" collapsed="false">
      <c r="A19" s="76" t="s">
        <v>369</v>
      </c>
      <c r="B19" s="36" t="s">
        <v>370</v>
      </c>
      <c r="C19" s="36" t="s">
        <v>236</v>
      </c>
      <c r="D19" s="36" t="s">
        <v>695</v>
      </c>
      <c r="E19" s="36" t="s">
        <v>696</v>
      </c>
    </row>
    <row r="21" customFormat="false" ht="15" hidden="false" customHeight="true" outlineLevel="0" collapsed="false">
      <c r="A21" s="50" t="s">
        <v>595</v>
      </c>
    </row>
    <row r="22" customFormat="false" ht="15" hidden="false" customHeight="true" outlineLevel="0" collapsed="false">
      <c r="A22" s="101" t="s">
        <v>697</v>
      </c>
      <c r="B22" s="101"/>
      <c r="C22" s="101"/>
      <c r="D22" s="101"/>
      <c r="E22" s="101"/>
      <c r="F22" s="101"/>
    </row>
    <row r="23" customFormat="false" ht="27.75" hidden="false" customHeight="true" outlineLevel="0" collapsed="false">
      <c r="A23" s="82" t="s">
        <v>597</v>
      </c>
      <c r="B23" s="93" t="s">
        <v>698</v>
      </c>
      <c r="C23" s="93"/>
      <c r="D23" s="93"/>
      <c r="E23" s="93"/>
      <c r="F23" s="93"/>
    </row>
    <row r="24" customFormat="false" ht="51.75" hidden="false" customHeight="true" outlineLevel="0" collapsed="false">
      <c r="A24" s="82" t="s">
        <v>599</v>
      </c>
      <c r="B24" s="93" t="s">
        <v>699</v>
      </c>
      <c r="C24" s="93"/>
      <c r="D24" s="93"/>
      <c r="E24" s="93"/>
      <c r="F24" s="93"/>
    </row>
    <row r="25" customFormat="false" ht="27.75" hidden="false" customHeight="true" outlineLevel="0" collapsed="false">
      <c r="A25" s="82" t="s">
        <v>601</v>
      </c>
      <c r="B25" s="93" t="s">
        <v>700</v>
      </c>
      <c r="C25" s="93"/>
      <c r="D25" s="93"/>
      <c r="E25" s="93"/>
      <c r="F25" s="93"/>
    </row>
    <row r="26" customFormat="false" ht="27.75" hidden="false" customHeight="true" outlineLevel="0" collapsed="false">
      <c r="A26" s="82" t="s">
        <v>603</v>
      </c>
      <c r="B26" s="93" t="s">
        <v>701</v>
      </c>
      <c r="C26" s="93"/>
      <c r="D26" s="93"/>
      <c r="E26" s="93"/>
      <c r="F26" s="93"/>
    </row>
    <row r="27" customFormat="false" ht="39.75" hidden="false" customHeight="true" outlineLevel="0" collapsed="false">
      <c r="A27" s="95" t="s">
        <v>605</v>
      </c>
      <c r="B27" s="96" t="s">
        <v>702</v>
      </c>
      <c r="C27" s="96"/>
      <c r="D27" s="96"/>
      <c r="E27" s="96"/>
      <c r="F27" s="96"/>
    </row>
    <row r="28" customFormat="false" ht="39.75" hidden="false" customHeight="true" outlineLevel="0" collapsed="false">
      <c r="A28" s="95" t="s">
        <v>607</v>
      </c>
      <c r="B28" s="96" t="s">
        <v>703</v>
      </c>
      <c r="C28" s="96"/>
      <c r="D28" s="96"/>
      <c r="E28" s="96"/>
      <c r="F28" s="96"/>
    </row>
    <row r="29" customFormat="false" ht="15" hidden="false" customHeight="true" outlineLevel="0" collapsed="false">
      <c r="A29" s="97" t="s">
        <v>609</v>
      </c>
      <c r="B29" s="98" t="s">
        <v>610</v>
      </c>
      <c r="C29" s="99" t="s">
        <v>611</v>
      </c>
      <c r="D29" s="99"/>
      <c r="E29" s="99"/>
      <c r="F29" s="99"/>
    </row>
    <row r="31" customFormat="false" ht="15" hidden="false" customHeight="true" outlineLevel="0" collapsed="false">
      <c r="A31" s="101" t="s">
        <v>704</v>
      </c>
      <c r="B31" s="101"/>
      <c r="C31" s="101"/>
      <c r="D31" s="101"/>
      <c r="E31" s="101"/>
      <c r="F31" s="101"/>
    </row>
    <row r="32" customFormat="false" ht="27.75" hidden="false" customHeight="true" outlineLevel="0" collapsed="false">
      <c r="A32" s="82" t="s">
        <v>597</v>
      </c>
      <c r="B32" s="93" t="s">
        <v>705</v>
      </c>
      <c r="C32" s="93"/>
      <c r="D32" s="93"/>
      <c r="E32" s="93"/>
      <c r="F32" s="93"/>
    </row>
    <row r="33" customFormat="false" ht="51.75" hidden="false" customHeight="true" outlineLevel="0" collapsed="false">
      <c r="A33" s="82" t="s">
        <v>599</v>
      </c>
      <c r="B33" s="93" t="s">
        <v>706</v>
      </c>
      <c r="C33" s="93"/>
      <c r="D33" s="93"/>
      <c r="E33" s="93"/>
      <c r="F33" s="93"/>
    </row>
    <row r="34" customFormat="false" ht="27.75" hidden="false" customHeight="true" outlineLevel="0" collapsed="false">
      <c r="A34" s="82" t="s">
        <v>601</v>
      </c>
      <c r="B34" s="93" t="s">
        <v>707</v>
      </c>
      <c r="C34" s="93"/>
      <c r="D34" s="93"/>
      <c r="E34" s="93"/>
      <c r="F34" s="93"/>
    </row>
    <row r="35" customFormat="false" ht="27.75" hidden="false" customHeight="true" outlineLevel="0" collapsed="false">
      <c r="A35" s="82" t="s">
        <v>603</v>
      </c>
      <c r="B35" s="93" t="s">
        <v>708</v>
      </c>
      <c r="C35" s="93"/>
      <c r="D35" s="93"/>
      <c r="E35" s="93"/>
      <c r="F35" s="93"/>
    </row>
    <row r="36" customFormat="false" ht="39.75" hidden="false" customHeight="true" outlineLevel="0" collapsed="false">
      <c r="A36" s="95" t="s">
        <v>605</v>
      </c>
      <c r="B36" s="96" t="s">
        <v>709</v>
      </c>
      <c r="C36" s="96"/>
      <c r="D36" s="96"/>
      <c r="E36" s="96"/>
      <c r="F36" s="96"/>
    </row>
    <row r="37" customFormat="false" ht="39.75" hidden="false" customHeight="true" outlineLevel="0" collapsed="false">
      <c r="A37" s="95" t="s">
        <v>607</v>
      </c>
      <c r="B37" s="96" t="s">
        <v>710</v>
      </c>
      <c r="C37" s="96"/>
      <c r="D37" s="96"/>
      <c r="E37" s="96"/>
      <c r="F37" s="96"/>
    </row>
    <row r="38" customFormat="false" ht="15" hidden="false" customHeight="true" outlineLevel="0" collapsed="false">
      <c r="A38" s="97" t="s">
        <v>609</v>
      </c>
      <c r="B38" s="98" t="s">
        <v>610</v>
      </c>
      <c r="C38" s="99" t="s">
        <v>611</v>
      </c>
      <c r="D38" s="99"/>
      <c r="E38" s="99"/>
      <c r="F38" s="99"/>
    </row>
    <row r="40" customFormat="false" ht="15" hidden="false" customHeight="true" outlineLevel="0" collapsed="false">
      <c r="A40" s="101" t="s">
        <v>711</v>
      </c>
      <c r="B40" s="101"/>
      <c r="C40" s="101"/>
      <c r="D40" s="101"/>
      <c r="E40" s="101"/>
      <c r="F40" s="101"/>
    </row>
    <row r="41" customFormat="false" ht="27.75" hidden="false" customHeight="true" outlineLevel="0" collapsed="false">
      <c r="A41" s="82" t="s">
        <v>597</v>
      </c>
      <c r="B41" s="93" t="s">
        <v>712</v>
      </c>
      <c r="C41" s="93"/>
      <c r="D41" s="93"/>
      <c r="E41" s="93"/>
      <c r="F41" s="93"/>
    </row>
    <row r="42" customFormat="false" ht="27.75" hidden="false" customHeight="true" outlineLevel="0" collapsed="false">
      <c r="A42" s="82" t="s">
        <v>599</v>
      </c>
      <c r="B42" s="93" t="s">
        <v>713</v>
      </c>
      <c r="C42" s="93"/>
      <c r="D42" s="93"/>
      <c r="E42" s="93"/>
      <c r="F42" s="93"/>
    </row>
    <row r="43" customFormat="false" ht="27.75" hidden="false" customHeight="true" outlineLevel="0" collapsed="false">
      <c r="A43" s="82" t="s">
        <v>601</v>
      </c>
      <c r="B43" s="93" t="s">
        <v>714</v>
      </c>
      <c r="C43" s="93"/>
      <c r="D43" s="93"/>
      <c r="E43" s="93"/>
      <c r="F43" s="93"/>
    </row>
    <row r="44" customFormat="false" ht="27.75" hidden="false" customHeight="true" outlineLevel="0" collapsed="false">
      <c r="A44" s="82" t="s">
        <v>603</v>
      </c>
      <c r="B44" s="93" t="s">
        <v>715</v>
      </c>
      <c r="C44" s="93"/>
      <c r="D44" s="93"/>
      <c r="E44" s="93"/>
      <c r="F44" s="93"/>
    </row>
    <row r="45" customFormat="false" ht="39.75" hidden="false" customHeight="true" outlineLevel="0" collapsed="false">
      <c r="A45" s="95" t="s">
        <v>605</v>
      </c>
      <c r="B45" s="96" t="s">
        <v>716</v>
      </c>
      <c r="C45" s="96"/>
      <c r="D45" s="96"/>
      <c r="E45" s="96"/>
      <c r="F45" s="96"/>
    </row>
    <row r="46" customFormat="false" ht="39.75" hidden="false" customHeight="true" outlineLevel="0" collapsed="false">
      <c r="A46" s="95" t="s">
        <v>607</v>
      </c>
      <c r="B46" s="96" t="s">
        <v>717</v>
      </c>
      <c r="C46" s="96"/>
      <c r="D46" s="96"/>
      <c r="E46" s="96"/>
      <c r="F46" s="96"/>
    </row>
    <row r="47" customFormat="false" ht="15" hidden="false" customHeight="true" outlineLevel="0" collapsed="false">
      <c r="A47" s="97" t="s">
        <v>609</v>
      </c>
      <c r="B47" s="98" t="s">
        <v>610</v>
      </c>
      <c r="C47" s="99" t="s">
        <v>611</v>
      </c>
      <c r="D47" s="99"/>
      <c r="E47" s="99"/>
      <c r="F47" s="99"/>
    </row>
  </sheetData>
  <mergeCells count="37">
    <mergeCell ref="A1:F1"/>
    <mergeCell ref="A2:F2"/>
    <mergeCell ref="B4:F4"/>
    <mergeCell ref="B5:F5"/>
    <mergeCell ref="B6:F6"/>
    <mergeCell ref="B7:F7"/>
    <mergeCell ref="B8:F8"/>
    <mergeCell ref="B9:F9"/>
    <mergeCell ref="B10:F10"/>
    <mergeCell ref="B11:F11"/>
    <mergeCell ref="B12:F12"/>
    <mergeCell ref="B13:F13"/>
    <mergeCell ref="B14:F14"/>
    <mergeCell ref="A22:F22"/>
    <mergeCell ref="B23:F23"/>
    <mergeCell ref="B24:F24"/>
    <mergeCell ref="B25:F25"/>
    <mergeCell ref="B26:F26"/>
    <mergeCell ref="B27:F27"/>
    <mergeCell ref="B28:F28"/>
    <mergeCell ref="C29:F29"/>
    <mergeCell ref="A31:F31"/>
    <mergeCell ref="B32:F32"/>
    <mergeCell ref="B33:F33"/>
    <mergeCell ref="B34:F34"/>
    <mergeCell ref="B35:F35"/>
    <mergeCell ref="B36:F36"/>
    <mergeCell ref="B37:F37"/>
    <mergeCell ref="C38:F38"/>
    <mergeCell ref="A40:F40"/>
    <mergeCell ref="B41:F41"/>
    <mergeCell ref="B42:F42"/>
    <mergeCell ref="B43:F43"/>
    <mergeCell ref="B44:F44"/>
    <mergeCell ref="B45:F45"/>
    <mergeCell ref="B46:F46"/>
    <mergeCell ref="C47:F47"/>
  </mergeCells>
  <hyperlinks>
    <hyperlink ref="E3" r:id="rId1" location="'🧭%20Progression'!A1" display="◀ Progression"/>
    <hyperlink ref="F3" r:id="rId2" location="'🏠%20Accueil'!A1" display="◀ Accueil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E75B6"/>
    <pageSetUpPr fitToPage="false"/>
  </sheetPr>
  <dimension ref="A1:F6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1"/>
    <col collapsed="false" customWidth="true" hidden="false" outlineLevel="0" max="4" min="2" style="1" width="40"/>
    <col collapsed="false" customWidth="true" hidden="false" outlineLevel="0" max="5" min="5" style="1" width="30"/>
    <col collapsed="false" customWidth="true" hidden="false" outlineLevel="0" max="6" min="6" style="1" width="22"/>
  </cols>
  <sheetData>
    <row r="1" customFormat="false" ht="17.25" hidden="false" customHeight="true" outlineLevel="0" collapsed="false">
      <c r="A1" s="100" t="s">
        <v>718</v>
      </c>
      <c r="B1" s="100"/>
      <c r="C1" s="100"/>
      <c r="D1" s="100"/>
      <c r="E1" s="100"/>
      <c r="F1" s="100"/>
    </row>
    <row r="2" customFormat="false" ht="15" hidden="false" customHeight="true" outlineLevel="0" collapsed="false">
      <c r="A2" s="52" t="s">
        <v>719</v>
      </c>
      <c r="B2" s="52"/>
      <c r="C2" s="52"/>
      <c r="D2" s="52"/>
      <c r="E2" s="52"/>
      <c r="F2" s="52"/>
    </row>
    <row r="3" customFormat="false" ht="15" hidden="false" customHeight="true" outlineLevel="0" collapsed="false">
      <c r="E3" s="92" t="s">
        <v>574</v>
      </c>
      <c r="F3" s="30" t="s">
        <v>58</v>
      </c>
    </row>
    <row r="4" customFormat="false" ht="27.75" hidden="false" customHeight="true" outlineLevel="0" collapsed="false">
      <c r="A4" s="82" t="s">
        <v>505</v>
      </c>
      <c r="B4" s="93" t="s">
        <v>548</v>
      </c>
      <c r="C4" s="93"/>
      <c r="D4" s="93"/>
      <c r="E4" s="93"/>
      <c r="F4" s="93"/>
    </row>
    <row r="5" customFormat="false" ht="27.75" hidden="false" customHeight="true" outlineLevel="0" collapsed="false">
      <c r="A5" s="82" t="s">
        <v>575</v>
      </c>
      <c r="B5" s="93" t="s">
        <v>720</v>
      </c>
      <c r="C5" s="93"/>
      <c r="D5" s="93"/>
      <c r="E5" s="93"/>
      <c r="F5" s="93"/>
    </row>
    <row r="6" customFormat="false" ht="27.75" hidden="false" customHeight="true" outlineLevel="0" collapsed="false">
      <c r="A6" s="82" t="s">
        <v>577</v>
      </c>
      <c r="B6" s="93" t="s">
        <v>721</v>
      </c>
      <c r="C6" s="93"/>
      <c r="D6" s="93"/>
      <c r="E6" s="93"/>
      <c r="F6" s="93"/>
    </row>
    <row r="7" customFormat="false" ht="27.75" hidden="false" customHeight="true" outlineLevel="0" collapsed="false">
      <c r="A7" s="82" t="s">
        <v>578</v>
      </c>
      <c r="B7" s="93" t="s">
        <v>722</v>
      </c>
      <c r="C7" s="93"/>
      <c r="D7" s="93"/>
      <c r="E7" s="93"/>
      <c r="F7" s="93"/>
    </row>
    <row r="8" customFormat="false" ht="27.75" hidden="false" customHeight="true" outlineLevel="0" collapsed="false">
      <c r="A8" s="82" t="s">
        <v>579</v>
      </c>
      <c r="B8" s="93" t="s">
        <v>723</v>
      </c>
      <c r="C8" s="93"/>
      <c r="D8" s="93"/>
      <c r="E8" s="93"/>
      <c r="F8" s="93"/>
    </row>
    <row r="9" customFormat="false" ht="27.75" hidden="false" customHeight="true" outlineLevel="0" collapsed="false">
      <c r="A9" s="82" t="s">
        <v>581</v>
      </c>
      <c r="B9" s="93" t="s">
        <v>724</v>
      </c>
      <c r="C9" s="93"/>
      <c r="D9" s="93"/>
      <c r="E9" s="93"/>
      <c r="F9" s="93"/>
    </row>
    <row r="10" customFormat="false" ht="27.75" hidden="false" customHeight="true" outlineLevel="0" collapsed="false">
      <c r="A10" s="82" t="s">
        <v>583</v>
      </c>
      <c r="B10" s="93" t="s">
        <v>725</v>
      </c>
      <c r="C10" s="93"/>
      <c r="D10" s="93"/>
      <c r="E10" s="93"/>
      <c r="F10" s="93"/>
    </row>
    <row r="11" customFormat="false" ht="27.75" hidden="false" customHeight="true" outlineLevel="0" collapsed="false">
      <c r="A11" s="82" t="s">
        <v>585</v>
      </c>
      <c r="B11" s="93" t="s">
        <v>726</v>
      </c>
      <c r="C11" s="93"/>
      <c r="D11" s="93"/>
      <c r="E11" s="93"/>
      <c r="F11" s="93"/>
    </row>
    <row r="12" customFormat="false" ht="27.75" hidden="false" customHeight="true" outlineLevel="0" collapsed="false">
      <c r="A12" s="82" t="s">
        <v>586</v>
      </c>
      <c r="B12" s="93" t="s">
        <v>727</v>
      </c>
      <c r="C12" s="93"/>
      <c r="D12" s="93"/>
      <c r="E12" s="93"/>
      <c r="F12" s="93"/>
    </row>
    <row r="13" customFormat="false" ht="27.75" hidden="false" customHeight="true" outlineLevel="0" collapsed="false">
      <c r="A13" s="82" t="s">
        <v>587</v>
      </c>
      <c r="B13" s="93" t="s">
        <v>552</v>
      </c>
      <c r="C13" s="93"/>
      <c r="D13" s="93"/>
      <c r="E13" s="93"/>
      <c r="F13" s="93"/>
    </row>
    <row r="14" customFormat="false" ht="27.75" hidden="false" customHeight="true" outlineLevel="0" collapsed="false">
      <c r="A14" s="82" t="s">
        <v>588</v>
      </c>
      <c r="B14" s="93" t="s">
        <v>551</v>
      </c>
      <c r="C14" s="93"/>
      <c r="D14" s="93"/>
      <c r="E14" s="93"/>
      <c r="F14" s="93"/>
    </row>
    <row r="16" customFormat="false" ht="15" hidden="false" customHeight="true" outlineLevel="0" collapsed="false">
      <c r="A16" s="50" t="s">
        <v>589</v>
      </c>
    </row>
    <row r="17" customFormat="false" ht="15" hidden="false" customHeight="true" outlineLevel="0" collapsed="false">
      <c r="A17" s="31" t="s">
        <v>220</v>
      </c>
      <c r="B17" s="31" t="s">
        <v>590</v>
      </c>
      <c r="C17" s="31" t="s">
        <v>591</v>
      </c>
      <c r="D17" s="31" t="s">
        <v>592</v>
      </c>
      <c r="E17" s="31" t="s">
        <v>593</v>
      </c>
    </row>
    <row r="18" customFormat="false" ht="30" hidden="false" customHeight="true" outlineLevel="0" collapsed="false">
      <c r="A18" s="76" t="s">
        <v>386</v>
      </c>
      <c r="B18" s="36" t="s">
        <v>387</v>
      </c>
      <c r="C18" s="36" t="s">
        <v>299</v>
      </c>
      <c r="D18" s="36" t="s">
        <v>728</v>
      </c>
      <c r="E18" s="36" t="s">
        <v>729</v>
      </c>
    </row>
    <row r="19" customFormat="false" ht="30" hidden="false" customHeight="true" outlineLevel="0" collapsed="false">
      <c r="A19" s="76" t="s">
        <v>388</v>
      </c>
      <c r="B19" s="36" t="s">
        <v>389</v>
      </c>
      <c r="C19" s="36" t="s">
        <v>299</v>
      </c>
      <c r="D19" s="36" t="s">
        <v>644</v>
      </c>
      <c r="E19" s="36" t="s">
        <v>730</v>
      </c>
    </row>
    <row r="20" customFormat="false" ht="30" hidden="false" customHeight="true" outlineLevel="0" collapsed="false">
      <c r="A20" s="76" t="s">
        <v>390</v>
      </c>
      <c r="B20" s="36" t="s">
        <v>391</v>
      </c>
      <c r="C20" s="36" t="s">
        <v>377</v>
      </c>
      <c r="D20" s="36" t="s">
        <v>731</v>
      </c>
      <c r="E20" s="36" t="s">
        <v>732</v>
      </c>
    </row>
    <row r="21" customFormat="false" ht="30" hidden="false" customHeight="true" outlineLevel="0" collapsed="false">
      <c r="A21" s="76" t="s">
        <v>392</v>
      </c>
      <c r="B21" s="36" t="s">
        <v>393</v>
      </c>
      <c r="C21" s="36" t="s">
        <v>377</v>
      </c>
      <c r="D21" s="36" t="s">
        <v>731</v>
      </c>
      <c r="E21" s="36" t="s">
        <v>733</v>
      </c>
    </row>
    <row r="22" customFormat="false" ht="30" hidden="false" customHeight="true" outlineLevel="0" collapsed="false">
      <c r="A22" s="76" t="s">
        <v>408</v>
      </c>
      <c r="B22" s="36" t="s">
        <v>409</v>
      </c>
      <c r="C22" s="36" t="s">
        <v>299</v>
      </c>
      <c r="D22" s="36" t="s">
        <v>648</v>
      </c>
      <c r="E22" s="36" t="s">
        <v>734</v>
      </c>
    </row>
    <row r="23" customFormat="false" ht="30" hidden="false" customHeight="true" outlineLevel="0" collapsed="false">
      <c r="A23" s="76" t="s">
        <v>410</v>
      </c>
      <c r="B23" s="36" t="s">
        <v>411</v>
      </c>
      <c r="C23" s="36" t="s">
        <v>299</v>
      </c>
      <c r="D23" s="36" t="s">
        <v>735</v>
      </c>
      <c r="E23" s="36" t="s">
        <v>594</v>
      </c>
    </row>
    <row r="24" customFormat="false" ht="30" hidden="false" customHeight="true" outlineLevel="0" collapsed="false">
      <c r="A24" s="76" t="s">
        <v>412</v>
      </c>
      <c r="B24" s="36" t="s">
        <v>413</v>
      </c>
      <c r="C24" s="36" t="s">
        <v>299</v>
      </c>
      <c r="D24" s="36" t="s">
        <v>736</v>
      </c>
      <c r="E24" s="36" t="s">
        <v>737</v>
      </c>
    </row>
    <row r="26" customFormat="false" ht="15" hidden="false" customHeight="true" outlineLevel="0" collapsed="false">
      <c r="A26" s="50" t="s">
        <v>595</v>
      </c>
    </row>
    <row r="27" customFormat="false" ht="15" hidden="false" customHeight="true" outlineLevel="0" collapsed="false">
      <c r="A27" s="101" t="s">
        <v>738</v>
      </c>
      <c r="B27" s="101"/>
      <c r="C27" s="101"/>
      <c r="D27" s="101"/>
      <c r="E27" s="101"/>
      <c r="F27" s="101"/>
    </row>
    <row r="28" customFormat="false" ht="27.75" hidden="false" customHeight="true" outlineLevel="0" collapsed="false">
      <c r="A28" s="82" t="s">
        <v>597</v>
      </c>
      <c r="B28" s="93" t="s">
        <v>739</v>
      </c>
      <c r="C28" s="93"/>
      <c r="D28" s="93"/>
      <c r="E28" s="93"/>
      <c r="F28" s="93"/>
    </row>
    <row r="29" customFormat="false" ht="51.75" hidden="false" customHeight="true" outlineLevel="0" collapsed="false">
      <c r="A29" s="82" t="s">
        <v>599</v>
      </c>
      <c r="B29" s="93" t="s">
        <v>740</v>
      </c>
      <c r="C29" s="93"/>
      <c r="D29" s="93"/>
      <c r="E29" s="93"/>
      <c r="F29" s="93"/>
    </row>
    <row r="30" customFormat="false" ht="27.75" hidden="false" customHeight="true" outlineLevel="0" collapsed="false">
      <c r="A30" s="82" t="s">
        <v>601</v>
      </c>
      <c r="B30" s="93" t="s">
        <v>741</v>
      </c>
      <c r="C30" s="93"/>
      <c r="D30" s="93"/>
      <c r="E30" s="93"/>
      <c r="F30" s="93"/>
    </row>
    <row r="31" customFormat="false" ht="27.75" hidden="false" customHeight="true" outlineLevel="0" collapsed="false">
      <c r="A31" s="82" t="s">
        <v>603</v>
      </c>
      <c r="B31" s="93" t="s">
        <v>742</v>
      </c>
      <c r="C31" s="93"/>
      <c r="D31" s="93"/>
      <c r="E31" s="93"/>
      <c r="F31" s="93"/>
    </row>
    <row r="32" customFormat="false" ht="39.75" hidden="false" customHeight="true" outlineLevel="0" collapsed="false">
      <c r="A32" s="95" t="s">
        <v>605</v>
      </c>
      <c r="B32" s="96" t="s">
        <v>743</v>
      </c>
      <c r="C32" s="96"/>
      <c r="D32" s="96"/>
      <c r="E32" s="96"/>
      <c r="F32" s="96"/>
    </row>
    <row r="33" customFormat="false" ht="39.75" hidden="false" customHeight="true" outlineLevel="0" collapsed="false">
      <c r="A33" s="95" t="s">
        <v>607</v>
      </c>
      <c r="B33" s="96" t="s">
        <v>744</v>
      </c>
      <c r="C33" s="96"/>
      <c r="D33" s="96"/>
      <c r="E33" s="96"/>
      <c r="F33" s="96"/>
    </row>
    <row r="34" customFormat="false" ht="15" hidden="false" customHeight="true" outlineLevel="0" collapsed="false">
      <c r="A34" s="97" t="s">
        <v>609</v>
      </c>
      <c r="B34" s="98" t="s">
        <v>610</v>
      </c>
      <c r="C34" s="99" t="s">
        <v>611</v>
      </c>
      <c r="D34" s="99"/>
      <c r="E34" s="99"/>
      <c r="F34" s="99"/>
    </row>
    <row r="36" customFormat="false" ht="15" hidden="false" customHeight="true" outlineLevel="0" collapsed="false">
      <c r="A36" s="101" t="s">
        <v>745</v>
      </c>
      <c r="B36" s="101"/>
      <c r="C36" s="101"/>
      <c r="D36" s="101"/>
      <c r="E36" s="101"/>
      <c r="F36" s="101"/>
    </row>
    <row r="37" customFormat="false" ht="27.75" hidden="false" customHeight="true" outlineLevel="0" collapsed="false">
      <c r="A37" s="82" t="s">
        <v>597</v>
      </c>
      <c r="B37" s="93" t="s">
        <v>746</v>
      </c>
      <c r="C37" s="93"/>
      <c r="D37" s="93"/>
      <c r="E37" s="93"/>
      <c r="F37" s="93"/>
    </row>
    <row r="38" customFormat="false" ht="51.75" hidden="false" customHeight="true" outlineLevel="0" collapsed="false">
      <c r="A38" s="82" t="s">
        <v>599</v>
      </c>
      <c r="B38" s="93" t="s">
        <v>747</v>
      </c>
      <c r="C38" s="93"/>
      <c r="D38" s="93"/>
      <c r="E38" s="93"/>
      <c r="F38" s="93"/>
    </row>
    <row r="39" customFormat="false" ht="27.75" hidden="false" customHeight="true" outlineLevel="0" collapsed="false">
      <c r="A39" s="82" t="s">
        <v>601</v>
      </c>
      <c r="B39" s="93" t="s">
        <v>748</v>
      </c>
      <c r="C39" s="93"/>
      <c r="D39" s="93"/>
      <c r="E39" s="93"/>
      <c r="F39" s="93"/>
    </row>
    <row r="40" customFormat="false" ht="27.75" hidden="false" customHeight="true" outlineLevel="0" collapsed="false">
      <c r="A40" s="82" t="s">
        <v>603</v>
      </c>
      <c r="B40" s="93" t="s">
        <v>749</v>
      </c>
      <c r="C40" s="93"/>
      <c r="D40" s="93"/>
      <c r="E40" s="93"/>
      <c r="F40" s="93"/>
    </row>
    <row r="41" customFormat="false" ht="39.75" hidden="false" customHeight="true" outlineLevel="0" collapsed="false">
      <c r="A41" s="95" t="s">
        <v>605</v>
      </c>
      <c r="B41" s="96" t="s">
        <v>750</v>
      </c>
      <c r="C41" s="96"/>
      <c r="D41" s="96"/>
      <c r="E41" s="96"/>
      <c r="F41" s="96"/>
    </row>
    <row r="42" customFormat="false" ht="39.75" hidden="false" customHeight="true" outlineLevel="0" collapsed="false">
      <c r="A42" s="95" t="s">
        <v>607</v>
      </c>
      <c r="B42" s="96" t="s">
        <v>751</v>
      </c>
      <c r="C42" s="96"/>
      <c r="D42" s="96"/>
      <c r="E42" s="96"/>
      <c r="F42" s="96"/>
    </row>
    <row r="43" customFormat="false" ht="15" hidden="false" customHeight="true" outlineLevel="0" collapsed="false">
      <c r="A43" s="97" t="s">
        <v>609</v>
      </c>
      <c r="B43" s="98" t="s">
        <v>610</v>
      </c>
      <c r="C43" s="99" t="s">
        <v>611</v>
      </c>
      <c r="D43" s="99"/>
      <c r="E43" s="99"/>
      <c r="F43" s="99"/>
    </row>
    <row r="45" customFormat="false" ht="15" hidden="false" customHeight="true" outlineLevel="0" collapsed="false">
      <c r="A45" s="101" t="s">
        <v>752</v>
      </c>
      <c r="B45" s="101"/>
      <c r="C45" s="101"/>
      <c r="D45" s="101"/>
      <c r="E45" s="101"/>
      <c r="F45" s="101"/>
    </row>
    <row r="46" customFormat="false" ht="27.75" hidden="false" customHeight="true" outlineLevel="0" collapsed="false">
      <c r="A46" s="82" t="s">
        <v>597</v>
      </c>
      <c r="B46" s="93" t="s">
        <v>753</v>
      </c>
      <c r="C46" s="93"/>
      <c r="D46" s="93"/>
      <c r="E46" s="93"/>
      <c r="F46" s="93"/>
    </row>
    <row r="47" customFormat="false" ht="51.75" hidden="false" customHeight="true" outlineLevel="0" collapsed="false">
      <c r="A47" s="82" t="s">
        <v>599</v>
      </c>
      <c r="B47" s="93" t="s">
        <v>754</v>
      </c>
      <c r="C47" s="93"/>
      <c r="D47" s="93"/>
      <c r="E47" s="93"/>
      <c r="F47" s="93"/>
    </row>
    <row r="48" customFormat="false" ht="27.75" hidden="false" customHeight="true" outlineLevel="0" collapsed="false">
      <c r="A48" s="82" t="s">
        <v>601</v>
      </c>
      <c r="B48" s="93" t="s">
        <v>755</v>
      </c>
      <c r="C48" s="93"/>
      <c r="D48" s="93"/>
      <c r="E48" s="93"/>
      <c r="F48" s="93"/>
    </row>
    <row r="49" customFormat="false" ht="27.75" hidden="false" customHeight="true" outlineLevel="0" collapsed="false">
      <c r="A49" s="82" t="s">
        <v>603</v>
      </c>
      <c r="B49" s="93" t="s">
        <v>756</v>
      </c>
      <c r="C49" s="93"/>
      <c r="D49" s="93"/>
      <c r="E49" s="93"/>
      <c r="F49" s="93"/>
    </row>
    <row r="50" customFormat="false" ht="39.75" hidden="false" customHeight="true" outlineLevel="0" collapsed="false">
      <c r="A50" s="95" t="s">
        <v>605</v>
      </c>
      <c r="B50" s="96" t="s">
        <v>757</v>
      </c>
      <c r="C50" s="96"/>
      <c r="D50" s="96"/>
      <c r="E50" s="96"/>
      <c r="F50" s="96"/>
    </row>
    <row r="51" customFormat="false" ht="51.75" hidden="false" customHeight="true" outlineLevel="0" collapsed="false">
      <c r="A51" s="95" t="s">
        <v>607</v>
      </c>
      <c r="B51" s="96" t="s">
        <v>758</v>
      </c>
      <c r="C51" s="96"/>
      <c r="D51" s="96"/>
      <c r="E51" s="96"/>
      <c r="F51" s="96"/>
    </row>
    <row r="52" customFormat="false" ht="15" hidden="false" customHeight="true" outlineLevel="0" collapsed="false">
      <c r="A52" s="97" t="s">
        <v>609</v>
      </c>
      <c r="B52" s="98" t="s">
        <v>610</v>
      </c>
      <c r="C52" s="99" t="s">
        <v>611</v>
      </c>
      <c r="D52" s="99"/>
      <c r="E52" s="99"/>
      <c r="F52" s="99"/>
    </row>
    <row r="54" customFormat="false" ht="15" hidden="false" customHeight="true" outlineLevel="0" collapsed="false">
      <c r="A54" s="101" t="s">
        <v>759</v>
      </c>
      <c r="B54" s="101"/>
      <c r="C54" s="101"/>
      <c r="D54" s="101"/>
      <c r="E54" s="101"/>
      <c r="F54" s="101"/>
    </row>
    <row r="55" customFormat="false" ht="27.75" hidden="false" customHeight="true" outlineLevel="0" collapsed="false">
      <c r="A55" s="82" t="s">
        <v>597</v>
      </c>
      <c r="B55" s="93" t="s">
        <v>760</v>
      </c>
      <c r="C55" s="93"/>
      <c r="D55" s="93"/>
      <c r="E55" s="93"/>
      <c r="F55" s="93"/>
    </row>
    <row r="56" customFormat="false" ht="27.75" hidden="false" customHeight="true" outlineLevel="0" collapsed="false">
      <c r="A56" s="82" t="s">
        <v>599</v>
      </c>
      <c r="B56" s="93" t="s">
        <v>761</v>
      </c>
      <c r="C56" s="93"/>
      <c r="D56" s="93"/>
      <c r="E56" s="93"/>
      <c r="F56" s="93"/>
    </row>
    <row r="57" customFormat="false" ht="27.75" hidden="false" customHeight="true" outlineLevel="0" collapsed="false">
      <c r="A57" s="82" t="s">
        <v>601</v>
      </c>
      <c r="B57" s="93" t="s">
        <v>762</v>
      </c>
      <c r="C57" s="93"/>
      <c r="D57" s="93"/>
      <c r="E57" s="93"/>
      <c r="F57" s="93"/>
    </row>
    <row r="58" customFormat="false" ht="27.75" hidden="false" customHeight="true" outlineLevel="0" collapsed="false">
      <c r="A58" s="82" t="s">
        <v>603</v>
      </c>
      <c r="B58" s="93" t="s">
        <v>763</v>
      </c>
      <c r="C58" s="93"/>
      <c r="D58" s="93"/>
      <c r="E58" s="93"/>
      <c r="F58" s="93"/>
    </row>
    <row r="59" customFormat="false" ht="39.75" hidden="false" customHeight="true" outlineLevel="0" collapsed="false">
      <c r="A59" s="95" t="s">
        <v>605</v>
      </c>
      <c r="B59" s="96" t="s">
        <v>764</v>
      </c>
      <c r="C59" s="96"/>
      <c r="D59" s="96"/>
      <c r="E59" s="96"/>
      <c r="F59" s="96"/>
    </row>
    <row r="60" customFormat="false" ht="51.75" hidden="false" customHeight="true" outlineLevel="0" collapsed="false">
      <c r="A60" s="95" t="s">
        <v>607</v>
      </c>
      <c r="B60" s="96" t="s">
        <v>765</v>
      </c>
      <c r="C60" s="96"/>
      <c r="D60" s="96"/>
      <c r="E60" s="96"/>
      <c r="F60" s="96"/>
    </row>
    <row r="61" customFormat="false" ht="15" hidden="false" customHeight="true" outlineLevel="0" collapsed="false">
      <c r="A61" s="97" t="s">
        <v>609</v>
      </c>
      <c r="B61" s="98" t="s">
        <v>610</v>
      </c>
      <c r="C61" s="99" t="s">
        <v>611</v>
      </c>
      <c r="D61" s="99"/>
      <c r="E61" s="99"/>
      <c r="F61" s="99"/>
    </row>
  </sheetData>
  <mergeCells count="45">
    <mergeCell ref="A1:F1"/>
    <mergeCell ref="A2:F2"/>
    <mergeCell ref="B4:F4"/>
    <mergeCell ref="B5:F5"/>
    <mergeCell ref="B6:F6"/>
    <mergeCell ref="B7:F7"/>
    <mergeCell ref="B8:F8"/>
    <mergeCell ref="B9:F9"/>
    <mergeCell ref="B10:F10"/>
    <mergeCell ref="B11:F11"/>
    <mergeCell ref="B12:F12"/>
    <mergeCell ref="B13:F13"/>
    <mergeCell ref="B14:F14"/>
    <mergeCell ref="A27:F27"/>
    <mergeCell ref="B28:F28"/>
    <mergeCell ref="B29:F29"/>
    <mergeCell ref="B30:F30"/>
    <mergeCell ref="B31:F31"/>
    <mergeCell ref="B32:F32"/>
    <mergeCell ref="B33:F33"/>
    <mergeCell ref="C34:F34"/>
    <mergeCell ref="A36:F36"/>
    <mergeCell ref="B37:F37"/>
    <mergeCell ref="B38:F38"/>
    <mergeCell ref="B39:F39"/>
    <mergeCell ref="B40:F40"/>
    <mergeCell ref="B41:F41"/>
    <mergeCell ref="B42:F42"/>
    <mergeCell ref="C43:F43"/>
    <mergeCell ref="A45:F45"/>
    <mergeCell ref="B46:F46"/>
    <mergeCell ref="B47:F47"/>
    <mergeCell ref="B48:F48"/>
    <mergeCell ref="B49:F49"/>
    <mergeCell ref="B50:F50"/>
    <mergeCell ref="B51:F51"/>
    <mergeCell ref="C52:F52"/>
    <mergeCell ref="A54:F54"/>
    <mergeCell ref="B55:F55"/>
    <mergeCell ref="B56:F56"/>
    <mergeCell ref="B57:F57"/>
    <mergeCell ref="B58:F58"/>
    <mergeCell ref="B59:F59"/>
    <mergeCell ref="B60:F60"/>
    <mergeCell ref="C61:F61"/>
  </mergeCells>
  <hyperlinks>
    <hyperlink ref="E3" r:id="rId1" location="'🧭%20Progression'!A1" display="◀ Progression"/>
    <hyperlink ref="F3" r:id="rId2" location="'🏠%20Accueil'!A1" display="◀ Accueil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538135"/>
    <pageSetUpPr fitToPage="false"/>
  </sheetPr>
  <dimension ref="A1:F4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1"/>
    <col collapsed="false" customWidth="true" hidden="false" outlineLevel="0" max="4" min="2" style="1" width="40"/>
    <col collapsed="false" customWidth="true" hidden="false" outlineLevel="0" max="5" min="5" style="1" width="30"/>
    <col collapsed="false" customWidth="true" hidden="false" outlineLevel="0" max="6" min="6" style="1" width="22"/>
  </cols>
  <sheetData>
    <row r="1" customFormat="false" ht="17.25" hidden="false" customHeight="true" outlineLevel="0" collapsed="false">
      <c r="A1" s="102" t="s">
        <v>766</v>
      </c>
      <c r="B1" s="102"/>
      <c r="C1" s="102"/>
      <c r="D1" s="102"/>
      <c r="E1" s="102"/>
      <c r="F1" s="102"/>
    </row>
    <row r="2" customFormat="false" ht="15" hidden="false" customHeight="true" outlineLevel="0" collapsed="false">
      <c r="A2" s="52" t="s">
        <v>767</v>
      </c>
      <c r="B2" s="52"/>
      <c r="C2" s="52"/>
      <c r="D2" s="52"/>
      <c r="E2" s="52"/>
      <c r="F2" s="52"/>
    </row>
    <row r="3" customFormat="false" ht="15" hidden="false" customHeight="true" outlineLevel="0" collapsed="false">
      <c r="E3" s="92" t="s">
        <v>574</v>
      </c>
      <c r="F3" s="30" t="s">
        <v>58</v>
      </c>
    </row>
    <row r="4" customFormat="false" ht="27.75" hidden="false" customHeight="true" outlineLevel="0" collapsed="false">
      <c r="A4" s="86" t="s">
        <v>505</v>
      </c>
      <c r="B4" s="93" t="s">
        <v>554</v>
      </c>
      <c r="C4" s="93"/>
      <c r="D4" s="93"/>
      <c r="E4" s="93"/>
      <c r="F4" s="93"/>
    </row>
    <row r="5" customFormat="false" ht="27.75" hidden="false" customHeight="true" outlineLevel="0" collapsed="false">
      <c r="A5" s="86" t="s">
        <v>575</v>
      </c>
      <c r="B5" s="93" t="s">
        <v>768</v>
      </c>
      <c r="C5" s="93"/>
      <c r="D5" s="93"/>
      <c r="E5" s="93"/>
      <c r="F5" s="93"/>
    </row>
    <row r="6" customFormat="false" ht="27.75" hidden="false" customHeight="true" outlineLevel="0" collapsed="false">
      <c r="A6" s="86" t="s">
        <v>577</v>
      </c>
      <c r="B6" s="93" t="s">
        <v>227</v>
      </c>
      <c r="C6" s="93"/>
      <c r="D6" s="93"/>
      <c r="E6" s="93"/>
      <c r="F6" s="93"/>
    </row>
    <row r="7" customFormat="false" ht="27.75" hidden="false" customHeight="true" outlineLevel="0" collapsed="false">
      <c r="A7" s="86" t="s">
        <v>578</v>
      </c>
      <c r="B7" s="93" t="s">
        <v>768</v>
      </c>
      <c r="C7" s="93"/>
      <c r="D7" s="93"/>
      <c r="E7" s="93"/>
      <c r="F7" s="93"/>
    </row>
    <row r="8" customFormat="false" ht="27.75" hidden="false" customHeight="true" outlineLevel="0" collapsed="false">
      <c r="A8" s="86" t="s">
        <v>579</v>
      </c>
      <c r="B8" s="93" t="s">
        <v>769</v>
      </c>
      <c r="C8" s="93"/>
      <c r="D8" s="93"/>
      <c r="E8" s="93"/>
      <c r="F8" s="93"/>
    </row>
    <row r="9" customFormat="false" ht="27.75" hidden="false" customHeight="true" outlineLevel="0" collapsed="false">
      <c r="A9" s="86" t="s">
        <v>581</v>
      </c>
      <c r="B9" s="93" t="s">
        <v>770</v>
      </c>
      <c r="C9" s="93"/>
      <c r="D9" s="93"/>
      <c r="E9" s="93"/>
      <c r="F9" s="93"/>
    </row>
    <row r="10" customFormat="false" ht="27.75" hidden="false" customHeight="true" outlineLevel="0" collapsed="false">
      <c r="A10" s="86" t="s">
        <v>583</v>
      </c>
      <c r="B10" s="93" t="s">
        <v>771</v>
      </c>
      <c r="C10" s="93"/>
      <c r="D10" s="93"/>
      <c r="E10" s="93"/>
      <c r="F10" s="93"/>
    </row>
    <row r="11" customFormat="false" ht="27.75" hidden="false" customHeight="true" outlineLevel="0" collapsed="false">
      <c r="A11" s="86" t="s">
        <v>585</v>
      </c>
      <c r="B11" s="93" t="s">
        <v>768</v>
      </c>
      <c r="C11" s="93"/>
      <c r="D11" s="93"/>
      <c r="E11" s="93"/>
      <c r="F11" s="93"/>
    </row>
    <row r="12" customFormat="false" ht="27.75" hidden="false" customHeight="true" outlineLevel="0" collapsed="false">
      <c r="A12" s="86" t="s">
        <v>586</v>
      </c>
      <c r="B12" s="93" t="s">
        <v>768</v>
      </c>
      <c r="C12" s="93"/>
      <c r="D12" s="93"/>
      <c r="E12" s="93"/>
      <c r="F12" s="93"/>
    </row>
    <row r="13" customFormat="false" ht="27.75" hidden="false" customHeight="true" outlineLevel="0" collapsed="false">
      <c r="A13" s="86" t="s">
        <v>587</v>
      </c>
      <c r="B13" s="93" t="s">
        <v>558</v>
      </c>
      <c r="C13" s="93"/>
      <c r="D13" s="93"/>
      <c r="E13" s="93"/>
      <c r="F13" s="93"/>
    </row>
    <row r="14" customFormat="false" ht="27.75" hidden="false" customHeight="true" outlineLevel="0" collapsed="false">
      <c r="A14" s="86" t="s">
        <v>588</v>
      </c>
      <c r="B14" s="93" t="s">
        <v>557</v>
      </c>
      <c r="C14" s="93"/>
      <c r="D14" s="93"/>
      <c r="E14" s="93"/>
      <c r="F14" s="93"/>
    </row>
    <row r="16" customFormat="false" ht="15" hidden="false" customHeight="true" outlineLevel="0" collapsed="false">
      <c r="A16" s="50" t="s">
        <v>589</v>
      </c>
    </row>
    <row r="17" customFormat="false" ht="15" hidden="false" customHeight="true" outlineLevel="0" collapsed="false">
      <c r="A17" s="31" t="s">
        <v>220</v>
      </c>
      <c r="B17" s="31" t="s">
        <v>590</v>
      </c>
      <c r="C17" s="31" t="s">
        <v>591</v>
      </c>
      <c r="D17" s="31" t="s">
        <v>592</v>
      </c>
      <c r="E17" s="31" t="s">
        <v>593</v>
      </c>
    </row>
    <row r="18" customFormat="false" ht="30" hidden="false" customHeight="true" outlineLevel="0" collapsed="false">
      <c r="A18" s="76" t="s">
        <v>446</v>
      </c>
      <c r="B18" s="36" t="s">
        <v>447</v>
      </c>
      <c r="C18" s="36" t="s">
        <v>321</v>
      </c>
      <c r="D18" s="36" t="s">
        <v>227</v>
      </c>
      <c r="E18" s="36" t="s">
        <v>594</v>
      </c>
    </row>
    <row r="19" customFormat="false" ht="30" hidden="false" customHeight="true" outlineLevel="0" collapsed="false">
      <c r="A19" s="76" t="s">
        <v>363</v>
      </c>
      <c r="B19" s="36" t="s">
        <v>364</v>
      </c>
      <c r="C19" s="36" t="s">
        <v>299</v>
      </c>
      <c r="D19" s="36" t="s">
        <v>772</v>
      </c>
      <c r="E19" s="36" t="s">
        <v>773</v>
      </c>
    </row>
    <row r="21" customFormat="false" ht="15" hidden="false" customHeight="true" outlineLevel="0" collapsed="false">
      <c r="A21" s="50" t="s">
        <v>595</v>
      </c>
    </row>
    <row r="22" customFormat="false" ht="15" hidden="false" customHeight="true" outlineLevel="0" collapsed="false">
      <c r="A22" s="103" t="s">
        <v>774</v>
      </c>
      <c r="B22" s="103"/>
      <c r="C22" s="103"/>
      <c r="D22" s="103"/>
      <c r="E22" s="103"/>
      <c r="F22" s="103"/>
    </row>
    <row r="23" customFormat="false" ht="27.75" hidden="false" customHeight="true" outlineLevel="0" collapsed="false">
      <c r="A23" s="86" t="s">
        <v>597</v>
      </c>
      <c r="B23" s="93" t="s">
        <v>598</v>
      </c>
      <c r="C23" s="93"/>
      <c r="D23" s="93"/>
      <c r="E23" s="93"/>
      <c r="F23" s="93"/>
    </row>
    <row r="24" customFormat="false" ht="27.75" hidden="false" customHeight="true" outlineLevel="0" collapsed="false">
      <c r="A24" s="86" t="s">
        <v>599</v>
      </c>
      <c r="B24" s="93" t="s">
        <v>775</v>
      </c>
      <c r="C24" s="93"/>
      <c r="D24" s="93"/>
      <c r="E24" s="93"/>
      <c r="F24" s="93"/>
    </row>
    <row r="25" customFormat="false" ht="27.75" hidden="false" customHeight="true" outlineLevel="0" collapsed="false">
      <c r="A25" s="86" t="s">
        <v>601</v>
      </c>
      <c r="B25" s="93" t="s">
        <v>602</v>
      </c>
      <c r="C25" s="93"/>
      <c r="D25" s="93"/>
      <c r="E25" s="93"/>
      <c r="F25" s="93"/>
    </row>
    <row r="26" customFormat="false" ht="27.75" hidden="false" customHeight="true" outlineLevel="0" collapsed="false">
      <c r="A26" s="86" t="s">
        <v>603</v>
      </c>
      <c r="B26" s="93" t="s">
        <v>604</v>
      </c>
      <c r="C26" s="93"/>
      <c r="D26" s="93"/>
      <c r="E26" s="93"/>
      <c r="F26" s="93"/>
    </row>
    <row r="27" customFormat="false" ht="39.75" hidden="false" customHeight="true" outlineLevel="0" collapsed="false">
      <c r="A27" s="95" t="s">
        <v>605</v>
      </c>
      <c r="B27" s="96" t="s">
        <v>776</v>
      </c>
      <c r="C27" s="96"/>
      <c r="D27" s="96"/>
      <c r="E27" s="96"/>
      <c r="F27" s="96"/>
    </row>
    <row r="28" customFormat="false" ht="39.75" hidden="false" customHeight="true" outlineLevel="0" collapsed="false">
      <c r="A28" s="95" t="s">
        <v>607</v>
      </c>
      <c r="B28" s="96" t="s">
        <v>608</v>
      </c>
      <c r="C28" s="96"/>
      <c r="D28" s="96"/>
      <c r="E28" s="96"/>
      <c r="F28" s="96"/>
    </row>
    <row r="29" customFormat="false" ht="15" hidden="false" customHeight="true" outlineLevel="0" collapsed="false">
      <c r="A29" s="97" t="s">
        <v>609</v>
      </c>
      <c r="B29" s="98" t="s">
        <v>610</v>
      </c>
      <c r="C29" s="99" t="s">
        <v>611</v>
      </c>
      <c r="D29" s="99"/>
      <c r="E29" s="99"/>
      <c r="F29" s="99"/>
    </row>
    <row r="31" customFormat="false" ht="15" hidden="false" customHeight="true" outlineLevel="0" collapsed="false">
      <c r="A31" s="103" t="s">
        <v>777</v>
      </c>
      <c r="B31" s="103"/>
      <c r="C31" s="103"/>
      <c r="D31" s="103"/>
      <c r="E31" s="103"/>
      <c r="F31" s="103"/>
    </row>
    <row r="32" customFormat="false" ht="27.75" hidden="false" customHeight="true" outlineLevel="0" collapsed="false">
      <c r="A32" s="86" t="s">
        <v>597</v>
      </c>
      <c r="B32" s="93" t="s">
        <v>598</v>
      </c>
      <c r="C32" s="93"/>
      <c r="D32" s="93"/>
      <c r="E32" s="93"/>
      <c r="F32" s="93"/>
    </row>
    <row r="33" customFormat="false" ht="27.75" hidden="false" customHeight="true" outlineLevel="0" collapsed="false">
      <c r="A33" s="86" t="s">
        <v>599</v>
      </c>
      <c r="B33" s="93" t="s">
        <v>775</v>
      </c>
      <c r="C33" s="93"/>
      <c r="D33" s="93"/>
      <c r="E33" s="93"/>
      <c r="F33" s="93"/>
    </row>
    <row r="34" customFormat="false" ht="27.75" hidden="false" customHeight="true" outlineLevel="0" collapsed="false">
      <c r="A34" s="86" t="s">
        <v>601</v>
      </c>
      <c r="B34" s="93" t="s">
        <v>602</v>
      </c>
      <c r="C34" s="93"/>
      <c r="D34" s="93"/>
      <c r="E34" s="93"/>
      <c r="F34" s="93"/>
    </row>
    <row r="35" customFormat="false" ht="27.75" hidden="false" customHeight="true" outlineLevel="0" collapsed="false">
      <c r="A35" s="86" t="s">
        <v>603</v>
      </c>
      <c r="B35" s="93" t="s">
        <v>604</v>
      </c>
      <c r="C35" s="93"/>
      <c r="D35" s="93"/>
      <c r="E35" s="93"/>
      <c r="F35" s="93"/>
    </row>
    <row r="36" customFormat="false" ht="39.75" hidden="false" customHeight="true" outlineLevel="0" collapsed="false">
      <c r="A36" s="95" t="s">
        <v>605</v>
      </c>
      <c r="B36" s="96" t="s">
        <v>778</v>
      </c>
      <c r="C36" s="96"/>
      <c r="D36" s="96"/>
      <c r="E36" s="96"/>
      <c r="F36" s="96"/>
    </row>
    <row r="37" customFormat="false" ht="39.75" hidden="false" customHeight="true" outlineLevel="0" collapsed="false">
      <c r="A37" s="95" t="s">
        <v>607</v>
      </c>
      <c r="B37" s="96" t="s">
        <v>608</v>
      </c>
      <c r="C37" s="96"/>
      <c r="D37" s="96"/>
      <c r="E37" s="96"/>
      <c r="F37" s="96"/>
    </row>
    <row r="38" customFormat="false" ht="15" hidden="false" customHeight="true" outlineLevel="0" collapsed="false">
      <c r="A38" s="97" t="s">
        <v>609</v>
      </c>
      <c r="B38" s="98" t="s">
        <v>610</v>
      </c>
      <c r="C38" s="99" t="s">
        <v>611</v>
      </c>
      <c r="D38" s="99"/>
      <c r="E38" s="99"/>
      <c r="F38" s="99"/>
    </row>
    <row r="40" customFormat="false" ht="15" hidden="false" customHeight="true" outlineLevel="0" collapsed="false">
      <c r="A40" s="103" t="s">
        <v>779</v>
      </c>
      <c r="B40" s="103"/>
      <c r="C40" s="103"/>
      <c r="D40" s="103"/>
      <c r="E40" s="103"/>
      <c r="F40" s="103"/>
    </row>
    <row r="41" customFormat="false" ht="27.75" hidden="false" customHeight="true" outlineLevel="0" collapsed="false">
      <c r="A41" s="86" t="s">
        <v>597</v>
      </c>
      <c r="B41" s="93" t="s">
        <v>598</v>
      </c>
      <c r="C41" s="93"/>
      <c r="D41" s="93"/>
      <c r="E41" s="93"/>
      <c r="F41" s="93"/>
    </row>
    <row r="42" customFormat="false" ht="27.75" hidden="false" customHeight="true" outlineLevel="0" collapsed="false">
      <c r="A42" s="86" t="s">
        <v>599</v>
      </c>
      <c r="B42" s="93" t="s">
        <v>775</v>
      </c>
      <c r="C42" s="93"/>
      <c r="D42" s="93"/>
      <c r="E42" s="93"/>
      <c r="F42" s="93"/>
    </row>
    <row r="43" customFormat="false" ht="27.75" hidden="false" customHeight="true" outlineLevel="0" collapsed="false">
      <c r="A43" s="86" t="s">
        <v>601</v>
      </c>
      <c r="B43" s="93" t="s">
        <v>602</v>
      </c>
      <c r="C43" s="93"/>
      <c r="D43" s="93"/>
      <c r="E43" s="93"/>
      <c r="F43" s="93"/>
    </row>
    <row r="44" customFormat="false" ht="27.75" hidden="false" customHeight="true" outlineLevel="0" collapsed="false">
      <c r="A44" s="86" t="s">
        <v>603</v>
      </c>
      <c r="B44" s="93" t="s">
        <v>604</v>
      </c>
      <c r="C44" s="93"/>
      <c r="D44" s="93"/>
      <c r="E44" s="93"/>
      <c r="F44" s="93"/>
    </row>
    <row r="45" customFormat="false" ht="39.75" hidden="false" customHeight="true" outlineLevel="0" collapsed="false">
      <c r="A45" s="95" t="s">
        <v>605</v>
      </c>
      <c r="B45" s="96" t="s">
        <v>780</v>
      </c>
      <c r="C45" s="96"/>
      <c r="D45" s="96"/>
      <c r="E45" s="96"/>
      <c r="F45" s="96"/>
    </row>
    <row r="46" customFormat="false" ht="39.75" hidden="false" customHeight="true" outlineLevel="0" collapsed="false">
      <c r="A46" s="95" t="s">
        <v>607</v>
      </c>
      <c r="B46" s="96" t="s">
        <v>608</v>
      </c>
      <c r="C46" s="96"/>
      <c r="D46" s="96"/>
      <c r="E46" s="96"/>
      <c r="F46" s="96"/>
    </row>
    <row r="47" customFormat="false" ht="15" hidden="false" customHeight="true" outlineLevel="0" collapsed="false">
      <c r="A47" s="97" t="s">
        <v>609</v>
      </c>
      <c r="B47" s="98" t="s">
        <v>610</v>
      </c>
      <c r="C47" s="99" t="s">
        <v>611</v>
      </c>
      <c r="D47" s="99"/>
      <c r="E47" s="99"/>
      <c r="F47" s="99"/>
    </row>
  </sheetData>
  <mergeCells count="37">
    <mergeCell ref="A1:F1"/>
    <mergeCell ref="A2:F2"/>
    <mergeCell ref="B4:F4"/>
    <mergeCell ref="B5:F5"/>
    <mergeCell ref="B6:F6"/>
    <mergeCell ref="B7:F7"/>
    <mergeCell ref="B8:F8"/>
    <mergeCell ref="B9:F9"/>
    <mergeCell ref="B10:F10"/>
    <mergeCell ref="B11:F11"/>
    <mergeCell ref="B12:F12"/>
    <mergeCell ref="B13:F13"/>
    <mergeCell ref="B14:F14"/>
    <mergeCell ref="A22:F22"/>
    <mergeCell ref="B23:F23"/>
    <mergeCell ref="B24:F24"/>
    <mergeCell ref="B25:F25"/>
    <mergeCell ref="B26:F26"/>
    <mergeCell ref="B27:F27"/>
    <mergeCell ref="B28:F28"/>
    <mergeCell ref="C29:F29"/>
    <mergeCell ref="A31:F31"/>
    <mergeCell ref="B32:F32"/>
    <mergeCell ref="B33:F33"/>
    <mergeCell ref="B34:F34"/>
    <mergeCell ref="B35:F35"/>
    <mergeCell ref="B36:F36"/>
    <mergeCell ref="B37:F37"/>
    <mergeCell ref="C38:F38"/>
    <mergeCell ref="A40:F40"/>
    <mergeCell ref="B41:F41"/>
    <mergeCell ref="B42:F42"/>
    <mergeCell ref="B43:F43"/>
    <mergeCell ref="B44:F44"/>
    <mergeCell ref="B45:F45"/>
    <mergeCell ref="B46:F46"/>
    <mergeCell ref="C47:F47"/>
  </mergeCells>
  <hyperlinks>
    <hyperlink ref="E3" r:id="rId1" location="'🧭%20Progression'!A1" display="◀ Progression"/>
    <hyperlink ref="F3" r:id="rId2" location="'🏠%20Accueil'!A1" display="◀ Accueil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538135"/>
    <pageSetUpPr fitToPage="false"/>
  </sheetPr>
  <dimension ref="A1:F6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1"/>
    <col collapsed="false" customWidth="true" hidden="false" outlineLevel="0" max="4" min="2" style="1" width="40"/>
    <col collapsed="false" customWidth="true" hidden="false" outlineLevel="0" max="5" min="5" style="1" width="30"/>
    <col collapsed="false" customWidth="true" hidden="false" outlineLevel="0" max="6" min="6" style="1" width="22"/>
  </cols>
  <sheetData>
    <row r="1" customFormat="false" ht="17.25" hidden="false" customHeight="true" outlineLevel="0" collapsed="false">
      <c r="A1" s="102" t="s">
        <v>781</v>
      </c>
      <c r="B1" s="102"/>
      <c r="C1" s="102"/>
      <c r="D1" s="102"/>
      <c r="E1" s="102"/>
      <c r="F1" s="102"/>
    </row>
    <row r="2" customFormat="false" ht="15" hidden="false" customHeight="true" outlineLevel="0" collapsed="false">
      <c r="A2" s="52" t="s">
        <v>782</v>
      </c>
      <c r="B2" s="52"/>
      <c r="C2" s="52"/>
      <c r="D2" s="52"/>
      <c r="E2" s="52"/>
      <c r="F2" s="52"/>
    </row>
    <row r="3" customFormat="false" ht="15" hidden="false" customHeight="true" outlineLevel="0" collapsed="false">
      <c r="E3" s="92" t="s">
        <v>574</v>
      </c>
      <c r="F3" s="30" t="s">
        <v>58</v>
      </c>
    </row>
    <row r="4" customFormat="false" ht="27.75" hidden="false" customHeight="true" outlineLevel="0" collapsed="false">
      <c r="A4" s="86" t="s">
        <v>505</v>
      </c>
      <c r="B4" s="93" t="s">
        <v>562</v>
      </c>
      <c r="C4" s="93"/>
      <c r="D4" s="93"/>
      <c r="E4" s="93"/>
      <c r="F4" s="93"/>
    </row>
    <row r="5" customFormat="false" ht="27.75" hidden="false" customHeight="true" outlineLevel="0" collapsed="false">
      <c r="A5" s="86" t="s">
        <v>575</v>
      </c>
      <c r="B5" s="93" t="s">
        <v>768</v>
      </c>
      <c r="C5" s="93"/>
      <c r="D5" s="93"/>
      <c r="E5" s="93"/>
      <c r="F5" s="93"/>
    </row>
    <row r="6" customFormat="false" ht="27.75" hidden="false" customHeight="true" outlineLevel="0" collapsed="false">
      <c r="A6" s="86" t="s">
        <v>577</v>
      </c>
      <c r="B6" s="93" t="s">
        <v>227</v>
      </c>
      <c r="C6" s="93"/>
      <c r="D6" s="93"/>
      <c r="E6" s="93"/>
      <c r="F6" s="93"/>
    </row>
    <row r="7" customFormat="false" ht="27.75" hidden="false" customHeight="true" outlineLevel="0" collapsed="false">
      <c r="A7" s="86" t="s">
        <v>578</v>
      </c>
      <c r="B7" s="93" t="s">
        <v>768</v>
      </c>
      <c r="C7" s="93"/>
      <c r="D7" s="93"/>
      <c r="E7" s="93"/>
      <c r="F7" s="93"/>
    </row>
    <row r="8" customFormat="false" ht="27.75" hidden="false" customHeight="true" outlineLevel="0" collapsed="false">
      <c r="A8" s="86" t="s">
        <v>579</v>
      </c>
      <c r="B8" s="93" t="s">
        <v>783</v>
      </c>
      <c r="C8" s="93"/>
      <c r="D8" s="93"/>
      <c r="E8" s="93"/>
      <c r="F8" s="93"/>
    </row>
    <row r="9" customFormat="false" ht="27.75" hidden="false" customHeight="true" outlineLevel="0" collapsed="false">
      <c r="A9" s="86" t="s">
        <v>581</v>
      </c>
      <c r="B9" s="93" t="s">
        <v>784</v>
      </c>
      <c r="C9" s="93"/>
      <c r="D9" s="93"/>
      <c r="E9" s="93"/>
      <c r="F9" s="93"/>
    </row>
    <row r="10" customFormat="false" ht="27.75" hidden="false" customHeight="true" outlineLevel="0" collapsed="false">
      <c r="A10" s="86" t="s">
        <v>583</v>
      </c>
      <c r="B10" s="93" t="s">
        <v>785</v>
      </c>
      <c r="C10" s="93"/>
      <c r="D10" s="93"/>
      <c r="E10" s="93"/>
      <c r="F10" s="93"/>
    </row>
    <row r="11" customFormat="false" ht="27.75" hidden="false" customHeight="true" outlineLevel="0" collapsed="false">
      <c r="A11" s="86" t="s">
        <v>585</v>
      </c>
      <c r="B11" s="93" t="s">
        <v>768</v>
      </c>
      <c r="C11" s="93"/>
      <c r="D11" s="93"/>
      <c r="E11" s="93"/>
      <c r="F11" s="93"/>
    </row>
    <row r="12" customFormat="false" ht="27.75" hidden="false" customHeight="true" outlineLevel="0" collapsed="false">
      <c r="A12" s="86" t="s">
        <v>586</v>
      </c>
      <c r="B12" s="93" t="s">
        <v>768</v>
      </c>
      <c r="C12" s="93"/>
      <c r="D12" s="93"/>
      <c r="E12" s="93"/>
      <c r="F12" s="93"/>
    </row>
    <row r="13" customFormat="false" ht="27.75" hidden="false" customHeight="true" outlineLevel="0" collapsed="false">
      <c r="A13" s="86" t="s">
        <v>587</v>
      </c>
      <c r="B13" s="93" t="s">
        <v>565</v>
      </c>
      <c r="C13" s="93"/>
      <c r="D13" s="93"/>
      <c r="E13" s="93"/>
      <c r="F13" s="93"/>
    </row>
    <row r="14" customFormat="false" ht="27.75" hidden="false" customHeight="true" outlineLevel="0" collapsed="false">
      <c r="A14" s="86" t="s">
        <v>588</v>
      </c>
      <c r="B14" s="93" t="s">
        <v>557</v>
      </c>
      <c r="C14" s="93"/>
      <c r="D14" s="93"/>
      <c r="E14" s="93"/>
      <c r="F14" s="93"/>
    </row>
    <row r="16" customFormat="false" ht="15" hidden="false" customHeight="true" outlineLevel="0" collapsed="false">
      <c r="A16" s="50" t="s">
        <v>589</v>
      </c>
    </row>
    <row r="17" customFormat="false" ht="15" hidden="false" customHeight="true" outlineLevel="0" collapsed="false">
      <c r="A17" s="31" t="s">
        <v>220</v>
      </c>
      <c r="B17" s="31" t="s">
        <v>590</v>
      </c>
      <c r="C17" s="31" t="s">
        <v>591</v>
      </c>
      <c r="D17" s="31" t="s">
        <v>592</v>
      </c>
      <c r="E17" s="31" t="s">
        <v>593</v>
      </c>
    </row>
    <row r="18" customFormat="false" ht="30" hidden="false" customHeight="true" outlineLevel="0" collapsed="false">
      <c r="A18" s="76" t="s">
        <v>448</v>
      </c>
      <c r="B18" s="36" t="s">
        <v>449</v>
      </c>
      <c r="C18" s="36" t="s">
        <v>377</v>
      </c>
      <c r="D18" s="36" t="s">
        <v>227</v>
      </c>
      <c r="E18" s="36" t="s">
        <v>594</v>
      </c>
    </row>
    <row r="19" customFormat="false" ht="30" hidden="false" customHeight="true" outlineLevel="0" collapsed="false">
      <c r="A19" s="76" t="s">
        <v>450</v>
      </c>
      <c r="B19" s="36" t="s">
        <v>451</v>
      </c>
      <c r="C19" s="36" t="s">
        <v>256</v>
      </c>
      <c r="D19" s="36" t="s">
        <v>227</v>
      </c>
      <c r="E19" s="36" t="s">
        <v>594</v>
      </c>
    </row>
    <row r="20" customFormat="false" ht="30" hidden="false" customHeight="true" outlineLevel="0" collapsed="false">
      <c r="A20" s="76" t="s">
        <v>452</v>
      </c>
      <c r="B20" s="36" t="s">
        <v>453</v>
      </c>
      <c r="C20" s="36" t="s">
        <v>256</v>
      </c>
      <c r="D20" s="36" t="s">
        <v>227</v>
      </c>
      <c r="E20" s="36" t="s">
        <v>594</v>
      </c>
    </row>
    <row r="21" customFormat="false" ht="30" hidden="false" customHeight="true" outlineLevel="0" collapsed="false">
      <c r="A21" s="76" t="s">
        <v>454</v>
      </c>
      <c r="B21" s="36" t="s">
        <v>455</v>
      </c>
      <c r="C21" s="36" t="s">
        <v>377</v>
      </c>
      <c r="D21" s="36" t="s">
        <v>227</v>
      </c>
      <c r="E21" s="36" t="s">
        <v>594</v>
      </c>
    </row>
    <row r="22" customFormat="false" ht="30" hidden="false" customHeight="true" outlineLevel="0" collapsed="false">
      <c r="A22" s="76" t="s">
        <v>456</v>
      </c>
      <c r="B22" s="36" t="s">
        <v>457</v>
      </c>
      <c r="C22" s="36" t="s">
        <v>377</v>
      </c>
      <c r="D22" s="36" t="s">
        <v>227</v>
      </c>
      <c r="E22" s="36" t="s">
        <v>594</v>
      </c>
    </row>
    <row r="23" customFormat="false" ht="30" hidden="false" customHeight="true" outlineLevel="0" collapsed="false">
      <c r="A23" s="76" t="s">
        <v>458</v>
      </c>
      <c r="B23" s="36" t="s">
        <v>443</v>
      </c>
      <c r="C23" s="36" t="s">
        <v>377</v>
      </c>
      <c r="D23" s="36" t="s">
        <v>227</v>
      </c>
      <c r="E23" s="36" t="s">
        <v>594</v>
      </c>
    </row>
    <row r="24" customFormat="false" ht="30" hidden="false" customHeight="true" outlineLevel="0" collapsed="false">
      <c r="A24" s="76" t="s">
        <v>459</v>
      </c>
      <c r="B24" s="36" t="s">
        <v>460</v>
      </c>
      <c r="C24" s="36" t="s">
        <v>377</v>
      </c>
      <c r="D24" s="36" t="s">
        <v>227</v>
      </c>
      <c r="E24" s="36" t="s">
        <v>594</v>
      </c>
    </row>
    <row r="26" customFormat="false" ht="15" hidden="false" customHeight="true" outlineLevel="0" collapsed="false">
      <c r="A26" s="50" t="s">
        <v>595</v>
      </c>
    </row>
    <row r="27" customFormat="false" ht="15" hidden="false" customHeight="true" outlineLevel="0" collapsed="false">
      <c r="A27" s="103" t="s">
        <v>786</v>
      </c>
      <c r="B27" s="103"/>
      <c r="C27" s="103"/>
      <c r="D27" s="103"/>
      <c r="E27" s="103"/>
      <c r="F27" s="103"/>
    </row>
    <row r="28" customFormat="false" ht="27.75" hidden="false" customHeight="true" outlineLevel="0" collapsed="false">
      <c r="A28" s="86" t="s">
        <v>597</v>
      </c>
      <c r="B28" s="93" t="s">
        <v>598</v>
      </c>
      <c r="C28" s="93"/>
      <c r="D28" s="93"/>
      <c r="E28" s="93"/>
      <c r="F28" s="93"/>
    </row>
    <row r="29" customFormat="false" ht="27.75" hidden="false" customHeight="true" outlineLevel="0" collapsed="false">
      <c r="A29" s="86" t="s">
        <v>599</v>
      </c>
      <c r="B29" s="93" t="s">
        <v>787</v>
      </c>
      <c r="C29" s="93"/>
      <c r="D29" s="93"/>
      <c r="E29" s="93"/>
      <c r="F29" s="93"/>
    </row>
    <row r="30" customFormat="false" ht="27.75" hidden="false" customHeight="true" outlineLevel="0" collapsed="false">
      <c r="A30" s="86" t="s">
        <v>601</v>
      </c>
      <c r="B30" s="93" t="s">
        <v>602</v>
      </c>
      <c r="C30" s="93"/>
      <c r="D30" s="93"/>
      <c r="E30" s="93"/>
      <c r="F30" s="93"/>
    </row>
    <row r="31" customFormat="false" ht="27.75" hidden="false" customHeight="true" outlineLevel="0" collapsed="false">
      <c r="A31" s="86" t="s">
        <v>603</v>
      </c>
      <c r="B31" s="93" t="s">
        <v>604</v>
      </c>
      <c r="C31" s="93"/>
      <c r="D31" s="93"/>
      <c r="E31" s="93"/>
      <c r="F31" s="93"/>
    </row>
    <row r="32" customFormat="false" ht="39.75" hidden="false" customHeight="true" outlineLevel="0" collapsed="false">
      <c r="A32" s="95" t="s">
        <v>605</v>
      </c>
      <c r="B32" s="96" t="s">
        <v>776</v>
      </c>
      <c r="C32" s="96"/>
      <c r="D32" s="96"/>
      <c r="E32" s="96"/>
      <c r="F32" s="96"/>
    </row>
    <row r="33" customFormat="false" ht="39.75" hidden="false" customHeight="true" outlineLevel="0" collapsed="false">
      <c r="A33" s="95" t="s">
        <v>607</v>
      </c>
      <c r="B33" s="96" t="s">
        <v>608</v>
      </c>
      <c r="C33" s="96"/>
      <c r="D33" s="96"/>
      <c r="E33" s="96"/>
      <c r="F33" s="96"/>
    </row>
    <row r="34" customFormat="false" ht="15" hidden="false" customHeight="true" outlineLevel="0" collapsed="false">
      <c r="A34" s="97" t="s">
        <v>609</v>
      </c>
      <c r="B34" s="98" t="s">
        <v>610</v>
      </c>
      <c r="C34" s="99" t="s">
        <v>611</v>
      </c>
      <c r="D34" s="99"/>
      <c r="E34" s="99"/>
      <c r="F34" s="99"/>
    </row>
    <row r="36" customFormat="false" ht="15" hidden="false" customHeight="true" outlineLevel="0" collapsed="false">
      <c r="A36" s="103" t="s">
        <v>788</v>
      </c>
      <c r="B36" s="103"/>
      <c r="C36" s="103"/>
      <c r="D36" s="103"/>
      <c r="E36" s="103"/>
      <c r="F36" s="103"/>
    </row>
    <row r="37" customFormat="false" ht="27.75" hidden="false" customHeight="true" outlineLevel="0" collapsed="false">
      <c r="A37" s="86" t="s">
        <v>597</v>
      </c>
      <c r="B37" s="93" t="s">
        <v>598</v>
      </c>
      <c r="C37" s="93"/>
      <c r="D37" s="93"/>
      <c r="E37" s="93"/>
      <c r="F37" s="93"/>
    </row>
    <row r="38" customFormat="false" ht="27.75" hidden="false" customHeight="true" outlineLevel="0" collapsed="false">
      <c r="A38" s="86" t="s">
        <v>599</v>
      </c>
      <c r="B38" s="93" t="s">
        <v>787</v>
      </c>
      <c r="C38" s="93"/>
      <c r="D38" s="93"/>
      <c r="E38" s="93"/>
      <c r="F38" s="93"/>
    </row>
    <row r="39" customFormat="false" ht="27.75" hidden="false" customHeight="true" outlineLevel="0" collapsed="false">
      <c r="A39" s="86" t="s">
        <v>601</v>
      </c>
      <c r="B39" s="93" t="s">
        <v>602</v>
      </c>
      <c r="C39" s="93"/>
      <c r="D39" s="93"/>
      <c r="E39" s="93"/>
      <c r="F39" s="93"/>
    </row>
    <row r="40" customFormat="false" ht="27.75" hidden="false" customHeight="true" outlineLevel="0" collapsed="false">
      <c r="A40" s="86" t="s">
        <v>603</v>
      </c>
      <c r="B40" s="93" t="s">
        <v>604</v>
      </c>
      <c r="C40" s="93"/>
      <c r="D40" s="93"/>
      <c r="E40" s="93"/>
      <c r="F40" s="93"/>
    </row>
    <row r="41" customFormat="false" ht="39.75" hidden="false" customHeight="true" outlineLevel="0" collapsed="false">
      <c r="A41" s="95" t="s">
        <v>605</v>
      </c>
      <c r="B41" s="96" t="s">
        <v>778</v>
      </c>
      <c r="C41" s="96"/>
      <c r="D41" s="96"/>
      <c r="E41" s="96"/>
      <c r="F41" s="96"/>
    </row>
    <row r="42" customFormat="false" ht="39.75" hidden="false" customHeight="true" outlineLevel="0" collapsed="false">
      <c r="A42" s="95" t="s">
        <v>607</v>
      </c>
      <c r="B42" s="96" t="s">
        <v>608</v>
      </c>
      <c r="C42" s="96"/>
      <c r="D42" s="96"/>
      <c r="E42" s="96"/>
      <c r="F42" s="96"/>
    </row>
    <row r="43" customFormat="false" ht="15" hidden="false" customHeight="true" outlineLevel="0" collapsed="false">
      <c r="A43" s="97" t="s">
        <v>609</v>
      </c>
      <c r="B43" s="98" t="s">
        <v>610</v>
      </c>
      <c r="C43" s="99" t="s">
        <v>611</v>
      </c>
      <c r="D43" s="99"/>
      <c r="E43" s="99"/>
      <c r="F43" s="99"/>
    </row>
    <row r="45" customFormat="false" ht="15" hidden="false" customHeight="true" outlineLevel="0" collapsed="false">
      <c r="A45" s="103" t="s">
        <v>789</v>
      </c>
      <c r="B45" s="103"/>
      <c r="C45" s="103"/>
      <c r="D45" s="103"/>
      <c r="E45" s="103"/>
      <c r="F45" s="103"/>
    </row>
    <row r="46" customFormat="false" ht="27.75" hidden="false" customHeight="true" outlineLevel="0" collapsed="false">
      <c r="A46" s="86" t="s">
        <v>597</v>
      </c>
      <c r="B46" s="93" t="s">
        <v>598</v>
      </c>
      <c r="C46" s="93"/>
      <c r="D46" s="93"/>
      <c r="E46" s="93"/>
      <c r="F46" s="93"/>
    </row>
    <row r="47" customFormat="false" ht="27.75" hidden="false" customHeight="true" outlineLevel="0" collapsed="false">
      <c r="A47" s="86" t="s">
        <v>599</v>
      </c>
      <c r="B47" s="93" t="s">
        <v>787</v>
      </c>
      <c r="C47" s="93"/>
      <c r="D47" s="93"/>
      <c r="E47" s="93"/>
      <c r="F47" s="93"/>
    </row>
    <row r="48" customFormat="false" ht="27.75" hidden="false" customHeight="true" outlineLevel="0" collapsed="false">
      <c r="A48" s="86" t="s">
        <v>601</v>
      </c>
      <c r="B48" s="93" t="s">
        <v>602</v>
      </c>
      <c r="C48" s="93"/>
      <c r="D48" s="93"/>
      <c r="E48" s="93"/>
      <c r="F48" s="93"/>
    </row>
    <row r="49" customFormat="false" ht="27.75" hidden="false" customHeight="true" outlineLevel="0" collapsed="false">
      <c r="A49" s="86" t="s">
        <v>603</v>
      </c>
      <c r="B49" s="93" t="s">
        <v>604</v>
      </c>
      <c r="C49" s="93"/>
      <c r="D49" s="93"/>
      <c r="E49" s="93"/>
      <c r="F49" s="93"/>
    </row>
    <row r="50" customFormat="false" ht="39.75" hidden="false" customHeight="true" outlineLevel="0" collapsed="false">
      <c r="A50" s="95" t="s">
        <v>605</v>
      </c>
      <c r="B50" s="96" t="s">
        <v>780</v>
      </c>
      <c r="C50" s="96"/>
      <c r="D50" s="96"/>
      <c r="E50" s="96"/>
      <c r="F50" s="96"/>
    </row>
    <row r="51" customFormat="false" ht="39.75" hidden="false" customHeight="true" outlineLevel="0" collapsed="false">
      <c r="A51" s="95" t="s">
        <v>607</v>
      </c>
      <c r="B51" s="96" t="s">
        <v>608</v>
      </c>
      <c r="C51" s="96"/>
      <c r="D51" s="96"/>
      <c r="E51" s="96"/>
      <c r="F51" s="96"/>
    </row>
    <row r="52" customFormat="false" ht="15" hidden="false" customHeight="true" outlineLevel="0" collapsed="false">
      <c r="A52" s="97" t="s">
        <v>609</v>
      </c>
      <c r="B52" s="98" t="s">
        <v>610</v>
      </c>
      <c r="C52" s="99" t="s">
        <v>611</v>
      </c>
      <c r="D52" s="99"/>
      <c r="E52" s="99"/>
      <c r="F52" s="99"/>
    </row>
    <row r="54" customFormat="false" ht="15" hidden="false" customHeight="true" outlineLevel="0" collapsed="false">
      <c r="A54" s="103" t="s">
        <v>790</v>
      </c>
      <c r="B54" s="103"/>
      <c r="C54" s="103"/>
      <c r="D54" s="103"/>
      <c r="E54" s="103"/>
      <c r="F54" s="103"/>
    </row>
    <row r="55" customFormat="false" ht="27.75" hidden="false" customHeight="true" outlineLevel="0" collapsed="false">
      <c r="A55" s="86" t="s">
        <v>597</v>
      </c>
      <c r="B55" s="93" t="s">
        <v>598</v>
      </c>
      <c r="C55" s="93"/>
      <c r="D55" s="93"/>
      <c r="E55" s="93"/>
      <c r="F55" s="93"/>
    </row>
    <row r="56" customFormat="false" ht="27.75" hidden="false" customHeight="true" outlineLevel="0" collapsed="false">
      <c r="A56" s="86" t="s">
        <v>599</v>
      </c>
      <c r="B56" s="93" t="s">
        <v>787</v>
      </c>
      <c r="C56" s="93"/>
      <c r="D56" s="93"/>
      <c r="E56" s="93"/>
      <c r="F56" s="93"/>
    </row>
    <row r="57" customFormat="false" ht="27.75" hidden="false" customHeight="true" outlineLevel="0" collapsed="false">
      <c r="A57" s="86" t="s">
        <v>601</v>
      </c>
      <c r="B57" s="93" t="s">
        <v>602</v>
      </c>
      <c r="C57" s="93"/>
      <c r="D57" s="93"/>
      <c r="E57" s="93"/>
      <c r="F57" s="93"/>
    </row>
    <row r="58" customFormat="false" ht="27.75" hidden="false" customHeight="true" outlineLevel="0" collapsed="false">
      <c r="A58" s="86" t="s">
        <v>603</v>
      </c>
      <c r="B58" s="93" t="s">
        <v>604</v>
      </c>
      <c r="C58" s="93"/>
      <c r="D58" s="93"/>
      <c r="E58" s="93"/>
      <c r="F58" s="93"/>
    </row>
    <row r="59" customFormat="false" ht="39.75" hidden="false" customHeight="true" outlineLevel="0" collapsed="false">
      <c r="A59" s="95" t="s">
        <v>605</v>
      </c>
      <c r="B59" s="96" t="s">
        <v>791</v>
      </c>
      <c r="C59" s="96"/>
      <c r="D59" s="96"/>
      <c r="E59" s="96"/>
      <c r="F59" s="96"/>
    </row>
    <row r="60" customFormat="false" ht="39.75" hidden="false" customHeight="true" outlineLevel="0" collapsed="false">
      <c r="A60" s="95" t="s">
        <v>607</v>
      </c>
      <c r="B60" s="96" t="s">
        <v>608</v>
      </c>
      <c r="C60" s="96"/>
      <c r="D60" s="96"/>
      <c r="E60" s="96"/>
      <c r="F60" s="96"/>
    </row>
    <row r="61" customFormat="false" ht="15" hidden="false" customHeight="true" outlineLevel="0" collapsed="false">
      <c r="A61" s="97" t="s">
        <v>609</v>
      </c>
      <c r="B61" s="98" t="s">
        <v>610</v>
      </c>
      <c r="C61" s="99" t="s">
        <v>611</v>
      </c>
      <c r="D61" s="99"/>
      <c r="E61" s="99"/>
      <c r="F61" s="99"/>
    </row>
  </sheetData>
  <mergeCells count="45">
    <mergeCell ref="A1:F1"/>
    <mergeCell ref="A2:F2"/>
    <mergeCell ref="B4:F4"/>
    <mergeCell ref="B5:F5"/>
    <mergeCell ref="B6:F6"/>
    <mergeCell ref="B7:F7"/>
    <mergeCell ref="B8:F8"/>
    <mergeCell ref="B9:F9"/>
    <mergeCell ref="B10:F10"/>
    <mergeCell ref="B11:F11"/>
    <mergeCell ref="B12:F12"/>
    <mergeCell ref="B13:F13"/>
    <mergeCell ref="B14:F14"/>
    <mergeCell ref="A27:F27"/>
    <mergeCell ref="B28:F28"/>
    <mergeCell ref="B29:F29"/>
    <mergeCell ref="B30:F30"/>
    <mergeCell ref="B31:F31"/>
    <mergeCell ref="B32:F32"/>
    <mergeCell ref="B33:F33"/>
    <mergeCell ref="C34:F34"/>
    <mergeCell ref="A36:F36"/>
    <mergeCell ref="B37:F37"/>
    <mergeCell ref="B38:F38"/>
    <mergeCell ref="B39:F39"/>
    <mergeCell ref="B40:F40"/>
    <mergeCell ref="B41:F41"/>
    <mergeCell ref="B42:F42"/>
    <mergeCell ref="C43:F43"/>
    <mergeCell ref="A45:F45"/>
    <mergeCell ref="B46:F46"/>
    <mergeCell ref="B47:F47"/>
    <mergeCell ref="B48:F48"/>
    <mergeCell ref="B49:F49"/>
    <mergeCell ref="B50:F50"/>
    <mergeCell ref="B51:F51"/>
    <mergeCell ref="C52:F52"/>
    <mergeCell ref="A54:F54"/>
    <mergeCell ref="B55:F55"/>
    <mergeCell ref="B56:F56"/>
    <mergeCell ref="B57:F57"/>
    <mergeCell ref="B58:F58"/>
    <mergeCell ref="B59:F59"/>
    <mergeCell ref="B60:F60"/>
    <mergeCell ref="C61:F61"/>
  </mergeCells>
  <hyperlinks>
    <hyperlink ref="E3" r:id="rId1" location="'🧭%20Progression'!A1" display="◀ Progression"/>
    <hyperlink ref="F3" r:id="rId2" location="'🏠%20Accueil'!A1" display="◀ Accueil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538135"/>
    <pageSetUpPr fitToPage="false"/>
  </sheetPr>
  <dimension ref="A1:F5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1"/>
    <col collapsed="false" customWidth="true" hidden="false" outlineLevel="0" max="4" min="2" style="1" width="40"/>
    <col collapsed="false" customWidth="true" hidden="false" outlineLevel="0" max="5" min="5" style="1" width="30"/>
    <col collapsed="false" customWidth="true" hidden="false" outlineLevel="0" max="6" min="6" style="1" width="22"/>
  </cols>
  <sheetData>
    <row r="1" customFormat="false" ht="17.25" hidden="false" customHeight="true" outlineLevel="0" collapsed="false">
      <c r="A1" s="102" t="s">
        <v>792</v>
      </c>
      <c r="B1" s="102"/>
      <c r="C1" s="102"/>
      <c r="D1" s="102"/>
      <c r="E1" s="102"/>
      <c r="F1" s="102"/>
    </row>
    <row r="2" customFormat="false" ht="15" hidden="false" customHeight="true" outlineLevel="0" collapsed="false">
      <c r="A2" s="52" t="s">
        <v>793</v>
      </c>
      <c r="B2" s="52"/>
      <c r="C2" s="52"/>
      <c r="D2" s="52"/>
      <c r="E2" s="52"/>
      <c r="F2" s="52"/>
    </row>
    <row r="3" customFormat="false" ht="15" hidden="false" customHeight="true" outlineLevel="0" collapsed="false">
      <c r="E3" s="92" t="s">
        <v>574</v>
      </c>
      <c r="F3" s="30" t="s">
        <v>58</v>
      </c>
    </row>
    <row r="4" customFormat="false" ht="27.75" hidden="false" customHeight="true" outlineLevel="0" collapsed="false">
      <c r="A4" s="86" t="s">
        <v>505</v>
      </c>
      <c r="B4" s="93" t="s">
        <v>567</v>
      </c>
      <c r="C4" s="93"/>
      <c r="D4" s="93"/>
      <c r="E4" s="93"/>
      <c r="F4" s="93"/>
    </row>
    <row r="5" customFormat="false" ht="27.75" hidden="false" customHeight="true" outlineLevel="0" collapsed="false">
      <c r="A5" s="86" t="s">
        <v>575</v>
      </c>
      <c r="B5" s="93" t="s">
        <v>768</v>
      </c>
      <c r="C5" s="93"/>
      <c r="D5" s="93"/>
      <c r="E5" s="93"/>
      <c r="F5" s="93"/>
    </row>
    <row r="6" customFormat="false" ht="27.75" hidden="false" customHeight="true" outlineLevel="0" collapsed="false">
      <c r="A6" s="86" t="s">
        <v>577</v>
      </c>
      <c r="B6" s="93" t="s">
        <v>227</v>
      </c>
      <c r="C6" s="93"/>
      <c r="D6" s="93"/>
      <c r="E6" s="93"/>
      <c r="F6" s="93"/>
    </row>
    <row r="7" customFormat="false" ht="27.75" hidden="false" customHeight="true" outlineLevel="0" collapsed="false">
      <c r="A7" s="86" t="s">
        <v>578</v>
      </c>
      <c r="B7" s="93" t="s">
        <v>768</v>
      </c>
      <c r="C7" s="93"/>
      <c r="D7" s="93"/>
      <c r="E7" s="93"/>
      <c r="F7" s="93"/>
    </row>
    <row r="8" customFormat="false" ht="27.75" hidden="false" customHeight="true" outlineLevel="0" collapsed="false">
      <c r="A8" s="86" t="s">
        <v>579</v>
      </c>
      <c r="B8" s="93" t="s">
        <v>794</v>
      </c>
      <c r="C8" s="93"/>
      <c r="D8" s="93"/>
      <c r="E8" s="93"/>
      <c r="F8" s="93"/>
    </row>
    <row r="9" customFormat="false" ht="27.75" hidden="false" customHeight="true" outlineLevel="0" collapsed="false">
      <c r="A9" s="86" t="s">
        <v>581</v>
      </c>
      <c r="B9" s="93" t="s">
        <v>619</v>
      </c>
      <c r="C9" s="93"/>
      <c r="D9" s="93"/>
      <c r="E9" s="93"/>
      <c r="F9" s="93"/>
    </row>
    <row r="10" customFormat="false" ht="27.75" hidden="false" customHeight="true" outlineLevel="0" collapsed="false">
      <c r="A10" s="86" t="s">
        <v>583</v>
      </c>
      <c r="B10" s="93" t="s">
        <v>795</v>
      </c>
      <c r="C10" s="93"/>
      <c r="D10" s="93"/>
      <c r="E10" s="93"/>
      <c r="F10" s="93"/>
    </row>
    <row r="11" customFormat="false" ht="27.75" hidden="false" customHeight="true" outlineLevel="0" collapsed="false">
      <c r="A11" s="86" t="s">
        <v>585</v>
      </c>
      <c r="B11" s="93" t="s">
        <v>768</v>
      </c>
      <c r="C11" s="93"/>
      <c r="D11" s="93"/>
      <c r="E11" s="93"/>
      <c r="F11" s="93"/>
    </row>
    <row r="12" customFormat="false" ht="27.75" hidden="false" customHeight="true" outlineLevel="0" collapsed="false">
      <c r="A12" s="86" t="s">
        <v>586</v>
      </c>
      <c r="B12" s="93" t="s">
        <v>768</v>
      </c>
      <c r="C12" s="93"/>
      <c r="D12" s="93"/>
      <c r="E12" s="93"/>
      <c r="F12" s="93"/>
    </row>
    <row r="13" customFormat="false" ht="27.75" hidden="false" customHeight="true" outlineLevel="0" collapsed="false">
      <c r="A13" s="86" t="s">
        <v>587</v>
      </c>
      <c r="B13" s="93" t="s">
        <v>565</v>
      </c>
      <c r="C13" s="93"/>
      <c r="D13" s="93"/>
      <c r="E13" s="93"/>
      <c r="F13" s="93"/>
    </row>
    <row r="14" customFormat="false" ht="27.75" hidden="false" customHeight="true" outlineLevel="0" collapsed="false">
      <c r="A14" s="86" t="s">
        <v>588</v>
      </c>
      <c r="B14" s="93" t="s">
        <v>557</v>
      </c>
      <c r="C14" s="93"/>
      <c r="D14" s="93"/>
      <c r="E14" s="93"/>
      <c r="F14" s="93"/>
    </row>
    <row r="16" customFormat="false" ht="15" hidden="false" customHeight="true" outlineLevel="0" collapsed="false">
      <c r="A16" s="50" t="s">
        <v>589</v>
      </c>
    </row>
    <row r="17" customFormat="false" ht="15" hidden="false" customHeight="true" outlineLevel="0" collapsed="false">
      <c r="A17" s="31" t="s">
        <v>220</v>
      </c>
      <c r="B17" s="31" t="s">
        <v>590</v>
      </c>
      <c r="C17" s="31" t="s">
        <v>591</v>
      </c>
      <c r="D17" s="31" t="s">
        <v>592</v>
      </c>
      <c r="E17" s="31" t="s">
        <v>593</v>
      </c>
    </row>
    <row r="18" customFormat="false" ht="30" hidden="false" customHeight="true" outlineLevel="0" collapsed="false">
      <c r="A18" s="76" t="s">
        <v>476</v>
      </c>
      <c r="B18" s="36" t="s">
        <v>477</v>
      </c>
      <c r="C18" s="36" t="s">
        <v>299</v>
      </c>
      <c r="D18" s="36" t="s">
        <v>227</v>
      </c>
      <c r="E18" s="36" t="s">
        <v>594</v>
      </c>
    </row>
    <row r="19" customFormat="false" ht="30" hidden="false" customHeight="true" outlineLevel="0" collapsed="false">
      <c r="A19" s="76" t="s">
        <v>478</v>
      </c>
      <c r="B19" s="36" t="s">
        <v>473</v>
      </c>
      <c r="C19" s="36" t="s">
        <v>261</v>
      </c>
      <c r="D19" s="36" t="s">
        <v>227</v>
      </c>
      <c r="E19" s="36" t="s">
        <v>594</v>
      </c>
    </row>
    <row r="20" customFormat="false" ht="30" hidden="false" customHeight="true" outlineLevel="0" collapsed="false">
      <c r="A20" s="76" t="s">
        <v>479</v>
      </c>
      <c r="B20" s="36" t="s">
        <v>475</v>
      </c>
      <c r="C20" s="36" t="s">
        <v>290</v>
      </c>
      <c r="D20" s="36" t="s">
        <v>227</v>
      </c>
      <c r="E20" s="36" t="s">
        <v>594</v>
      </c>
    </row>
    <row r="21" customFormat="false" ht="30" hidden="false" customHeight="true" outlineLevel="0" collapsed="false">
      <c r="A21" s="76" t="s">
        <v>494</v>
      </c>
      <c r="B21" s="36" t="s">
        <v>495</v>
      </c>
      <c r="C21" s="36" t="s">
        <v>299</v>
      </c>
      <c r="D21" s="36" t="s">
        <v>227</v>
      </c>
      <c r="E21" s="36" t="s">
        <v>594</v>
      </c>
    </row>
    <row r="22" customFormat="false" ht="30" hidden="false" customHeight="true" outlineLevel="0" collapsed="false">
      <c r="A22" s="76" t="s">
        <v>496</v>
      </c>
      <c r="B22" s="36" t="s">
        <v>497</v>
      </c>
      <c r="C22" s="36" t="s">
        <v>299</v>
      </c>
      <c r="D22" s="36" t="s">
        <v>227</v>
      </c>
      <c r="E22" s="36" t="s">
        <v>594</v>
      </c>
    </row>
    <row r="24" customFormat="false" ht="15" hidden="false" customHeight="true" outlineLevel="0" collapsed="false">
      <c r="A24" s="50" t="s">
        <v>595</v>
      </c>
    </row>
    <row r="25" customFormat="false" ht="15" hidden="false" customHeight="true" outlineLevel="0" collapsed="false">
      <c r="A25" s="103" t="s">
        <v>796</v>
      </c>
      <c r="B25" s="103"/>
      <c r="C25" s="103"/>
      <c r="D25" s="103"/>
      <c r="E25" s="103"/>
      <c r="F25" s="103"/>
    </row>
    <row r="26" customFormat="false" ht="27.75" hidden="false" customHeight="true" outlineLevel="0" collapsed="false">
      <c r="A26" s="86" t="s">
        <v>597</v>
      </c>
      <c r="B26" s="93" t="s">
        <v>598</v>
      </c>
      <c r="C26" s="93"/>
      <c r="D26" s="93"/>
      <c r="E26" s="93"/>
      <c r="F26" s="93"/>
    </row>
    <row r="27" customFormat="false" ht="27.75" hidden="false" customHeight="true" outlineLevel="0" collapsed="false">
      <c r="A27" s="86" t="s">
        <v>599</v>
      </c>
      <c r="B27" s="93" t="s">
        <v>787</v>
      </c>
      <c r="C27" s="93"/>
      <c r="D27" s="93"/>
      <c r="E27" s="93"/>
      <c r="F27" s="93"/>
    </row>
    <row r="28" customFormat="false" ht="27.75" hidden="false" customHeight="true" outlineLevel="0" collapsed="false">
      <c r="A28" s="86" t="s">
        <v>601</v>
      </c>
      <c r="B28" s="93" t="s">
        <v>602</v>
      </c>
      <c r="C28" s="93"/>
      <c r="D28" s="93"/>
      <c r="E28" s="93"/>
      <c r="F28" s="93"/>
    </row>
    <row r="29" customFormat="false" ht="27.75" hidden="false" customHeight="true" outlineLevel="0" collapsed="false">
      <c r="A29" s="86" t="s">
        <v>603</v>
      </c>
      <c r="B29" s="93" t="s">
        <v>604</v>
      </c>
      <c r="C29" s="93"/>
      <c r="D29" s="93"/>
      <c r="E29" s="93"/>
      <c r="F29" s="93"/>
    </row>
    <row r="30" customFormat="false" ht="39.75" hidden="false" customHeight="true" outlineLevel="0" collapsed="false">
      <c r="A30" s="95" t="s">
        <v>605</v>
      </c>
      <c r="B30" s="96" t="s">
        <v>776</v>
      </c>
      <c r="C30" s="96"/>
      <c r="D30" s="96"/>
      <c r="E30" s="96"/>
      <c r="F30" s="96"/>
    </row>
    <row r="31" customFormat="false" ht="39.75" hidden="false" customHeight="true" outlineLevel="0" collapsed="false">
      <c r="A31" s="95" t="s">
        <v>607</v>
      </c>
      <c r="B31" s="96" t="s">
        <v>608</v>
      </c>
      <c r="C31" s="96"/>
      <c r="D31" s="96"/>
      <c r="E31" s="96"/>
      <c r="F31" s="96"/>
    </row>
    <row r="32" customFormat="false" ht="15" hidden="false" customHeight="true" outlineLevel="0" collapsed="false">
      <c r="A32" s="97" t="s">
        <v>609</v>
      </c>
      <c r="B32" s="98" t="s">
        <v>610</v>
      </c>
      <c r="C32" s="99" t="s">
        <v>611</v>
      </c>
      <c r="D32" s="99"/>
      <c r="E32" s="99"/>
      <c r="F32" s="99"/>
    </row>
    <row r="34" customFormat="false" ht="15" hidden="false" customHeight="true" outlineLevel="0" collapsed="false">
      <c r="A34" s="103" t="s">
        <v>797</v>
      </c>
      <c r="B34" s="103"/>
      <c r="C34" s="103"/>
      <c r="D34" s="103"/>
      <c r="E34" s="103"/>
      <c r="F34" s="103"/>
    </row>
    <row r="35" customFormat="false" ht="27.75" hidden="false" customHeight="true" outlineLevel="0" collapsed="false">
      <c r="A35" s="86" t="s">
        <v>597</v>
      </c>
      <c r="B35" s="93" t="s">
        <v>598</v>
      </c>
      <c r="C35" s="93"/>
      <c r="D35" s="93"/>
      <c r="E35" s="93"/>
      <c r="F35" s="93"/>
    </row>
    <row r="36" customFormat="false" ht="27.75" hidden="false" customHeight="true" outlineLevel="0" collapsed="false">
      <c r="A36" s="86" t="s">
        <v>599</v>
      </c>
      <c r="B36" s="93" t="s">
        <v>787</v>
      </c>
      <c r="C36" s="93"/>
      <c r="D36" s="93"/>
      <c r="E36" s="93"/>
      <c r="F36" s="93"/>
    </row>
    <row r="37" customFormat="false" ht="27.75" hidden="false" customHeight="true" outlineLevel="0" collapsed="false">
      <c r="A37" s="86" t="s">
        <v>601</v>
      </c>
      <c r="B37" s="93" t="s">
        <v>602</v>
      </c>
      <c r="C37" s="93"/>
      <c r="D37" s="93"/>
      <c r="E37" s="93"/>
      <c r="F37" s="93"/>
    </row>
    <row r="38" customFormat="false" ht="27.75" hidden="false" customHeight="true" outlineLevel="0" collapsed="false">
      <c r="A38" s="86" t="s">
        <v>603</v>
      </c>
      <c r="B38" s="93" t="s">
        <v>604</v>
      </c>
      <c r="C38" s="93"/>
      <c r="D38" s="93"/>
      <c r="E38" s="93"/>
      <c r="F38" s="93"/>
    </row>
    <row r="39" customFormat="false" ht="39.75" hidden="false" customHeight="true" outlineLevel="0" collapsed="false">
      <c r="A39" s="95" t="s">
        <v>605</v>
      </c>
      <c r="B39" s="96" t="s">
        <v>778</v>
      </c>
      <c r="C39" s="96"/>
      <c r="D39" s="96"/>
      <c r="E39" s="96"/>
      <c r="F39" s="96"/>
    </row>
    <row r="40" customFormat="false" ht="39.75" hidden="false" customHeight="true" outlineLevel="0" collapsed="false">
      <c r="A40" s="95" t="s">
        <v>607</v>
      </c>
      <c r="B40" s="96" t="s">
        <v>608</v>
      </c>
      <c r="C40" s="96"/>
      <c r="D40" s="96"/>
      <c r="E40" s="96"/>
      <c r="F40" s="96"/>
    </row>
    <row r="41" customFormat="false" ht="15" hidden="false" customHeight="true" outlineLevel="0" collapsed="false">
      <c r="A41" s="97" t="s">
        <v>609</v>
      </c>
      <c r="B41" s="98" t="s">
        <v>610</v>
      </c>
      <c r="C41" s="99" t="s">
        <v>611</v>
      </c>
      <c r="D41" s="99"/>
      <c r="E41" s="99"/>
      <c r="F41" s="99"/>
    </row>
    <row r="43" customFormat="false" ht="15" hidden="false" customHeight="true" outlineLevel="0" collapsed="false">
      <c r="A43" s="103" t="s">
        <v>798</v>
      </c>
      <c r="B43" s="103"/>
      <c r="C43" s="103"/>
      <c r="D43" s="103"/>
      <c r="E43" s="103"/>
      <c r="F43" s="103"/>
    </row>
    <row r="44" customFormat="false" ht="27.75" hidden="false" customHeight="true" outlineLevel="0" collapsed="false">
      <c r="A44" s="86" t="s">
        <v>597</v>
      </c>
      <c r="B44" s="93" t="s">
        <v>598</v>
      </c>
      <c r="C44" s="93"/>
      <c r="D44" s="93"/>
      <c r="E44" s="93"/>
      <c r="F44" s="93"/>
    </row>
    <row r="45" customFormat="false" ht="27.75" hidden="false" customHeight="true" outlineLevel="0" collapsed="false">
      <c r="A45" s="86" t="s">
        <v>599</v>
      </c>
      <c r="B45" s="93" t="s">
        <v>787</v>
      </c>
      <c r="C45" s="93"/>
      <c r="D45" s="93"/>
      <c r="E45" s="93"/>
      <c r="F45" s="93"/>
    </row>
    <row r="46" customFormat="false" ht="27.75" hidden="false" customHeight="true" outlineLevel="0" collapsed="false">
      <c r="A46" s="86" t="s">
        <v>601</v>
      </c>
      <c r="B46" s="93" t="s">
        <v>602</v>
      </c>
      <c r="C46" s="93"/>
      <c r="D46" s="93"/>
      <c r="E46" s="93"/>
      <c r="F46" s="93"/>
    </row>
    <row r="47" customFormat="false" ht="27.75" hidden="false" customHeight="true" outlineLevel="0" collapsed="false">
      <c r="A47" s="86" t="s">
        <v>603</v>
      </c>
      <c r="B47" s="93" t="s">
        <v>604</v>
      </c>
      <c r="C47" s="93"/>
      <c r="D47" s="93"/>
      <c r="E47" s="93"/>
      <c r="F47" s="93"/>
    </row>
    <row r="48" customFormat="false" ht="39.75" hidden="false" customHeight="true" outlineLevel="0" collapsed="false">
      <c r="A48" s="95" t="s">
        <v>605</v>
      </c>
      <c r="B48" s="96" t="s">
        <v>780</v>
      </c>
      <c r="C48" s="96"/>
      <c r="D48" s="96"/>
      <c r="E48" s="96"/>
      <c r="F48" s="96"/>
    </row>
    <row r="49" customFormat="false" ht="39.75" hidden="false" customHeight="true" outlineLevel="0" collapsed="false">
      <c r="A49" s="95" t="s">
        <v>607</v>
      </c>
      <c r="B49" s="96" t="s">
        <v>608</v>
      </c>
      <c r="C49" s="96"/>
      <c r="D49" s="96"/>
      <c r="E49" s="96"/>
      <c r="F49" s="96"/>
    </row>
    <row r="50" customFormat="false" ht="15" hidden="false" customHeight="true" outlineLevel="0" collapsed="false">
      <c r="A50" s="97" t="s">
        <v>609</v>
      </c>
      <c r="B50" s="98" t="s">
        <v>610</v>
      </c>
      <c r="C50" s="99" t="s">
        <v>611</v>
      </c>
      <c r="D50" s="99"/>
      <c r="E50" s="99"/>
      <c r="F50" s="99"/>
    </row>
  </sheetData>
  <mergeCells count="37">
    <mergeCell ref="A1:F1"/>
    <mergeCell ref="A2:F2"/>
    <mergeCell ref="B4:F4"/>
    <mergeCell ref="B5:F5"/>
    <mergeCell ref="B6:F6"/>
    <mergeCell ref="B7:F7"/>
    <mergeCell ref="B8:F8"/>
    <mergeCell ref="B9:F9"/>
    <mergeCell ref="B10:F10"/>
    <mergeCell ref="B11:F11"/>
    <mergeCell ref="B12:F12"/>
    <mergeCell ref="B13:F13"/>
    <mergeCell ref="B14:F14"/>
    <mergeCell ref="A25:F25"/>
    <mergeCell ref="B26:F26"/>
    <mergeCell ref="B27:F27"/>
    <mergeCell ref="B28:F28"/>
    <mergeCell ref="B29:F29"/>
    <mergeCell ref="B30:F30"/>
    <mergeCell ref="B31:F31"/>
    <mergeCell ref="C32:F32"/>
    <mergeCell ref="A34:F34"/>
    <mergeCell ref="B35:F35"/>
    <mergeCell ref="B36:F36"/>
    <mergeCell ref="B37:F37"/>
    <mergeCell ref="B38:F38"/>
    <mergeCell ref="B39:F39"/>
    <mergeCell ref="B40:F40"/>
    <mergeCell ref="C41:F41"/>
    <mergeCell ref="A43:F43"/>
    <mergeCell ref="B44:F44"/>
    <mergeCell ref="B45:F45"/>
    <mergeCell ref="B46:F46"/>
    <mergeCell ref="B47:F47"/>
    <mergeCell ref="B48:F48"/>
    <mergeCell ref="B49:F49"/>
    <mergeCell ref="C50:F50"/>
  </mergeCells>
  <hyperlinks>
    <hyperlink ref="E3" r:id="rId1" location="'🧭%20Progression'!A1" display="◀ Progression"/>
    <hyperlink ref="F3" r:id="rId2" location="'🏠%20Accueil'!A1" display="◀ Accueil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808080"/>
    <pageSetUpPr fitToPage="false"/>
  </sheetPr>
  <dimension ref="A1:B4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8"/>
    <col collapsed="false" customWidth="true" hidden="false" outlineLevel="0" max="2" min="2" style="1" width="56"/>
  </cols>
  <sheetData>
    <row r="1" customFormat="false" ht="15.75" hidden="false" customHeight="true" outlineLevel="0" collapsed="false">
      <c r="A1" s="4" t="s">
        <v>799</v>
      </c>
    </row>
    <row r="2" customFormat="false" ht="15" hidden="false" customHeight="true" outlineLevel="0" collapsed="false">
      <c r="A2" s="27" t="s">
        <v>800</v>
      </c>
    </row>
    <row r="4" customFormat="false" ht="15" hidden="false" customHeight="true" outlineLevel="0" collapsed="false">
      <c r="A4" s="104" t="s">
        <v>503</v>
      </c>
      <c r="B4" s="104" t="s">
        <v>801</v>
      </c>
    </row>
    <row r="5" customFormat="false" ht="15" hidden="false" customHeight="true" outlineLevel="0" collapsed="false">
      <c r="A5" s="105" t="n">
        <v>1</v>
      </c>
      <c r="B5" s="105" t="s">
        <v>802</v>
      </c>
    </row>
    <row r="6" customFormat="false" ht="15" hidden="false" customHeight="true" outlineLevel="0" collapsed="false">
      <c r="A6" s="105" t="n">
        <v>2</v>
      </c>
      <c r="B6" s="105" t="s">
        <v>803</v>
      </c>
    </row>
    <row r="7" customFormat="false" ht="15" hidden="false" customHeight="true" outlineLevel="0" collapsed="false">
      <c r="A7" s="105" t="n">
        <v>3</v>
      </c>
      <c r="B7" s="105" t="s">
        <v>804</v>
      </c>
    </row>
    <row r="8" customFormat="false" ht="15" hidden="false" customHeight="true" outlineLevel="0" collapsed="false">
      <c r="A8" s="105" t="n">
        <v>4</v>
      </c>
      <c r="B8" s="105" t="s">
        <v>805</v>
      </c>
    </row>
    <row r="9" customFormat="false" ht="15" hidden="false" customHeight="true" outlineLevel="0" collapsed="false">
      <c r="A9" s="105" t="n">
        <v>5</v>
      </c>
      <c r="B9" s="105" t="s">
        <v>806</v>
      </c>
    </row>
    <row r="10" customFormat="false" ht="15" hidden="false" customHeight="true" outlineLevel="0" collapsed="false">
      <c r="A10" s="105" t="n">
        <v>6</v>
      </c>
      <c r="B10" s="105" t="s">
        <v>807</v>
      </c>
    </row>
    <row r="11" customFormat="false" ht="15" hidden="false" customHeight="true" outlineLevel="0" collapsed="false">
      <c r="A11" s="105" t="n">
        <v>7</v>
      </c>
      <c r="B11" s="105" t="s">
        <v>808</v>
      </c>
    </row>
    <row r="12" customFormat="false" ht="15" hidden="false" customHeight="true" outlineLevel="0" collapsed="false">
      <c r="A12" s="106" t="n">
        <v>8</v>
      </c>
      <c r="B12" s="106" t="s">
        <v>809</v>
      </c>
    </row>
    <row r="13" customFormat="false" ht="15" hidden="false" customHeight="true" outlineLevel="0" collapsed="false">
      <c r="A13" s="105" t="n">
        <v>9</v>
      </c>
      <c r="B13" s="105" t="s">
        <v>810</v>
      </c>
    </row>
    <row r="14" customFormat="false" ht="15" hidden="false" customHeight="true" outlineLevel="0" collapsed="false">
      <c r="A14" s="105" t="n">
        <v>10</v>
      </c>
      <c r="B14" s="105" t="s">
        <v>811</v>
      </c>
    </row>
    <row r="15" customFormat="false" ht="15" hidden="false" customHeight="true" outlineLevel="0" collapsed="false">
      <c r="A15" s="105" t="n">
        <v>11</v>
      </c>
      <c r="B15" s="105" t="s">
        <v>812</v>
      </c>
    </row>
    <row r="16" customFormat="false" ht="15" hidden="false" customHeight="true" outlineLevel="0" collapsed="false">
      <c r="A16" s="105" t="n">
        <v>12</v>
      </c>
      <c r="B16" s="105" t="s">
        <v>813</v>
      </c>
    </row>
    <row r="17" customFormat="false" ht="15" hidden="false" customHeight="true" outlineLevel="0" collapsed="false">
      <c r="A17" s="105" t="n">
        <v>13</v>
      </c>
      <c r="B17" s="105" t="s">
        <v>814</v>
      </c>
    </row>
    <row r="18" customFormat="false" ht="15" hidden="false" customHeight="true" outlineLevel="0" collapsed="false">
      <c r="A18" s="105" t="n">
        <v>14</v>
      </c>
      <c r="B18" s="105" t="s">
        <v>815</v>
      </c>
    </row>
    <row r="19" customFormat="false" ht="15" hidden="false" customHeight="true" outlineLevel="0" collapsed="false">
      <c r="A19" s="106" t="n">
        <v>15</v>
      </c>
      <c r="B19" s="106" t="s">
        <v>816</v>
      </c>
    </row>
    <row r="20" customFormat="false" ht="15" hidden="false" customHeight="true" outlineLevel="0" collapsed="false">
      <c r="A20" s="105" t="n">
        <v>16</v>
      </c>
      <c r="B20" s="105" t="s">
        <v>817</v>
      </c>
    </row>
    <row r="21" customFormat="false" ht="15" hidden="false" customHeight="true" outlineLevel="0" collapsed="false">
      <c r="A21" s="105" t="n">
        <v>17</v>
      </c>
      <c r="B21" s="105" t="s">
        <v>818</v>
      </c>
    </row>
    <row r="22" customFormat="false" ht="15" hidden="false" customHeight="true" outlineLevel="0" collapsed="false">
      <c r="A22" s="105" t="n">
        <v>18</v>
      </c>
      <c r="B22" s="105" t="s">
        <v>819</v>
      </c>
    </row>
    <row r="23" customFormat="false" ht="15" hidden="false" customHeight="true" outlineLevel="0" collapsed="false">
      <c r="A23" s="105" t="n">
        <v>19</v>
      </c>
      <c r="B23" s="105" t="s">
        <v>820</v>
      </c>
    </row>
    <row r="24" customFormat="false" ht="15" hidden="false" customHeight="true" outlineLevel="0" collapsed="false">
      <c r="A24" s="106" t="n">
        <v>20</v>
      </c>
      <c r="B24" s="106" t="s">
        <v>821</v>
      </c>
    </row>
    <row r="25" customFormat="false" ht="15" hidden="false" customHeight="true" outlineLevel="0" collapsed="false">
      <c r="A25" s="105" t="n">
        <v>21</v>
      </c>
      <c r="B25" s="105" t="s">
        <v>822</v>
      </c>
    </row>
    <row r="26" customFormat="false" ht="15" hidden="false" customHeight="true" outlineLevel="0" collapsed="false">
      <c r="A26" s="105" t="n">
        <v>22</v>
      </c>
      <c r="B26" s="105" t="s">
        <v>823</v>
      </c>
    </row>
    <row r="27" customFormat="false" ht="15" hidden="false" customHeight="true" outlineLevel="0" collapsed="false">
      <c r="A27" s="105" t="n">
        <v>23</v>
      </c>
      <c r="B27" s="105" t="s">
        <v>824</v>
      </c>
    </row>
    <row r="28" customFormat="false" ht="15" hidden="false" customHeight="true" outlineLevel="0" collapsed="false">
      <c r="A28" s="105" t="n">
        <v>24</v>
      </c>
      <c r="B28" s="105" t="s">
        <v>825</v>
      </c>
    </row>
    <row r="29" customFormat="false" ht="15" hidden="false" customHeight="true" outlineLevel="0" collapsed="false">
      <c r="A29" s="105" t="n">
        <v>25</v>
      </c>
      <c r="B29" s="105" t="s">
        <v>826</v>
      </c>
    </row>
    <row r="30" customFormat="false" ht="15" hidden="false" customHeight="true" outlineLevel="0" collapsed="false">
      <c r="A30" s="105" t="n">
        <v>26</v>
      </c>
      <c r="B30" s="105" t="s">
        <v>827</v>
      </c>
    </row>
    <row r="31" customFormat="false" ht="15" hidden="false" customHeight="true" outlineLevel="0" collapsed="false">
      <c r="A31" s="105" t="n">
        <v>27</v>
      </c>
      <c r="B31" s="105" t="s">
        <v>828</v>
      </c>
    </row>
    <row r="32" customFormat="false" ht="15" hidden="false" customHeight="true" outlineLevel="0" collapsed="false">
      <c r="A32" s="106" t="n">
        <v>28</v>
      </c>
      <c r="B32" s="106" t="s">
        <v>829</v>
      </c>
    </row>
    <row r="33" customFormat="false" ht="15" hidden="false" customHeight="true" outlineLevel="0" collapsed="false">
      <c r="A33" s="105" t="n">
        <v>29</v>
      </c>
      <c r="B33" s="105" t="s">
        <v>830</v>
      </c>
    </row>
    <row r="34" customFormat="false" ht="15" hidden="false" customHeight="true" outlineLevel="0" collapsed="false">
      <c r="A34" s="105" t="n">
        <v>30</v>
      </c>
      <c r="B34" s="105" t="s">
        <v>831</v>
      </c>
    </row>
    <row r="35" customFormat="false" ht="15" hidden="false" customHeight="true" outlineLevel="0" collapsed="false">
      <c r="A35" s="105" t="n">
        <v>31</v>
      </c>
      <c r="B35" s="105" t="s">
        <v>832</v>
      </c>
    </row>
    <row r="36" customFormat="false" ht="15" hidden="false" customHeight="true" outlineLevel="0" collapsed="false">
      <c r="A36" s="105" t="n">
        <v>32</v>
      </c>
      <c r="B36" s="105" t="s">
        <v>833</v>
      </c>
    </row>
    <row r="37" customFormat="false" ht="15" hidden="false" customHeight="true" outlineLevel="0" collapsed="false">
      <c r="A37" s="105" t="n">
        <v>33</v>
      </c>
      <c r="B37" s="105" t="s">
        <v>834</v>
      </c>
    </row>
    <row r="38" customFormat="false" ht="15" hidden="false" customHeight="true" outlineLevel="0" collapsed="false">
      <c r="A38" s="105" t="n">
        <v>34</v>
      </c>
      <c r="B38" s="105" t="s">
        <v>835</v>
      </c>
    </row>
    <row r="39" customFormat="false" ht="15" hidden="false" customHeight="true" outlineLevel="0" collapsed="false">
      <c r="A39" s="106" t="n">
        <v>35</v>
      </c>
      <c r="B39" s="106" t="s">
        <v>836</v>
      </c>
    </row>
    <row r="40" customFormat="false" ht="15" hidden="false" customHeight="true" outlineLevel="0" collapsed="false">
      <c r="A40" s="106" t="n">
        <v>36</v>
      </c>
      <c r="B40" s="106" t="s">
        <v>837</v>
      </c>
    </row>
    <row r="41" customFormat="false" ht="15" hidden="false" customHeight="true" outlineLevel="0" collapsed="false">
      <c r="A41" s="106" t="n">
        <v>37</v>
      </c>
      <c r="B41" s="106" t="s">
        <v>838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2026-07-23T04:18:35Z</dcterms:created>
  <dc:creator>openpyxl</dc:creator>
  <dc:description/>
  <dc:language>en-US</dc:language>
  <cp:lastModifiedBy/>
  <dcterms:modified xsi:type="dcterms:W3CDTF">2026-07-23T04:55:02Z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