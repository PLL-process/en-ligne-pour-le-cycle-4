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 Accueil" sheetId="1" state="visible" r:id="rId1"/>
    <sheet name="📅 Calendrier" sheetId="2" state="visible" r:id="rId2"/>
    <sheet name="🗓 Frise de l'année" sheetId="3" state="visible" r:id="rId3"/>
    <sheet name="📚 Référentiel Cycle 4" sheetId="4" state="visible" r:id="rId4"/>
    <sheet name="📗 Référentiel 4e" sheetId="5" state="visible" r:id="rId5"/>
    <sheet name="🧭 Progression" sheetId="6" state="visible" r:id="rId6"/>
    <sheet name="S1" sheetId="7" state="visible" r:id="rId7"/>
    <sheet name="S2" sheetId="8" state="visible" r:id="rId8"/>
    <sheet name="S3" sheetId="9" state="visible" r:id="rId9"/>
    <sheet name="S4" sheetId="10" state="visible" r:id="rId10"/>
    <sheet name="S5" sheetId="11" state="visible" r:id="rId11"/>
    <sheet name="S6" sheetId="12" state="visible" r:id="rId12"/>
    <sheet name="S7" sheetId="13" state="visible" r:id="rId13"/>
    <sheet name="⚙ Moteur"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0"/>
  <fonts count="3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2"/>
    </font>
    <font>
      <name val="Arial"/>
      <charset val="1"/>
      <family val="0"/>
      <i val="1"/>
      <color rgb="FF595959"/>
      <sz val="10"/>
    </font>
    <font>
      <name val="Arial"/>
      <charset val="1"/>
      <family val="0"/>
      <b val="1"/>
      <color rgb="FF1F4E79"/>
      <sz val="13"/>
    </font>
    <font>
      <name val="Arial"/>
      <charset val="1"/>
      <family val="0"/>
      <b val="1"/>
      <color rgb="FFFFFFFF"/>
      <sz val="16"/>
    </font>
    <font>
      <name val="Arial"/>
      <charset val="1"/>
      <family val="0"/>
      <b val="1"/>
      <color rgb="FF1F7A6E"/>
      <sz val="10"/>
    </font>
    <font>
      <name val="Arial"/>
      <charset val="1"/>
      <family val="0"/>
      <b val="1"/>
      <color rgb="FFBF8F00"/>
      <sz val="10"/>
    </font>
    <font>
      <name val="Arial"/>
      <charset val="1"/>
      <family val="0"/>
      <b val="1"/>
      <color rgb="FF808080"/>
      <sz val="10"/>
    </font>
    <font>
      <name val="Arial"/>
      <charset val="1"/>
      <family val="0"/>
      <b val="1"/>
      <color rgb="FF2E75B6"/>
      <sz val="10"/>
    </font>
    <font>
      <name val="Arial"/>
      <charset val="1"/>
      <family val="0"/>
      <b val="1"/>
      <color rgb="FF7030A0"/>
      <sz val="10"/>
    </font>
    <font>
      <name val="Arial"/>
      <charset val="1"/>
      <family val="0"/>
      <b val="1"/>
      <color rgb="FF538135"/>
      <sz val="10"/>
    </font>
    <font>
      <name val="Arial"/>
      <charset val="1"/>
      <family val="0"/>
      <b val="1"/>
      <color rgb="FFFFFFFF"/>
      <sz val="11"/>
    </font>
    <font>
      <name val="Arial"/>
      <charset val="1"/>
      <family val="0"/>
      <color rgb="FF595959"/>
      <sz val="9"/>
    </font>
    <font>
      <name val="Arial"/>
      <charset val="1"/>
      <family val="0"/>
      <b val="1"/>
      <color rgb="FF1F4E79"/>
      <sz val="10"/>
    </font>
    <font>
      <name val="Arial"/>
      <charset val="1"/>
      <family val="0"/>
      <sz val="9.5"/>
    </font>
    <font>
      <name val="Arial"/>
      <charset val="1"/>
      <family val="0"/>
      <i val="1"/>
      <color rgb="FF595959"/>
      <sz val="9"/>
    </font>
    <font>
      <name val="Arial"/>
      <charset val="1"/>
      <family val="0"/>
      <b val="1"/>
      <color rgb="FF1F4E79"/>
      <sz val="16"/>
    </font>
    <font>
      <name val="Arial"/>
      <charset val="1"/>
      <family val="0"/>
      <b val="1"/>
      <color rgb="FFFFFFFF"/>
      <sz val="10"/>
    </font>
    <font>
      <name val="Arial"/>
      <charset val="1"/>
      <family val="0"/>
      <b val="1"/>
      <color rgb="FF808080"/>
      <sz val="8"/>
    </font>
    <font>
      <name val="Arial"/>
      <charset val="1"/>
      <family val="0"/>
      <b val="1"/>
      <color rgb="FFC55A11"/>
      <sz val="10"/>
    </font>
    <font>
      <name val="Arial"/>
      <charset val="1"/>
      <family val="0"/>
      <sz val="10"/>
    </font>
    <font>
      <name val="Arial"/>
      <charset val="1"/>
      <family val="0"/>
      <color rgb="FF808080"/>
      <sz val="8"/>
    </font>
    <font>
      <name val="Arial"/>
      <charset val="1"/>
      <family val="0"/>
      <b val="1"/>
      <color rgb="FF1F4E79"/>
      <sz val="11"/>
    </font>
    <font>
      <name val="Arial"/>
      <charset val="1"/>
      <family val="0"/>
      <b val="1"/>
      <sz val="10"/>
    </font>
    <font>
      <name val="Arial"/>
      <charset val="1"/>
      <family val="0"/>
      <b val="1"/>
      <color rgb="FF1F4E79"/>
      <sz val="15"/>
    </font>
    <font>
      <name val="Arial"/>
      <charset val="1"/>
      <family val="0"/>
      <b val="1"/>
      <sz val="8"/>
    </font>
    <font>
      <name val="Arial"/>
      <charset val="1"/>
      <family val="0"/>
      <color rgb="FF595959"/>
      <sz val="7"/>
    </font>
    <font>
      <name val="Arial"/>
      <charset val="1"/>
      <family val="0"/>
      <b val="1"/>
      <color rgb="FFFFFFFF"/>
      <sz val="8"/>
    </font>
    <font>
      <name val="Arial"/>
      <charset val="1"/>
      <family val="0"/>
      <sz val="8"/>
    </font>
    <font>
      <name val="Arial"/>
      <charset val="1"/>
      <family val="0"/>
      <b val="1"/>
      <color rgb="FFC00000"/>
      <sz val="10"/>
    </font>
    <font>
      <name val="Arial"/>
      <charset val="1"/>
      <family val="0"/>
      <b val="1"/>
      <color rgb="FFC00000"/>
      <sz val="8"/>
    </font>
    <font>
      <name val="Arial"/>
      <charset val="1"/>
      <family val="0"/>
      <b val="1"/>
      <color rgb="FF1F4E79"/>
      <sz val="10.5"/>
    </font>
    <font>
      <name val="Arial"/>
      <charset val="1"/>
      <family val="0"/>
      <sz val="9"/>
    </font>
    <font>
      <name val="Arial"/>
      <charset val="1"/>
      <family val="0"/>
      <b val="1"/>
      <color rgb="FFC55A11"/>
      <sz val="14"/>
    </font>
    <font>
      <name val="Arial"/>
      <charset val="1"/>
      <family val="0"/>
      <b val="1"/>
      <color rgb="FF2E75B6"/>
      <sz val="14"/>
    </font>
    <font>
      <name val="Arial"/>
      <charset val="1"/>
      <family val="0"/>
      <b val="1"/>
      <color rgb="FF538135"/>
      <sz val="14"/>
    </font>
  </fonts>
  <fills count="19">
    <fill>
      <patternFill/>
    </fill>
    <fill>
      <patternFill patternType="gray125"/>
    </fill>
    <fill>
      <patternFill patternType="solid">
        <fgColor rgb="FF0D2347"/>
        <bgColor rgb="FF333333"/>
      </patternFill>
    </fill>
    <fill>
      <patternFill patternType="solid">
        <fgColor rgb="FF1F7A6E"/>
        <bgColor rgb="FF008080"/>
      </patternFill>
    </fill>
    <fill>
      <patternFill patternType="solid">
        <fgColor rgb="FFBF8F00"/>
        <bgColor rgb="FF808000"/>
      </patternFill>
    </fill>
    <fill>
      <patternFill patternType="solid">
        <fgColor rgb="FF808080"/>
        <bgColor rgb="FF969696"/>
      </patternFill>
    </fill>
    <fill>
      <patternFill patternType="solid">
        <fgColor rgb="FFFAFAFA"/>
        <bgColor rgb="FFFFFFFF"/>
      </patternFill>
    </fill>
    <fill>
      <patternFill patternType="solid">
        <fgColor rgb="FF2E75B6"/>
        <bgColor rgb="FF1F7A6E"/>
      </patternFill>
    </fill>
    <fill>
      <patternFill patternType="solid">
        <fgColor rgb="FF7030A0"/>
        <bgColor rgb="FF993366"/>
      </patternFill>
    </fill>
    <fill>
      <patternFill patternType="solid">
        <fgColor rgb="FF538135"/>
        <bgColor rgb="FF808000"/>
      </patternFill>
    </fill>
    <fill>
      <patternFill patternType="solid">
        <fgColor rgb="FFC55A11"/>
        <bgColor rgb="FF993300"/>
      </patternFill>
    </fill>
    <fill>
      <patternFill patternType="solid">
        <fgColor rgb="FFDDEBF7"/>
        <bgColor rgb="FFE2EFDA"/>
      </patternFill>
    </fill>
    <fill>
      <patternFill patternType="solid">
        <fgColor rgb="FFC00000"/>
        <bgColor rgb="FF800000"/>
      </patternFill>
    </fill>
    <fill>
      <patternFill patternType="solid">
        <fgColor rgb="FFFCE4D6"/>
        <bgColor rgb="FFFFF2CC"/>
      </patternFill>
    </fill>
    <fill>
      <patternFill patternType="solid">
        <fgColor rgb="FFFFF2CC"/>
        <bgColor rgb="FFFCE4D6"/>
      </patternFill>
    </fill>
    <fill>
      <patternFill patternType="solid">
        <fgColor rgb="FFFDF2F2"/>
        <bgColor rgb="FFF2F2F2"/>
      </patternFill>
    </fill>
    <fill>
      <patternFill patternType="solid">
        <fgColor rgb="FFE2EFDA"/>
        <bgColor rgb="FFDDEBF7"/>
      </patternFill>
    </fill>
    <fill>
      <patternFill patternType="solid">
        <fgColor rgb="FFE6DEEF"/>
        <bgColor rgb="FFDDEBF7"/>
      </patternFill>
    </fill>
    <fill>
      <patternFill patternType="solid">
        <fgColor rgb="FFF2F2F2"/>
        <bgColor rgb="FFFD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0">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general" vertical="bottom"/>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7"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6" borderId="0" applyAlignment="1" pivotButton="0" quotePrefix="0" xfId="0">
      <alignment horizontal="center" vertical="center" wrapText="1"/>
    </xf>
    <xf numFmtId="0" fontId="7" fillId="7" borderId="0" applyAlignment="1" pivotButton="0" quotePrefix="0" xfId="0">
      <alignment horizontal="center" vertical="center" wrapText="1"/>
    </xf>
    <xf numFmtId="0" fontId="7" fillId="8" borderId="0" applyAlignment="1" pivotButton="0" quotePrefix="0" xfId="0">
      <alignment horizontal="center" vertical="center" wrapText="1"/>
    </xf>
    <xf numFmtId="0" fontId="7" fillId="9"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6"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3" borderId="0" applyAlignment="1" pivotButton="0" quotePrefix="0" xfId="0">
      <alignment horizontal="general" vertical="center" indent="1"/>
    </xf>
    <xf numFmtId="0" fontId="15"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4" fillId="8" borderId="0" applyAlignment="1" pivotButton="0" quotePrefix="0" xfId="0">
      <alignment horizontal="general" vertical="center" indent="1"/>
    </xf>
    <xf numFmtId="0" fontId="14" fillId="4" borderId="0" applyAlignment="1" pivotButton="0" quotePrefix="0" xfId="0">
      <alignment horizontal="general" vertical="center" indent="1"/>
    </xf>
    <xf numFmtId="0" fontId="14" fillId="10" borderId="0" applyAlignment="1" pivotButton="0" quotePrefix="0" xfId="0">
      <alignment horizontal="general" vertical="center" indent="1"/>
    </xf>
    <xf numFmtId="0" fontId="14" fillId="7" borderId="0" applyAlignment="1" pivotButton="0" quotePrefix="0" xfId="0">
      <alignment horizontal="general" vertical="center" indent="1"/>
    </xf>
    <xf numFmtId="0" fontId="14" fillId="9" borderId="0" applyAlignment="1" pivotButton="0" quotePrefix="0" xfId="0">
      <alignment horizontal="general" vertical="center" indent="1"/>
    </xf>
    <xf numFmtId="0" fontId="16" fillId="11" borderId="1" applyAlignment="1" pivotButton="0" quotePrefix="0" xfId="0">
      <alignment horizontal="general" vertical="top" wrapText="1"/>
    </xf>
    <xf numFmtId="0" fontId="17" fillId="0" borderId="2" applyAlignment="1" pivotButton="0" quotePrefix="0" xfId="0">
      <alignment horizontal="general" vertical="top" wrapText="1"/>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16" fillId="0" borderId="0" applyAlignment="1" pivotButton="0" quotePrefix="0" xfId="0">
      <alignment horizontal="general" vertical="bottom"/>
    </xf>
    <xf numFmtId="0" fontId="20" fillId="2" borderId="0" applyAlignment="1" pivotButton="0" quotePrefix="0" xfId="0">
      <alignment horizontal="center" vertical="center" wrapText="1"/>
    </xf>
    <xf numFmtId="0" fontId="20" fillId="7" borderId="1" applyAlignment="1" pivotButton="0" quotePrefix="0" xfId="0">
      <alignment horizontal="center" vertical="center" wrapText="1"/>
    </xf>
    <xf numFmtId="0" fontId="20" fillId="12" borderId="1" applyAlignment="1" pivotButton="0" quotePrefix="0" xfId="0">
      <alignment horizontal="center" vertical="center" wrapText="1"/>
    </xf>
    <xf numFmtId="0" fontId="21" fillId="0" borderId="1" applyAlignment="1" pivotButton="0" quotePrefix="0" xfId="0">
      <alignment horizontal="center" vertical="center" wrapText="1"/>
    </xf>
    <xf numFmtId="0" fontId="22" fillId="13" borderId="1" applyAlignment="1" pivotButton="0" quotePrefix="0" xfId="0">
      <alignment horizontal="general" vertical="bottom"/>
    </xf>
    <xf numFmtId="0" fontId="23" fillId="13" borderId="1" applyAlignment="1" pivotButton="0" quotePrefix="0" xfId="0">
      <alignment horizontal="general" vertical="bottom"/>
    </xf>
    <xf numFmtId="0" fontId="23" fillId="0" borderId="1" applyAlignment="1" pivotButton="0" quotePrefix="0" xfId="0">
      <alignment horizontal="general" vertical="top" wrapText="1"/>
    </xf>
    <xf numFmtId="0" fontId="23" fillId="14" borderId="1" applyAlignment="1" pivotButton="0" quotePrefix="0" xfId="0">
      <alignment horizontal="general" vertical="top" wrapText="1"/>
    </xf>
    <xf numFmtId="0" fontId="0" fillId="14" borderId="1" applyAlignment="1" pivotButton="0" quotePrefix="0" xfId="0">
      <alignment horizontal="general" vertical="top" wrapText="1"/>
    </xf>
    <xf numFmtId="0" fontId="0" fillId="15" borderId="1" applyAlignment="1" pivotButton="0" quotePrefix="0" xfId="0">
      <alignment horizontal="general" vertical="bottom"/>
    </xf>
    <xf numFmtId="0" fontId="24" fillId="0" borderId="1" applyAlignment="1" pivotButton="0" quotePrefix="0" xfId="0">
      <alignment horizontal="center" vertical="center" wrapText="1"/>
    </xf>
    <xf numFmtId="0" fontId="20" fillId="2" borderId="0" applyAlignment="1" pivotButton="0" quotePrefix="0" xfId="0">
      <alignment horizontal="center" vertical="center" wrapText="1"/>
    </xf>
    <xf numFmtId="0" fontId="11" fillId="11" borderId="1" applyAlignment="1" pivotButton="0" quotePrefix="0" xfId="0">
      <alignment horizontal="general" vertical="bottom"/>
    </xf>
    <xf numFmtId="0" fontId="23" fillId="11" borderId="1" applyAlignment="1" pivotButton="0" quotePrefix="0" xfId="0">
      <alignment horizontal="general" vertical="bottom"/>
    </xf>
    <xf numFmtId="0" fontId="13" fillId="16" borderId="1" applyAlignment="1" pivotButton="0" quotePrefix="0" xfId="0">
      <alignment horizontal="general" vertical="bottom"/>
    </xf>
    <xf numFmtId="0" fontId="23" fillId="16" borderId="1" applyAlignment="1" pivotButton="0" quotePrefix="0" xfId="0">
      <alignment horizontal="general" vertical="bottom"/>
    </xf>
    <xf numFmtId="0" fontId="12" fillId="17" borderId="1" applyAlignment="1" pivotButton="0" quotePrefix="0" xfId="0">
      <alignment horizontal="general" vertical="bottom"/>
    </xf>
    <xf numFmtId="0" fontId="23" fillId="17" borderId="1" applyAlignment="1" pivotButton="0" quotePrefix="0" xfId="0">
      <alignment horizontal="general" vertical="bottom"/>
    </xf>
    <xf numFmtId="0" fontId="9" fillId="14" borderId="1" applyAlignment="1" pivotButton="0" quotePrefix="0" xfId="0">
      <alignment horizontal="general" vertical="bottom"/>
    </xf>
    <xf numFmtId="0" fontId="23" fillId="14" borderId="1" applyAlignment="1" pivotButton="0" quotePrefix="0" xfId="0">
      <alignment horizontal="general" vertical="bottom"/>
    </xf>
    <xf numFmtId="0" fontId="25" fillId="0" borderId="0" applyAlignment="1" pivotButton="0" quotePrefix="0" xfId="0">
      <alignment horizontal="general" vertical="bottom"/>
    </xf>
    <xf numFmtId="0" fontId="26" fillId="0" borderId="0" applyAlignment="1" pivotButton="0" quotePrefix="0" xfId="0">
      <alignment horizontal="general" vertical="bottom"/>
    </xf>
    <xf numFmtId="0" fontId="18" fillId="0" borderId="0" applyAlignment="1" pivotButton="0" quotePrefix="0" xfId="0">
      <alignment horizontal="general" vertical="bottom"/>
    </xf>
    <xf numFmtId="0" fontId="27" fillId="0" borderId="0" applyAlignment="1" pivotButton="0" quotePrefix="0" xfId="0">
      <alignment horizontal="general" vertical="bottom"/>
    </xf>
    <xf numFmtId="0" fontId="16" fillId="0" borderId="0" applyAlignment="1" pivotButton="0" quotePrefix="0" xfId="0">
      <alignment horizontal="general" vertical="center" wrapText="1"/>
    </xf>
    <xf numFmtId="0" fontId="20" fillId="10" borderId="0" applyAlignment="1" pivotButton="0" quotePrefix="0" xfId="0">
      <alignment horizontal="center" vertical="center" wrapText="1"/>
    </xf>
    <xf numFmtId="0" fontId="20" fillId="7" borderId="0" applyAlignment="1" pivotButton="0" quotePrefix="0" xfId="0">
      <alignment horizontal="center" vertical="center" wrapText="1"/>
    </xf>
    <xf numFmtId="0" fontId="20" fillId="9" borderId="0" applyAlignment="1" pivotButton="0" quotePrefix="0" xfId="0">
      <alignment horizontal="center" vertical="center" wrapText="1"/>
    </xf>
    <xf numFmtId="0" fontId="20" fillId="8" borderId="0" applyAlignment="1" pivotButton="0" quotePrefix="0" xfId="0">
      <alignment horizontal="center" vertical="center" wrapText="1"/>
    </xf>
    <xf numFmtId="0" fontId="20" fillId="4" borderId="0" applyAlignment="1" pivotButton="0" quotePrefix="0" xfId="0">
      <alignment horizontal="center" vertical="center" wrapText="1"/>
    </xf>
    <xf numFmtId="0" fontId="28" fillId="13" borderId="1" applyAlignment="1" pivotButton="0" quotePrefix="0" xfId="0">
      <alignment horizontal="center" vertical="center" wrapText="1"/>
    </xf>
    <xf numFmtId="0" fontId="28" fillId="11" borderId="1" applyAlignment="1" pivotButton="0" quotePrefix="0" xfId="0">
      <alignment horizontal="center" vertical="center" wrapText="1"/>
    </xf>
    <xf numFmtId="0" fontId="28" fillId="16" borderId="1" applyAlignment="1" pivotButton="0" quotePrefix="0" xfId="0">
      <alignment horizontal="center" vertical="center" wrapText="1"/>
    </xf>
    <xf numFmtId="0" fontId="28" fillId="17" borderId="1" applyAlignment="1" pivotButton="0" quotePrefix="0" xfId="0">
      <alignment horizontal="center" vertical="center" wrapText="1"/>
    </xf>
    <xf numFmtId="0" fontId="28" fillId="14" borderId="1" applyAlignment="1" pivotButton="0" quotePrefix="0" xfId="0">
      <alignment horizontal="center" vertical="center" wrapText="1"/>
    </xf>
    <xf numFmtId="0" fontId="29" fillId="0" borderId="1" applyAlignment="1" pivotButton="0" quotePrefix="0" xfId="0">
      <alignment horizontal="center" vertical="center" textRotation="90"/>
    </xf>
    <xf numFmtId="0" fontId="22" fillId="0" borderId="0" applyAlignment="1" pivotButton="0" quotePrefix="0" xfId="0">
      <alignment horizontal="general" vertical="top" wrapText="1"/>
    </xf>
    <xf numFmtId="0" fontId="30" fillId="0" borderId="1" applyAlignment="1" pivotButton="0" quotePrefix="0" xfId="0">
      <alignment horizontal="center" vertical="center" wrapText="1"/>
    </xf>
    <xf numFmtId="0" fontId="11"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0" fillId="0" borderId="0" applyAlignment="1" pivotButton="0" quotePrefix="0" xfId="0">
      <alignment horizontal="general" vertical="bottom"/>
    </xf>
    <xf numFmtId="0" fontId="31" fillId="0" borderId="1" applyAlignment="1" pivotButton="0" quotePrefix="0" xfId="0">
      <alignment horizontal="center" vertical="center" wrapText="1"/>
    </xf>
    <xf numFmtId="0" fontId="32" fillId="0" borderId="0" applyAlignment="1" pivotButton="0" quotePrefix="0" xfId="0">
      <alignment horizontal="general" vertical="bottom"/>
    </xf>
    <xf numFmtId="0" fontId="33" fillId="0" borderId="1" applyAlignment="1" pivotButton="0" quotePrefix="0" xfId="0">
      <alignment horizontal="center" vertical="center" wrapText="1"/>
    </xf>
    <xf numFmtId="0" fontId="18" fillId="0" borderId="0" applyAlignment="1" pivotButton="0" quotePrefix="0" xfId="0">
      <alignment horizontal="general" vertical="top" wrapText="1"/>
    </xf>
    <xf numFmtId="0" fontId="34" fillId="11" borderId="1" applyAlignment="1" pivotButton="0" quotePrefix="0" xfId="0">
      <alignment horizontal="general" vertical="top" wrapText="1"/>
    </xf>
    <xf numFmtId="0" fontId="26" fillId="0" borderId="1" applyAlignment="1" pivotButton="0" quotePrefix="0" xfId="0">
      <alignment horizontal="general" vertical="top" wrapText="1"/>
    </xf>
    <xf numFmtId="0" fontId="23" fillId="13" borderId="1" applyAlignment="1" pivotButton="0" quotePrefix="0" xfId="0">
      <alignment horizontal="center" vertical="center" wrapText="1"/>
    </xf>
    <xf numFmtId="0" fontId="26" fillId="13" borderId="1" applyAlignment="1" pivotButton="0" quotePrefix="0" xfId="0">
      <alignment horizontal="general" vertical="top" wrapText="1"/>
    </xf>
    <xf numFmtId="0" fontId="23" fillId="13" borderId="1" applyAlignment="1" pivotButton="0" quotePrefix="0" xfId="0">
      <alignment horizontal="general" vertical="top" wrapText="1"/>
    </xf>
    <xf numFmtId="0" fontId="35" fillId="13" borderId="1" applyAlignment="1" pivotButton="0" quotePrefix="0" xfId="0">
      <alignment horizontal="center" vertical="center" wrapText="1"/>
    </xf>
    <xf numFmtId="0" fontId="23" fillId="11" borderId="1" applyAlignment="1" pivotButton="0" quotePrefix="0" xfId="0">
      <alignment horizontal="center" vertical="center" wrapText="1"/>
    </xf>
    <xf numFmtId="0" fontId="26" fillId="11" borderId="1" applyAlignment="1" pivotButton="0" quotePrefix="0" xfId="0">
      <alignment horizontal="general" vertical="top" wrapText="1"/>
    </xf>
    <xf numFmtId="0" fontId="23" fillId="11" borderId="1" applyAlignment="1" pivotButton="0" quotePrefix="0" xfId="0">
      <alignment horizontal="general" vertical="top" wrapText="1"/>
    </xf>
    <xf numFmtId="0" fontId="35" fillId="11" borderId="1" applyAlignment="1" pivotButton="0" quotePrefix="0" xfId="0">
      <alignment horizontal="center" vertical="center" wrapText="1"/>
    </xf>
    <xf numFmtId="0" fontId="23" fillId="16" borderId="1" applyAlignment="1" pivotButton="0" quotePrefix="0" xfId="0">
      <alignment horizontal="center" vertical="center" wrapText="1"/>
    </xf>
    <xf numFmtId="0" fontId="26" fillId="16" borderId="1" applyAlignment="1" pivotButton="0" quotePrefix="0" xfId="0">
      <alignment horizontal="general" vertical="top" wrapText="1"/>
    </xf>
    <xf numFmtId="0" fontId="23" fillId="16" borderId="1" applyAlignment="1" pivotButton="0" quotePrefix="0" xfId="0">
      <alignment horizontal="general" vertical="top" wrapText="1"/>
    </xf>
    <xf numFmtId="0" fontId="35" fillId="16" borderId="1" applyAlignment="1" pivotButton="0" quotePrefix="0" xfId="0">
      <alignment horizontal="center" vertical="center" wrapText="1"/>
    </xf>
    <xf numFmtId="0" fontId="26" fillId="0" borderId="0" applyAlignment="1" pivotButton="0" quotePrefix="0" xfId="0">
      <alignment horizontal="right" vertical="bottom"/>
    </xf>
    <xf numFmtId="0" fontId="26" fillId="0" borderId="1" applyAlignment="1" pivotButton="0" quotePrefix="0" xfId="0">
      <alignment horizontal="center" vertical="center" wrapText="1"/>
    </xf>
    <xf numFmtId="0" fontId="36" fillId="0" borderId="0" applyAlignment="1" pivotButton="0" quotePrefix="0" xfId="0">
      <alignment horizontal="general" vertical="bottom"/>
    </xf>
    <xf numFmtId="0" fontId="20" fillId="4" borderId="0" applyAlignment="1" pivotButton="0" quotePrefix="0" xfId="0">
      <alignment horizontal="center" vertical="center" wrapText="1"/>
    </xf>
    <xf numFmtId="0" fontId="23" fillId="0" borderId="2" applyAlignment="1" pivotButton="0" quotePrefix="0" xfId="0">
      <alignment horizontal="general" vertical="top" wrapText="1"/>
    </xf>
    <xf numFmtId="0" fontId="14" fillId="10" borderId="0" applyAlignment="1" pivotButton="0" quotePrefix="0" xfId="0">
      <alignment horizontal="general" vertical="top" wrapText="1"/>
    </xf>
    <xf numFmtId="0" fontId="26" fillId="14" borderId="1" applyAlignment="1" pivotButton="0" quotePrefix="0" xfId="0">
      <alignment horizontal="general" vertical="top" wrapText="1"/>
    </xf>
    <xf numFmtId="0" fontId="23" fillId="14" borderId="2" applyAlignment="1" pivotButton="0" quotePrefix="0" xfId="0">
      <alignment horizontal="general" vertical="top" wrapText="1"/>
    </xf>
    <xf numFmtId="0" fontId="18" fillId="18" borderId="1" applyAlignment="1" pivotButton="0" quotePrefix="0" xfId="0">
      <alignment horizontal="general" vertical="top" wrapText="1"/>
    </xf>
    <xf numFmtId="0" fontId="18" fillId="18" borderId="1" applyAlignment="1" pivotButton="0" quotePrefix="0" xfId="0">
      <alignment horizontal="general" vertical="bottom"/>
    </xf>
    <xf numFmtId="0" fontId="18" fillId="18" borderId="2" applyAlignment="1" pivotButton="0" quotePrefix="0" xfId="0">
      <alignment horizontal="general" vertical="bottom"/>
    </xf>
    <xf numFmtId="0" fontId="37" fillId="0" borderId="0" applyAlignment="1" pivotButton="0" quotePrefix="0" xfId="0">
      <alignment horizontal="general" vertical="bottom"/>
    </xf>
    <xf numFmtId="0" fontId="14" fillId="7" borderId="0" applyAlignment="1" pivotButton="0" quotePrefix="0" xfId="0">
      <alignment horizontal="general" vertical="top" wrapText="1"/>
    </xf>
    <xf numFmtId="0" fontId="38" fillId="0" borderId="0" applyAlignment="1" pivotButton="0" quotePrefix="0" xfId="0">
      <alignment horizontal="general" vertical="bottom"/>
    </xf>
    <xf numFmtId="0" fontId="14" fillId="9" borderId="0" applyAlignment="1" pivotButton="0" quotePrefix="0" xfId="0">
      <alignment horizontal="general" vertical="top" wrapText="1"/>
    </xf>
    <xf numFmtId="0" fontId="20" fillId="7" borderId="1" applyAlignment="1" pivotButton="0" quotePrefix="0" xfId="0">
      <alignment horizontal="general" vertical="bottom"/>
    </xf>
    <xf numFmtId="0" fontId="23" fillId="0" borderId="1" applyAlignment="1" pivotButton="0" quotePrefix="0" xfId="0">
      <alignment horizontal="general" vertical="bottom"/>
    </xf>
    <xf numFmtId="0" fontId="23" fillId="18"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general" vertical="bottom"/>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7"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6" borderId="0" applyAlignment="1" pivotButton="0" quotePrefix="0" xfId="0">
      <alignment horizontal="center" vertical="center" wrapText="1"/>
    </xf>
    <xf numFmtId="0" fontId="7" fillId="7" borderId="0" applyAlignment="1" pivotButton="0" quotePrefix="0" xfId="0">
      <alignment horizontal="center" vertical="center" wrapText="1"/>
    </xf>
    <xf numFmtId="0" fontId="7" fillId="8" borderId="0" applyAlignment="1" pivotButton="0" quotePrefix="0" xfId="0">
      <alignment horizontal="center" vertical="center" wrapText="1"/>
    </xf>
    <xf numFmtId="0" fontId="7" fillId="9"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6"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3" borderId="0" applyAlignment="1" pivotButton="0" quotePrefix="0" xfId="0">
      <alignment horizontal="general" vertical="center" indent="1"/>
    </xf>
    <xf numFmtId="0" fontId="15" fillId="0" borderId="0" applyAlignment="1" pivotButton="0" quotePrefix="0" xfId="0">
      <alignment horizontal="general" vertical="center" wrapText="1"/>
    </xf>
    <xf numFmtId="0" fontId="14" fillId="8" borderId="0" applyAlignment="1" pivotButton="0" quotePrefix="0" xfId="0">
      <alignment horizontal="general" vertical="center" indent="1"/>
    </xf>
    <xf numFmtId="0" fontId="14" fillId="4" borderId="0" applyAlignment="1" pivotButton="0" quotePrefix="0" xfId="0">
      <alignment horizontal="general" vertical="center" indent="1"/>
    </xf>
    <xf numFmtId="0" fontId="14" fillId="10" borderId="0" applyAlignment="1" pivotButton="0" quotePrefix="0" xfId="0">
      <alignment horizontal="general" vertical="center" indent="1"/>
    </xf>
    <xf numFmtId="0" fontId="14" fillId="7" borderId="0" applyAlignment="1" pivotButton="0" quotePrefix="0" xfId="0">
      <alignment horizontal="general" vertical="center" indent="1"/>
    </xf>
    <xf numFmtId="0" fontId="14" fillId="9" borderId="0" applyAlignment="1" pivotButton="0" quotePrefix="0" xfId="0">
      <alignment horizontal="general" vertical="center" indent="1"/>
    </xf>
    <xf numFmtId="0" fontId="16" fillId="11" borderId="1" applyAlignment="1" pivotButton="0" quotePrefix="0" xfId="0">
      <alignment horizontal="general" vertical="top" wrapText="1"/>
    </xf>
    <xf numFmtId="0" fontId="17" fillId="0" borderId="2" applyAlignment="1" pivotButton="0" quotePrefix="0" xfId="0">
      <alignment horizontal="general" vertical="top" wrapText="1"/>
    </xf>
    <xf numFmtId="0" fontId="0" fillId="0" borderId="4" pivotButton="0" quotePrefix="0" xfId="0"/>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16" fillId="0" borderId="0" applyAlignment="1" pivotButton="0" quotePrefix="0" xfId="0">
      <alignment horizontal="general" vertical="bottom"/>
    </xf>
    <xf numFmtId="0" fontId="20" fillId="2" borderId="0" applyAlignment="1" pivotButton="0" quotePrefix="0" xfId="0">
      <alignment horizontal="center" vertical="center" wrapText="1"/>
    </xf>
    <xf numFmtId="0" fontId="20" fillId="7" borderId="1" applyAlignment="1" pivotButton="0" quotePrefix="0" xfId="0">
      <alignment horizontal="center" vertical="center" wrapText="1"/>
    </xf>
    <xf numFmtId="0" fontId="20" fillId="12" borderId="1" applyAlignment="1" pivotButton="0" quotePrefix="0" xfId="0">
      <alignment horizontal="center" vertical="center" wrapText="1"/>
    </xf>
    <xf numFmtId="0" fontId="21" fillId="0" borderId="1" applyAlignment="1" pivotButton="0" quotePrefix="0" xfId="0">
      <alignment horizontal="center" vertical="center" wrapText="1"/>
    </xf>
    <xf numFmtId="0" fontId="22" fillId="13" borderId="1" applyAlignment="1" pivotButton="0" quotePrefix="0" xfId="0">
      <alignment horizontal="general" vertical="bottom"/>
    </xf>
    <xf numFmtId="0" fontId="23" fillId="13" borderId="1" applyAlignment="1" pivotButton="0" quotePrefix="0" xfId="0">
      <alignment horizontal="general" vertical="bottom"/>
    </xf>
    <xf numFmtId="0" fontId="23" fillId="0" borderId="1" applyAlignment="1" pivotButton="0" quotePrefix="0" xfId="0">
      <alignment horizontal="general" vertical="top" wrapText="1"/>
    </xf>
    <xf numFmtId="0" fontId="23" fillId="14" borderId="1" applyAlignment="1" pivotButton="0" quotePrefix="0" xfId="0">
      <alignment horizontal="general" vertical="top" wrapText="1"/>
    </xf>
    <xf numFmtId="0" fontId="0" fillId="14" borderId="1" applyAlignment="1" pivotButton="0" quotePrefix="0" xfId="0">
      <alignment horizontal="general" vertical="top" wrapText="1"/>
    </xf>
    <xf numFmtId="0" fontId="0" fillId="15" borderId="1" applyAlignment="1" pivotButton="0" quotePrefix="0" xfId="0">
      <alignment horizontal="general" vertical="bottom"/>
    </xf>
    <xf numFmtId="0" fontId="24" fillId="0" borderId="1" applyAlignment="1" pivotButton="0" quotePrefix="0" xfId="0">
      <alignment horizontal="center" vertical="center" wrapText="1"/>
    </xf>
    <xf numFmtId="0" fontId="11" fillId="11" borderId="1" applyAlignment="1" pivotButton="0" quotePrefix="0" xfId="0">
      <alignment horizontal="general" vertical="bottom"/>
    </xf>
    <xf numFmtId="0" fontId="23" fillId="11" borderId="1" applyAlignment="1" pivotButton="0" quotePrefix="0" xfId="0">
      <alignment horizontal="general" vertical="bottom"/>
    </xf>
    <xf numFmtId="0" fontId="13" fillId="16" borderId="1" applyAlignment="1" pivotButton="0" quotePrefix="0" xfId="0">
      <alignment horizontal="general" vertical="bottom"/>
    </xf>
    <xf numFmtId="0" fontId="23" fillId="16" borderId="1" applyAlignment="1" pivotButton="0" quotePrefix="0" xfId="0">
      <alignment horizontal="general" vertical="bottom"/>
    </xf>
    <xf numFmtId="0" fontId="12" fillId="17" borderId="1" applyAlignment="1" pivotButton="0" quotePrefix="0" xfId="0">
      <alignment horizontal="general" vertical="bottom"/>
    </xf>
    <xf numFmtId="0" fontId="23" fillId="17" borderId="1" applyAlignment="1" pivotButton="0" quotePrefix="0" xfId="0">
      <alignment horizontal="general" vertical="bottom"/>
    </xf>
    <xf numFmtId="0" fontId="9" fillId="14" borderId="1" applyAlignment="1" pivotButton="0" quotePrefix="0" xfId="0">
      <alignment horizontal="general" vertical="bottom"/>
    </xf>
    <xf numFmtId="0" fontId="23" fillId="14" borderId="1" applyAlignment="1" pivotButton="0" quotePrefix="0" xfId="0">
      <alignment horizontal="general" vertical="bottom"/>
    </xf>
    <xf numFmtId="0" fontId="25" fillId="0" borderId="0" applyAlignment="1" pivotButton="0" quotePrefix="0" xfId="0">
      <alignment horizontal="general" vertical="bottom"/>
    </xf>
    <xf numFmtId="0" fontId="26" fillId="0" borderId="0" applyAlignment="1" pivotButton="0" quotePrefix="0" xfId="0">
      <alignment horizontal="general" vertical="bottom"/>
    </xf>
    <xf numFmtId="0" fontId="27" fillId="0" borderId="0" applyAlignment="1" pivotButton="0" quotePrefix="0" xfId="0">
      <alignment horizontal="general" vertical="bottom"/>
    </xf>
    <xf numFmtId="0" fontId="16" fillId="0" borderId="0" applyAlignment="1" pivotButton="0" quotePrefix="0" xfId="0">
      <alignment horizontal="general" vertical="center" wrapText="1"/>
    </xf>
    <xf numFmtId="0" fontId="20" fillId="10" borderId="0" applyAlignment="1" pivotButton="0" quotePrefix="0" xfId="0">
      <alignment horizontal="center" vertical="center" wrapText="1"/>
    </xf>
    <xf numFmtId="0" fontId="20" fillId="7" borderId="0" applyAlignment="1" pivotButton="0" quotePrefix="0" xfId="0">
      <alignment horizontal="center" vertical="center" wrapText="1"/>
    </xf>
    <xf numFmtId="0" fontId="20" fillId="9" borderId="0" applyAlignment="1" pivotButton="0" quotePrefix="0" xfId="0">
      <alignment horizontal="center" vertical="center" wrapText="1"/>
    </xf>
    <xf numFmtId="0" fontId="20" fillId="8" borderId="0" applyAlignment="1" pivotButton="0" quotePrefix="0" xfId="0">
      <alignment horizontal="center" vertical="center" wrapText="1"/>
    </xf>
    <xf numFmtId="0" fontId="20" fillId="4" borderId="0" applyAlignment="1" pivotButton="0" quotePrefix="0" xfId="0">
      <alignment horizontal="center" vertical="center" wrapText="1"/>
    </xf>
    <xf numFmtId="0" fontId="28" fillId="13" borderId="1" applyAlignment="1" pivotButton="0" quotePrefix="0" xfId="0">
      <alignment horizontal="center" vertical="center" wrapText="1"/>
    </xf>
    <xf numFmtId="0" fontId="28" fillId="11" borderId="1" applyAlignment="1" pivotButton="0" quotePrefix="0" xfId="0">
      <alignment horizontal="center" vertical="center" wrapText="1"/>
    </xf>
    <xf numFmtId="0" fontId="28" fillId="16" borderId="1" applyAlignment="1" pivotButton="0" quotePrefix="0" xfId="0">
      <alignment horizontal="center" vertical="center" wrapText="1"/>
    </xf>
    <xf numFmtId="0" fontId="28" fillId="17" borderId="1" applyAlignment="1" pivotButton="0" quotePrefix="0" xfId="0">
      <alignment horizontal="center" vertical="center" wrapText="1"/>
    </xf>
    <xf numFmtId="0" fontId="28" fillId="14" borderId="1" applyAlignment="1" pivotButton="0" quotePrefix="0" xfId="0">
      <alignment horizontal="center" vertical="center" wrapText="1"/>
    </xf>
    <xf numFmtId="0" fontId="29" fillId="0" borderId="1" applyAlignment="1" pivotButton="0" quotePrefix="0" xfId="0">
      <alignment horizontal="center" vertical="center" textRotation="90"/>
    </xf>
    <xf numFmtId="0" fontId="22" fillId="0" borderId="0" applyAlignment="1" pivotButton="0" quotePrefix="0" xfId="0">
      <alignment horizontal="general" vertical="top" wrapText="1"/>
    </xf>
    <xf numFmtId="0" fontId="30" fillId="0" borderId="1" applyAlignment="1" pivotButton="0" quotePrefix="0" xfId="0">
      <alignment horizontal="center" vertical="center" wrapText="1"/>
    </xf>
    <xf numFmtId="0" fontId="11"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0" fillId="0" borderId="0" applyAlignment="1" pivotButton="0" quotePrefix="0" xfId="0">
      <alignment horizontal="general" vertical="bottom"/>
    </xf>
    <xf numFmtId="0" fontId="31" fillId="0" borderId="1" applyAlignment="1" pivotButton="0" quotePrefix="0" xfId="0">
      <alignment horizontal="center" vertical="center" wrapText="1"/>
    </xf>
    <xf numFmtId="0" fontId="32" fillId="0" borderId="0" applyAlignment="1" pivotButton="0" quotePrefix="0" xfId="0">
      <alignment horizontal="general" vertical="bottom"/>
    </xf>
    <xf numFmtId="0" fontId="33" fillId="0" borderId="1" applyAlignment="1" pivotButton="0" quotePrefix="0" xfId="0">
      <alignment horizontal="center" vertical="center" wrapText="1"/>
    </xf>
    <xf numFmtId="0" fontId="18" fillId="0" borderId="0" applyAlignment="1" pivotButton="0" quotePrefix="0" xfId="0">
      <alignment horizontal="general" vertical="top" wrapText="1"/>
    </xf>
    <xf numFmtId="0" fontId="34" fillId="11" borderId="1" applyAlignment="1" pivotButton="0" quotePrefix="0" xfId="0">
      <alignment horizontal="general" vertical="top" wrapText="1"/>
    </xf>
    <xf numFmtId="0" fontId="26" fillId="0" borderId="1" applyAlignment="1" pivotButton="0" quotePrefix="0" xfId="0">
      <alignment horizontal="general" vertical="top" wrapText="1"/>
    </xf>
    <xf numFmtId="0" fontId="23" fillId="13" borderId="1" applyAlignment="1" pivotButton="0" quotePrefix="0" xfId="0">
      <alignment horizontal="center" vertical="center" wrapText="1"/>
    </xf>
    <xf numFmtId="0" fontId="26" fillId="13" borderId="1" applyAlignment="1" pivotButton="0" quotePrefix="0" xfId="0">
      <alignment horizontal="general" vertical="top" wrapText="1"/>
    </xf>
    <xf numFmtId="0" fontId="23" fillId="13" borderId="1" applyAlignment="1" pivotButton="0" quotePrefix="0" xfId="0">
      <alignment horizontal="general" vertical="top" wrapText="1"/>
    </xf>
    <xf numFmtId="0" fontId="35" fillId="13" borderId="1" applyAlignment="1" pivotButton="0" quotePrefix="0" xfId="0">
      <alignment horizontal="center" vertical="center" wrapText="1"/>
    </xf>
    <xf numFmtId="0" fontId="23" fillId="11" borderId="1" applyAlignment="1" pivotButton="0" quotePrefix="0" xfId="0">
      <alignment horizontal="center" vertical="center" wrapText="1"/>
    </xf>
    <xf numFmtId="0" fontId="26" fillId="11" borderId="1" applyAlignment="1" pivotButton="0" quotePrefix="0" xfId="0">
      <alignment horizontal="general" vertical="top" wrapText="1"/>
    </xf>
    <xf numFmtId="0" fontId="23" fillId="11" borderId="1" applyAlignment="1" pivotButton="0" quotePrefix="0" xfId="0">
      <alignment horizontal="general" vertical="top" wrapText="1"/>
    </xf>
    <xf numFmtId="0" fontId="35" fillId="11" borderId="1" applyAlignment="1" pivotButton="0" quotePrefix="0" xfId="0">
      <alignment horizontal="center" vertical="center" wrapText="1"/>
    </xf>
    <xf numFmtId="0" fontId="23" fillId="16" borderId="1" applyAlignment="1" pivotButton="0" quotePrefix="0" xfId="0">
      <alignment horizontal="center" vertical="center" wrapText="1"/>
    </xf>
    <xf numFmtId="0" fontId="26" fillId="16" borderId="1" applyAlignment="1" pivotButton="0" quotePrefix="0" xfId="0">
      <alignment horizontal="general" vertical="top" wrapText="1"/>
    </xf>
    <xf numFmtId="0" fontId="23" fillId="16" borderId="1" applyAlignment="1" pivotButton="0" quotePrefix="0" xfId="0">
      <alignment horizontal="general" vertical="top" wrapText="1"/>
    </xf>
    <xf numFmtId="0" fontId="35" fillId="16" borderId="1" applyAlignment="1" pivotButton="0" quotePrefix="0" xfId="0">
      <alignment horizontal="center" vertical="center" wrapText="1"/>
    </xf>
    <xf numFmtId="0" fontId="26" fillId="0" borderId="0" applyAlignment="1" pivotButton="0" quotePrefix="0" xfId="0">
      <alignment horizontal="right" vertical="bottom"/>
    </xf>
    <xf numFmtId="0" fontId="26" fillId="0" borderId="1" applyAlignment="1" pivotButton="0" quotePrefix="0" xfId="0">
      <alignment horizontal="center" vertical="center" wrapText="1"/>
    </xf>
    <xf numFmtId="0" fontId="36" fillId="0" borderId="0" applyAlignment="1" pivotButton="0" quotePrefix="0" xfId="0">
      <alignment horizontal="general" vertical="bottom"/>
    </xf>
    <xf numFmtId="0" fontId="23" fillId="0" borderId="2" applyAlignment="1" pivotButton="0" quotePrefix="0" xfId="0">
      <alignment horizontal="general" vertical="top" wrapText="1"/>
    </xf>
    <xf numFmtId="0" fontId="14" fillId="10" borderId="0" applyAlignment="1" pivotButton="0" quotePrefix="0" xfId="0">
      <alignment horizontal="general" vertical="top" wrapText="1"/>
    </xf>
    <xf numFmtId="0" fontId="26" fillId="14" borderId="1" applyAlignment="1" pivotButton="0" quotePrefix="0" xfId="0">
      <alignment horizontal="general" vertical="top" wrapText="1"/>
    </xf>
    <xf numFmtId="0" fontId="23" fillId="14" borderId="2" applyAlignment="1" pivotButton="0" quotePrefix="0" xfId="0">
      <alignment horizontal="general" vertical="top" wrapText="1"/>
    </xf>
    <xf numFmtId="0" fontId="18" fillId="18" borderId="1" applyAlignment="1" pivotButton="0" quotePrefix="0" xfId="0">
      <alignment horizontal="general" vertical="top" wrapText="1"/>
    </xf>
    <xf numFmtId="0" fontId="18" fillId="18" borderId="1" applyAlignment="1" pivotButton="0" quotePrefix="0" xfId="0">
      <alignment horizontal="general" vertical="bottom"/>
    </xf>
    <xf numFmtId="0" fontId="18" fillId="18" borderId="2" applyAlignment="1" pivotButton="0" quotePrefix="0" xfId="0">
      <alignment horizontal="general" vertical="bottom"/>
    </xf>
    <xf numFmtId="0" fontId="37" fillId="0" borderId="0" applyAlignment="1" pivotButton="0" quotePrefix="0" xfId="0">
      <alignment horizontal="general" vertical="bottom"/>
    </xf>
    <xf numFmtId="0" fontId="14" fillId="7" borderId="0" applyAlignment="1" pivotButton="0" quotePrefix="0" xfId="0">
      <alignment horizontal="general" vertical="top" wrapText="1"/>
    </xf>
    <xf numFmtId="0" fontId="38" fillId="0" borderId="0" applyAlignment="1" pivotButton="0" quotePrefix="0" xfId="0">
      <alignment horizontal="general" vertical="bottom"/>
    </xf>
    <xf numFmtId="0" fontId="14" fillId="9" borderId="0" applyAlignment="1" pivotButton="0" quotePrefix="0" xfId="0">
      <alignment horizontal="general" vertical="top" wrapText="1"/>
    </xf>
    <xf numFmtId="0" fontId="20" fillId="7" borderId="1" applyAlignment="1" pivotButton="0" quotePrefix="0" xfId="0">
      <alignment horizontal="general" vertical="bottom"/>
    </xf>
    <xf numFmtId="0" fontId="23" fillId="0" borderId="1" applyAlignment="1" pivotButton="0" quotePrefix="0" xfId="0">
      <alignment horizontal="general" vertical="bottom"/>
    </xf>
    <xf numFmtId="0" fontId="23" fillId="18"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ont>
        <name val="Arial"/>
        <charset val="1"/>
        <family val="0"/>
        <color rgb="FF808080"/>
        <sz val="10"/>
      </font>
      <fill>
        <patternFill>
          <bgColor rgb="FFF2F2F2"/>
        </patternFill>
      </fill>
    </dxf>
    <dxf>
      <font>
        <name val="Arial"/>
        <charset val="1"/>
        <family val="0"/>
        <b val="1"/>
        <color rgb="FFC00000"/>
        <sz val="10"/>
      </font>
      <fill>
        <patternFill>
          <bgColor rgb="FFF8CBAD"/>
        </patternFill>
      </fill>
    </dxf>
    <dxf>
      <font>
        <name val="Arial"/>
        <charset val="1"/>
        <family val="0"/>
        <b val="1"/>
        <color rgb="FFFFFFFF"/>
        <sz val="8"/>
      </font>
      <fill>
        <patternFill>
          <bgColor rgb="FFC55A11"/>
        </patternFill>
      </fill>
    </dxf>
    <dxf>
      <font>
        <name val="Arial"/>
        <charset val="1"/>
        <family val="0"/>
        <b val="1"/>
        <color rgb="FFFFFFFF"/>
        <sz val="8"/>
      </font>
      <fill>
        <patternFill>
          <bgColor rgb="FF2E75B6"/>
        </patternFill>
      </fill>
    </dxf>
    <dxf>
      <font>
        <name val="Arial"/>
        <charset val="1"/>
        <family val="0"/>
        <b val="1"/>
        <color rgb="FFFFFFFF"/>
        <sz val="8"/>
      </font>
      <fill>
        <patternFill>
          <bgColor rgb="FF538135"/>
        </patternFill>
      </fill>
    </dxf>
    <dxf>
      <fill>
        <patternFill>
          <bgColor rgb="FFF2F2F2"/>
        </patternFill>
      </fill>
    </dxf>
    <dxf>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7A6E"/>
      <rgbColor rgb="FFBFBFBF"/>
      <rgbColor rgb="FF808080"/>
      <rgbColor rgb="FF9999FF"/>
      <rgbColor rgb="FF7030A0"/>
      <rgbColor rgb="FFFFF2CC"/>
      <rgbColor rgb="FFDDEBF7"/>
      <rgbColor rgb="FF660066"/>
      <rgbColor rgb="FFFF8080"/>
      <rgbColor rgb="FF0066CC"/>
      <rgbColor rgb="FFE6DEEF"/>
      <rgbColor rgb="FF000080"/>
      <rgbColor rgb="FFFF00FF"/>
      <rgbColor rgb="FFFFFF00"/>
      <rgbColor rgb="FF00FFFF"/>
      <rgbColor rgb="FF800080"/>
      <rgbColor rgb="FF800000"/>
      <rgbColor rgb="FF008080"/>
      <rgbColor rgb="FF0000FF"/>
      <rgbColor rgb="FF00CCFF"/>
      <rgbColor rgb="FFF2F2F2"/>
      <rgbColor rgb="FFE2EFDA"/>
      <rgbColor rgb="FFFCE4D6"/>
      <rgbColor rgb="FFFDF2F2"/>
      <rgbColor rgb="FFFAFAFA"/>
      <rgbColor rgb="FFCC99FF"/>
      <rgbColor rgb="FFF8CBAD"/>
      <rgbColor rgb="FF2E75B6"/>
      <rgbColor rgb="FF33CCCC"/>
      <rgbColor rgb="FF99CC00"/>
      <rgbColor rgb="FFFFCC00"/>
      <rgbColor rgb="FFBF8F00"/>
      <rgbColor rgb="FFC55A11"/>
      <rgbColor rgb="FF595959"/>
      <rgbColor rgb="FF969696"/>
      <rgbColor rgb="FF0D2347"/>
      <rgbColor rgb="FF538135"/>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 Type="http://schemas.openxmlformats.org/officeDocument/2006/relationships/hyperlink" Target="Progression_Techno_4e_2026-2027_Martinique.xlsx" TargetMode="External" Id="rId3" /><Relationship Type="http://schemas.openxmlformats.org/officeDocument/2006/relationships/hyperlink" Target="Progression_Techno_4e_2026-2027_Martinique.xlsx" TargetMode="External" Id="rId4" /><Relationship Type="http://schemas.openxmlformats.org/officeDocument/2006/relationships/hyperlink" Target="Progression_Techno_4e_2026-2027_Martinique.xlsx" TargetMode="External" Id="rId5" /><Relationship Type="http://schemas.openxmlformats.org/officeDocument/2006/relationships/hyperlink" Target="Progression_Techno_4e_2026-2027_Martinique.xlsx" TargetMode="External" Id="rId6" /><Relationship Type="http://schemas.openxmlformats.org/officeDocument/2006/relationships/hyperlink" Target="Progression_Techno_4e_2026-2027_Martinique.xlsx" TargetMode="External" Id="rId7" /><Relationship Type="http://schemas.openxmlformats.org/officeDocument/2006/relationships/hyperlink" Target="Progression_Techno_4e_2026-2027_Martinique.xlsx" TargetMode="External" Id="rId8" /><Relationship Type="http://schemas.openxmlformats.org/officeDocument/2006/relationships/hyperlink" Target="Progression_Techno_4e_2026-2027_Martinique.xlsx" TargetMode="External" Id="rId9" /><Relationship Type="http://schemas.openxmlformats.org/officeDocument/2006/relationships/hyperlink" Target="Progression_Techno_4e_2026-2027_Martinique.xlsx" TargetMode="External" Id="rId10" /><Relationship Type="http://schemas.openxmlformats.org/officeDocument/2006/relationships/hyperlink" Target="Progression_Techno_4e_2026-2027_Martinique.xlsx" TargetMode="External" Id="rId11" /><Relationship Type="http://schemas.openxmlformats.org/officeDocument/2006/relationships/hyperlink" Target="Progression_Techno_4e_2026-2027_Martinique.xlsx" TargetMode="External" Id="rId12" /></Relationships>
</file>

<file path=xl/worksheets/_rels/sheet2.xml.rels><Relationships xmlns="http://schemas.openxmlformats.org/package/2006/relationships"><Relationship Type="http://schemas.openxmlformats.org/officeDocument/2006/relationships/hyperlink" Target="Progression_Techno_4e_2026-2027_Martinique.xlsx" TargetMode="External" Id="rId1" /></Relationships>
</file>

<file path=xl/worksheets/_rels/sheet3.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 Type="http://schemas.openxmlformats.org/officeDocument/2006/relationships/hyperlink" Target="Progression_Techno_4e_2026-2027_Martinique.xlsx" TargetMode="External" Id="rId3" /><Relationship Type="http://schemas.openxmlformats.org/officeDocument/2006/relationships/hyperlink" Target="Progression_Techno_4e_2026-2027_Martinique.xlsx" TargetMode="External" Id="rId4" /><Relationship Type="http://schemas.openxmlformats.org/officeDocument/2006/relationships/hyperlink" Target="Progression_Techno_4e_2026-2027_Martinique.xlsx" TargetMode="External" Id="rId5" /><Relationship Type="http://schemas.openxmlformats.org/officeDocument/2006/relationships/hyperlink" Target="Progression_Techno_4e_2026-2027_Martinique.xlsx" TargetMode="External" Id="rId6" /><Relationship Type="http://schemas.openxmlformats.org/officeDocument/2006/relationships/hyperlink" Target="Progression_Techno_4e_2026-2027_Martinique.xlsx" TargetMode="External" Id="rId7" /><Relationship Type="http://schemas.openxmlformats.org/officeDocument/2006/relationships/hyperlink" Target="Progression_Techno_4e_2026-2027_Martinique.xlsx" TargetMode="External" Id="rId8" /></Relationships>
</file>

<file path=xl/worksheets/_rels/sheet4.xml.rels><Relationships xmlns="http://schemas.openxmlformats.org/package/2006/relationships"><Relationship Type="http://schemas.openxmlformats.org/officeDocument/2006/relationships/hyperlink" Target="Progression_Techno_4e_2026-2027_Martinique.xlsx" TargetMode="External" Id="rId1" /></Relationships>
</file>

<file path=xl/worksheets/_rels/sheet5.xml.rels><Relationships xmlns="http://schemas.openxmlformats.org/package/2006/relationships"><Relationship Type="http://schemas.openxmlformats.org/officeDocument/2006/relationships/hyperlink" Target="Progression_Techno_4e_2026-2027_Martinique.xlsx" TargetMode="External" Id="rId1" /></Relationships>
</file>

<file path=xl/worksheets/_rels/sheet6.xml.rels><Relationships xmlns="http://schemas.openxmlformats.org/package/2006/relationships"><Relationship Type="http://schemas.openxmlformats.org/officeDocument/2006/relationships/hyperlink" Target="Progression_Techno_4e_2026-2027_Martinique.xlsx" TargetMode="External" Id="rId1" /></Relationships>
</file>

<file path=xl/worksheets/_rels/sheet7.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s>
</file>

<file path=xl/worksheets/_rels/sheet8.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s>
</file>

<file path=xl/worksheets/_rels/sheet9.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s>
</file>

<file path=xl/worksheets/_rels/sheet10.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s>
</file>

<file path=xl/worksheets/_rels/sheet11.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s>
</file>

<file path=xl/worksheets/_rels/sheet12.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s>
</file>

<file path=xl/worksheets/_rels/sheet13.xml.rels><Relationships xmlns="http://schemas.openxmlformats.org/package/2006/relationships"><Relationship Type="http://schemas.openxmlformats.org/officeDocument/2006/relationships/hyperlink" Target="Progression_Techno_4e_2026-2027_Martinique.xlsx" TargetMode="External" Id="rId1" /><Relationship Type="http://schemas.openxmlformats.org/officeDocument/2006/relationships/hyperlink" Target="Progression_Techno_4e_2026-2027_Martinique.xlsx" TargetMode="External" Id="rId2" /></Relationships>
</file>

<file path=xl/worksheets/sheet1.xml><?xml version="1.0" encoding="utf-8"?>
<worksheet xmlns="http://schemas.openxmlformats.org/spreadsheetml/2006/main">
  <sheetPr filterMode="0">
    <tabColor rgb="FF0D2347"/>
    <outlinePr summaryBelow="1" summaryRight="1"/>
    <pageSetUpPr fitToPage="0"/>
  </sheetPr>
  <dimension ref="A1:H3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06" min="1" max="1"/>
    <col width="30" customWidth="1" style="106" min="2" max="7"/>
    <col width="2" customWidth="1" style="106" min="8" max="8"/>
  </cols>
  <sheetData>
    <row r="1" ht="15" customHeight="1" s="107">
      <c r="A1" s="108" t="inlineStr">
        <is>
          <t>TECHNOLOGIE 4e
Progression annuelle 2026-2027 · Académie de Martinique</t>
        </is>
      </c>
    </row>
    <row r="2" ht="15" customHeight="1" s="107"/>
    <row r="3" ht="15" customHeight="1" s="107"/>
    <row r="4" ht="15" customHeight="1" s="107"/>
    <row r="5" ht="15" customHeight="1" s="107">
      <c r="A5" s="109" t="inlineStr">
        <is>
          <t>Programme 2024 (BO n°9 du 29/02/2024) · 1 h 30 / semaine · cahier Nathan 4e (éd. 2024) · ressources en ligne du dépôt « En ligne pour le cycle 4 »</t>
        </is>
      </c>
    </row>
    <row r="7" ht="16.15" customHeight="1" s="107">
      <c r="B7" s="110" t="inlineStr">
        <is>
          <t>📊 L'année en un coup d'œil</t>
        </is>
      </c>
    </row>
    <row r="8" ht="30" customHeight="1" s="107">
      <c r="B8" s="111" t="inlineStr">
        <is>
          <t>37</t>
        </is>
      </c>
      <c r="D8" s="112">
        <f>'🧭 Progression'!G11</f>
        <v/>
      </c>
      <c r="F8" s="113" t="inlineStr">
        <is>
          <t>9</t>
        </is>
      </c>
    </row>
    <row r="9" ht="15" customHeight="1" s="107">
      <c r="B9" s="114" t="inlineStr">
        <is>
          <t>Semaines de cours</t>
        </is>
      </c>
      <c r="D9" s="115" t="inlineStr">
        <is>
          <t>Séances planifiées</t>
        </is>
      </c>
      <c r="F9" s="116" t="inlineStr">
        <is>
          <t>Semaines tampon (aléas)</t>
        </is>
      </c>
    </row>
    <row r="11" ht="30" customHeight="1" s="107">
      <c r="B11" s="117" t="inlineStr">
        <is>
          <t>7</t>
        </is>
      </c>
      <c r="D11" s="118" t="inlineStr">
        <is>
          <t>38 (+C4.3 réintégré)</t>
        </is>
      </c>
      <c r="F11" s="119" t="inlineStr">
        <is>
          <t>6 QCM ✅ · séquences 🔜</t>
        </is>
      </c>
    </row>
    <row r="12" ht="15" customHeight="1" s="107">
      <c r="B12" s="120" t="inlineStr">
        <is>
          <t>Séquences</t>
        </is>
      </c>
      <c r="D12" s="121" t="inlineStr">
        <is>
          <t>Codes 4e travaillés</t>
        </is>
      </c>
      <c r="F12" s="122" t="inlineStr">
        <is>
          <t>Ressources en ligne</t>
        </is>
      </c>
    </row>
    <row r="14" ht="16.15" customHeight="1" s="107">
      <c r="B14" s="110" t="inlineStr">
        <is>
          <t>🧭 Naviguer dans le classeur (cliquer)</t>
        </is>
      </c>
    </row>
    <row r="15" ht="24" customHeight="1" s="107">
      <c r="B15" s="123" t="inlineStr">
        <is>
          <t>▸ 📅 Calendrier</t>
        </is>
      </c>
      <c r="C15" s="124" t="inlineStr">
        <is>
          <t>37 semaines, vacances, fériés, tampons, imprévus</t>
        </is>
      </c>
      <c r="E15" s="123" t="inlineStr">
        <is>
          <t>▸ 🗓 Frise de l'année</t>
        </is>
      </c>
      <c r="F15" s="124" t="inlineStr">
        <is>
          <t>les 7 séquences posées sur l'année (vue gantt)</t>
        </is>
      </c>
    </row>
    <row r="16" ht="24" customHeight="1" s="107">
      <c r="B16" s="125" t="inlineStr">
        <is>
          <t>▸ 📚 Référentiel Cycle 4</t>
        </is>
      </c>
      <c r="C16" s="124" t="inlineStr">
        <is>
          <t>C1 → C9 : les 114 sous-compétences du cycle</t>
        </is>
      </c>
      <c r="E16" s="125" t="inlineStr">
        <is>
          <t>▸ 📗 Référentiel 4e</t>
        </is>
      </c>
      <c r="F16" s="124" t="inlineStr">
        <is>
          <t>les 38 sous-compétences du niveau</t>
        </is>
      </c>
    </row>
    <row r="17" ht="24" customHeight="1" s="107">
      <c r="B17" s="126" t="inlineStr">
        <is>
          <t>▸ 🧭 Progression</t>
        </is>
      </c>
      <c r="C17" s="124" t="inlineStr">
        <is>
          <t>les 7 séquences : codes, répartition 🏫🏠🔁, ressources</t>
        </is>
      </c>
      <c r="E17" s="127" t="inlineStr">
        <is>
          <t>▸ S1</t>
        </is>
      </c>
      <c r="F17" s="124" t="inlineStr">
        <is>
          <t>Objets qui évoluent — IA Thème 1 (canevas)</t>
        </is>
      </c>
    </row>
    <row r="18" ht="24" customHeight="1" s="107">
      <c r="B18" s="127" t="inlineStr">
        <is>
          <t>▸ S2</t>
        </is>
      </c>
      <c r="C18" s="124" t="inlineStr">
        <is>
          <t>Identité numérique — IA Thème 1 (canevas)</t>
        </is>
      </c>
      <c r="E18" s="127" t="inlineStr">
        <is>
          <t>▸ S3</t>
        </is>
      </c>
      <c r="F18" s="124" t="inlineStr">
        <is>
          <t>Ergonomie et choix argumenté — IA Thème 1 (canevas)</t>
        </is>
      </c>
    </row>
    <row r="19" ht="24" customHeight="1" s="107">
      <c r="B19" s="128" t="inlineStr">
        <is>
          <t>▸ S4</t>
        </is>
      </c>
      <c r="C19" s="124" t="inlineStr">
        <is>
          <t>Jardin connecté : chaînes — Fable (pré-rempli, QCM ✅)</t>
        </is>
      </c>
      <c r="E19" s="128" t="inlineStr">
        <is>
          <t>▸ S5</t>
        </is>
      </c>
      <c r="F19" s="124" t="inlineStr">
        <is>
          <t>Objets connectés en réseau — Fable (pré-rempli, QCM ✅)</t>
        </is>
      </c>
    </row>
    <row r="20" ht="24" customHeight="1" s="107">
      <c r="B20" s="128" t="inlineStr">
        <is>
          <t>▸ S6</t>
        </is>
      </c>
      <c r="C20" s="124" t="inlineStr">
        <is>
          <t>Réparer sans notice (+C4.3) — Fable (pré-rempli)</t>
        </is>
      </c>
      <c r="E20" s="129" t="inlineStr">
        <is>
          <t>▸ S7</t>
        </is>
      </c>
      <c r="F20" s="124" t="inlineStr">
        <is>
          <t>Projet nouvelle fonction — IA Thème 3 (canevas)</t>
        </is>
      </c>
    </row>
    <row r="22" ht="16.15" customHeight="1" s="107">
      <c r="B22" s="110" t="inlineStr">
        <is>
          <t>📖 Mode d'emploi express</t>
        </is>
      </c>
    </row>
    <row r="23" ht="30" customHeight="1" s="107">
      <c r="B23" s="130" t="inlineStr">
        <is>
          <t>🏫 / 🏠 / 🔁</t>
        </is>
      </c>
      <c r="C23" s="131" t="inlineStr">
        <is>
          <t>En classe (matériel, collectif, évaluations) · À la maison (QCM, synthèses, simulateurs — corrections intégrées, faisables sur téléphone) · Hybride/classe inversée.</t>
        </is>
      </c>
      <c r="D23" s="132" t="n"/>
      <c r="E23" s="132" t="n"/>
      <c r="F23" s="132" t="n"/>
      <c r="G23" s="132" t="n"/>
    </row>
    <row r="24" ht="36" customHeight="1" s="107">
      <c r="B24" s="130" t="inlineStr">
        <is>
          <t>⏳ Tampons</t>
        </is>
      </c>
      <c r="C24" s="131" t="inlineStr">
        <is>
          <t>9 semaines NON planifiées absorbent les aléas. Moteur automatique : colonne « ⚠ Imprévu ? » du Calendrier (ou la grande fenêtre de la version macros) — toutes les séances se décalent, frise et progression se recalculent. Alerte 🛑 au-delà de 9 imprévus.</t>
        </is>
      </c>
      <c r="D24" s="132" t="n"/>
      <c r="E24" s="132" t="n"/>
      <c r="F24" s="132" t="n"/>
      <c r="G24" s="132" t="n"/>
    </row>
    <row r="25" ht="30" customHeight="1" s="107">
      <c r="B25" s="130" t="inlineStr">
        <is>
          <t>📋 Cahier de texte</t>
        </is>
      </c>
      <c r="C25" s="131" t="inlineStr">
        <is>
          <t>Blocs jaunes prêts pour Pronote dans chaque générateur : un clic sur le libellé les copie (version macros).</t>
        </is>
      </c>
      <c r="D25" s="132" t="n"/>
      <c r="E25" s="132" t="n"/>
      <c r="F25" s="132" t="n"/>
      <c r="G25" s="132" t="n"/>
    </row>
    <row r="26" ht="30" customHeight="1" s="107">
      <c r="B26" s="130" t="inlineStr">
        <is>
          <t>✅ 🔜 📘</t>
        </is>
      </c>
      <c r="C26" s="131" t="inlineStr">
        <is>
          <t>Ressource en ligne · à produire · cahier Nathan. Chaque IA de thème remplit SES générateurs — canevas 5e validé par Pascal le 23/07.</t>
        </is>
      </c>
      <c r="D26" s="132" t="n"/>
      <c r="E26" s="132" t="n"/>
      <c r="F26" s="132" t="n"/>
      <c r="G26" s="132" t="n"/>
    </row>
    <row r="27" ht="30" customHeight="1" s="107">
      <c r="B27" s="130" t="inlineStr">
        <is>
          <t>⚠ Correctif C4.3</t>
        </is>
      </c>
      <c r="C27" s="131" t="inlineStr">
        <is>
          <t>Le référentiel initial ne rattachait 4e_C4.3 (forme d'une pièce ↔ procédé) à aucune séquence : réintégré dans S6 « Réparer sans notice ». À entériner au Conseil du 28/07.</t>
        </is>
      </c>
      <c r="D27" s="132" t="n"/>
      <c r="E27" s="132" t="n"/>
      <c r="F27" s="132" t="n"/>
      <c r="G27" s="132" t="n"/>
    </row>
    <row r="28" ht="30" customHeight="1" s="107">
      <c r="B28" s="130" t="inlineStr">
        <is>
          <t>📆 Calendrier</t>
        </is>
      </c>
      <c r="C28" s="131" t="inlineStr">
        <is>
          <t>Martinique 2026-2027 : rentrée mar. 1/09 · Toussaint 20/10→3/11 · Noël 19/12→4/01 · Carnaval 6→22/02 · Pâques 20/04→3/05 · fin 3/07. À confirmer sur ac-martinique.fr.</t>
        </is>
      </c>
      <c r="D28" s="132" t="n"/>
      <c r="E28" s="132" t="n"/>
      <c r="F28" s="132" t="n"/>
      <c r="G28" s="132" t="n"/>
    </row>
    <row r="30" ht="15" customHeight="1" s="107">
      <c r="B30" s="133" t="inlineStr">
        <is>
          <t>Classeur généré par Fable (IA du Thème 2) — canevas 5e validé par Pascal · dépôt : pll-process.github.io/en-ligne-pour-le-cycle-4</t>
        </is>
      </c>
    </row>
  </sheetData>
  <mergeCells count="26">
    <mergeCell ref="F11:G11"/>
    <mergeCell ref="C15:D15"/>
    <mergeCell ref="C24:G24"/>
    <mergeCell ref="C26:G26"/>
    <mergeCell ref="B12:C12"/>
    <mergeCell ref="C20:D20"/>
    <mergeCell ref="F12:G12"/>
    <mergeCell ref="C16:D16"/>
    <mergeCell ref="B11:C11"/>
    <mergeCell ref="D11:E11"/>
    <mergeCell ref="C25:G25"/>
    <mergeCell ref="B8:C8"/>
    <mergeCell ref="F8:G8"/>
    <mergeCell ref="C27:G27"/>
    <mergeCell ref="C23:G23"/>
    <mergeCell ref="A5:H5"/>
    <mergeCell ref="B9:C9"/>
    <mergeCell ref="C17:D17"/>
    <mergeCell ref="D9:E9"/>
    <mergeCell ref="F9:G9"/>
    <mergeCell ref="D12:E12"/>
    <mergeCell ref="D8:E8"/>
    <mergeCell ref="C19:D19"/>
    <mergeCell ref="C28:G28"/>
    <mergeCell ref="A1:H4"/>
    <mergeCell ref="C18:D18"/>
  </mergeCells>
  <hyperlinks>
    <hyperlink xmlns:r="http://schemas.openxmlformats.org/officeDocument/2006/relationships" ref="B15" location="'📅%20Calendrier'!A1" display="▸ 📅 Calendrier" r:id="rId1"/>
    <hyperlink xmlns:r="http://schemas.openxmlformats.org/officeDocument/2006/relationships" ref="E15" location="'🗓%20Frise%20de%20l'année'!A1" display="▸ 🗓 Frise de l'année" r:id="rId2"/>
    <hyperlink xmlns:r="http://schemas.openxmlformats.org/officeDocument/2006/relationships" ref="B16" location="'📚%20Référentiel%20Cycle%204'!A1" display="▸ 📚 Référentiel Cycle 4" r:id="rId3"/>
    <hyperlink xmlns:r="http://schemas.openxmlformats.org/officeDocument/2006/relationships" ref="E16" location="'📗%20Référentiel%204e'!A1" display="▸ 📗 Référentiel 4e" r:id="rId4"/>
    <hyperlink xmlns:r="http://schemas.openxmlformats.org/officeDocument/2006/relationships" ref="B17" location="'🧭%20Progression'!A1" display="▸ 🧭 Progression" r:id="rId5"/>
    <hyperlink xmlns:r="http://schemas.openxmlformats.org/officeDocument/2006/relationships" ref="E17" location="'S1'!A1" display="▸ S1" r:id="rId6"/>
    <hyperlink xmlns:r="http://schemas.openxmlformats.org/officeDocument/2006/relationships" ref="B18" location="'S2'!A1" display="▸ S2" r:id="rId7"/>
    <hyperlink xmlns:r="http://schemas.openxmlformats.org/officeDocument/2006/relationships" ref="E18" location="'S3'!A1" display="▸ S3" r:id="rId8"/>
    <hyperlink xmlns:r="http://schemas.openxmlformats.org/officeDocument/2006/relationships" ref="B19" location="'S4'!A1" display="▸ S4" r:id="rId9"/>
    <hyperlink xmlns:r="http://schemas.openxmlformats.org/officeDocument/2006/relationships" ref="E19" location="'S5'!A1" display="▸ S5" r:id="rId10"/>
    <hyperlink xmlns:r="http://schemas.openxmlformats.org/officeDocument/2006/relationships" ref="B20" location="'S6'!A1" display="▸ S6" r:id="rId11"/>
    <hyperlink xmlns:r="http://schemas.openxmlformats.org/officeDocument/2006/relationships" ref="E20" location="'S7'!A1" display="▸ S7" r:id="rId1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F7A6E"/>
    <outlinePr summaryBelow="1" summaryRight="1"/>
    <pageSetUpPr fitToPage="0"/>
  </sheetPr>
  <dimension ref="A1:H5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06" min="1" max="1"/>
    <col width="13" customWidth="1" style="106" min="2" max="2"/>
    <col width="9" customWidth="1" style="106" min="3" max="3"/>
    <col width="26" customWidth="1" style="106" min="4" max="4"/>
    <col width="34" customWidth="1" style="106" min="5" max="5"/>
    <col width="26" customWidth="1" style="106" min="6" max="6"/>
    <col width="24" customWidth="1" style="106" min="7" max="7"/>
    <col width="7" customWidth="1" style="106" min="8" max="8"/>
    <col width="22" customWidth="1" style="106" min="9" max="10"/>
    <col width="24" customWidth="1" style="106" min="11" max="11"/>
    <col width="26" customWidth="1" style="106" min="12" max="12"/>
  </cols>
  <sheetData>
    <row r="1" ht="19.7" customHeight="1" s="107">
      <c r="A1" s="134" t="inlineStr">
        <is>
          <t>CALENDRIER 4e — année scolaire 2026-2027 (académie de Martinique) — 1 séance de 1 h 30 par semaine</t>
        </is>
      </c>
    </row>
    <row r="2" ht="27.75" customHeight="1" s="107">
      <c r="D2" s="135">
        <f>IF(COUNTIF($G$4:$G$44,"&lt;&gt;")&gt;9,"🛑 "&amp;COUNTIF($G$4:$G$44,"&lt;&gt;")&amp;" imprévus : la réserve (9) est dépassée — arbitrage nécessaire !","✔ Réserve d'aléas : "&amp;(9-COUNTIF($G$4:$G$44,"&lt;&gt;"))&amp;" semaine(s) tampon restante(s) sur 9")</f>
        <v/>
      </c>
      <c r="F2" s="136" t="inlineStr">
        <is>
          <t>◀ Accueil</t>
        </is>
      </c>
    </row>
    <row r="3" ht="28.35" customHeight="1" s="107">
      <c r="A3" s="137" t="inlineStr">
        <is>
          <t>Sem.</t>
        </is>
      </c>
      <c r="B3" s="137" t="inlineStr">
        <is>
          <t>Lundi de la semaine</t>
        </is>
      </c>
      <c r="C3" s="137" t="inlineStr">
        <is>
          <t>Période</t>
        </is>
      </c>
      <c r="D3" s="137" t="inlineStr">
        <is>
          <t>Affectation (AUTO — se recalcule)</t>
        </is>
      </c>
      <c r="E3" s="137" t="inlineStr">
        <is>
          <t>Repères / jours fériés</t>
        </is>
      </c>
      <c r="F3" s="137" t="inlineStr">
        <is>
          <t>Aléas / notes (à remplir)</t>
        </is>
      </c>
      <c r="G3" s="138" t="inlineStr">
        <is>
          <t>⚠ Imprévu ? (menu déroulant)</t>
        </is>
      </c>
      <c r="H3" s="139" t="inlineStr">
        <is>
          <t>n° créneau (auto)</t>
        </is>
      </c>
    </row>
    <row r="4" ht="15" customHeight="1" s="107">
      <c r="A4" s="140" t="inlineStr">
        <is>
          <t>S01</t>
        </is>
      </c>
      <c r="B4" s="141" t="inlineStr">
        <is>
          <t>31/08/2026</t>
        </is>
      </c>
      <c r="C4" s="140" t="inlineStr">
        <is>
          <t>P1</t>
        </is>
      </c>
      <c r="D4" s="142">
        <f>IF($G4&lt;&gt;"",$G4&amp;" — les séances suivantes se décalent d'une semaine",INDEX('⚙ Moteur'!$B$5:$B$41,$H4))</f>
        <v/>
      </c>
      <c r="E4" s="143" t="inlineStr">
        <is>
          <t>Rentrée des élèves mardi 1er septembre.</t>
        </is>
      </c>
      <c r="F4" s="144" t="n"/>
      <c r="G4" s="145" t="n"/>
      <c r="H4" s="146">
        <f>IF($G4&lt;&gt;"",0,0+1)</f>
        <v/>
      </c>
    </row>
    <row r="5" ht="15" customHeight="1" s="107">
      <c r="A5" s="140" t="inlineStr">
        <is>
          <t>S02</t>
        </is>
      </c>
      <c r="B5" s="141" t="inlineStr">
        <is>
          <t>07/09/2026</t>
        </is>
      </c>
      <c r="C5" s="140" t="inlineStr">
        <is>
          <t>P1</t>
        </is>
      </c>
      <c r="D5" s="142">
        <f>IF($G5&lt;&gt;"",$G5&amp;" — les séances suivantes se décalent d'une semaine",INDEX('⚙ Moteur'!$B$5:$B$41,$H5))</f>
        <v/>
      </c>
      <c r="E5" s="142" t="n"/>
      <c r="F5" s="144" t="n"/>
      <c r="G5" s="145" t="n"/>
      <c r="H5" s="146">
        <f>IF($G5&lt;&gt;"",H4,H4+1)</f>
        <v/>
      </c>
    </row>
    <row r="6" ht="15" customHeight="1" s="107">
      <c r="A6" s="140" t="inlineStr">
        <is>
          <t>S03</t>
        </is>
      </c>
      <c r="B6" s="141" t="inlineStr">
        <is>
          <t>14/09/2026</t>
        </is>
      </c>
      <c r="C6" s="140" t="inlineStr">
        <is>
          <t>P1</t>
        </is>
      </c>
      <c r="D6" s="142">
        <f>IF($G6&lt;&gt;"",$G6&amp;" — les séances suivantes se décalent d'une semaine",INDEX('⚙ Moteur'!$B$5:$B$41,$H6))</f>
        <v/>
      </c>
      <c r="E6" s="142" t="n"/>
      <c r="F6" s="144" t="n"/>
      <c r="G6" s="145" t="n"/>
      <c r="H6" s="146">
        <f>IF($G6&lt;&gt;"",H5,H5+1)</f>
        <v/>
      </c>
    </row>
    <row r="7" ht="15" customHeight="1" s="107">
      <c r="A7" s="140" t="inlineStr">
        <is>
          <t>S04</t>
        </is>
      </c>
      <c r="B7" s="141" t="inlineStr">
        <is>
          <t>21/09/2026</t>
        </is>
      </c>
      <c r="C7" s="140" t="inlineStr">
        <is>
          <t>P1</t>
        </is>
      </c>
      <c r="D7" s="142">
        <f>IF($G7&lt;&gt;"",$G7&amp;" — les séances suivantes se décalent d'une semaine",INDEX('⚙ Moteur'!$B$5:$B$41,$H7))</f>
        <v/>
      </c>
      <c r="E7" s="142" t="n"/>
      <c r="F7" s="144" t="n"/>
      <c r="G7" s="145" t="n"/>
      <c r="H7" s="146">
        <f>IF($G7&lt;&gt;"",H6,H6+1)</f>
        <v/>
      </c>
    </row>
    <row r="8" ht="15" customHeight="1" s="107">
      <c r="A8" s="140" t="inlineStr">
        <is>
          <t>S05</t>
        </is>
      </c>
      <c r="B8" s="141" t="inlineStr">
        <is>
          <t>28/09/2026</t>
        </is>
      </c>
      <c r="C8" s="140" t="inlineStr">
        <is>
          <t>P1</t>
        </is>
      </c>
      <c r="D8" s="142">
        <f>IF($G8&lt;&gt;"",$G8&amp;" — les séances suivantes se décalent d'une semaine",INDEX('⚙ Moteur'!$B$5:$B$41,$H8))</f>
        <v/>
      </c>
      <c r="E8" s="142" t="n"/>
      <c r="F8" s="144" t="n"/>
      <c r="G8" s="145" t="n"/>
      <c r="H8" s="146">
        <f>IF($G8&lt;&gt;"",H7,H7+1)</f>
        <v/>
      </c>
    </row>
    <row r="9" ht="15" customHeight="1" s="107">
      <c r="A9" s="140" t="inlineStr">
        <is>
          <t>S06</t>
        </is>
      </c>
      <c r="B9" s="141" t="inlineStr">
        <is>
          <t>05/10/2026</t>
        </is>
      </c>
      <c r="C9" s="140" t="inlineStr">
        <is>
          <t>P1</t>
        </is>
      </c>
      <c r="D9" s="142">
        <f>IF($G9&lt;&gt;"",$G9&amp;" — les séances suivantes se décalent d'une semaine",INDEX('⚙ Moteur'!$B$5:$B$41,$H9))</f>
        <v/>
      </c>
      <c r="E9" s="142" t="n"/>
      <c r="F9" s="144" t="n"/>
      <c r="G9" s="145" t="n"/>
      <c r="H9" s="146">
        <f>IF($G9&lt;&gt;"",H8,H8+1)</f>
        <v/>
      </c>
    </row>
    <row r="10" ht="15" customHeight="1" s="107">
      <c r="A10" s="140" t="inlineStr">
        <is>
          <t>S07</t>
        </is>
      </c>
      <c r="B10" s="141" t="inlineStr">
        <is>
          <t>12/10/2026</t>
        </is>
      </c>
      <c r="C10" s="140" t="inlineStr">
        <is>
          <t>P1</t>
        </is>
      </c>
      <c r="D10" s="142">
        <f>IF($G10&lt;&gt;"",$G10&amp;" — les séances suivantes se décalent d'une semaine",INDEX('⚙ Moteur'!$B$5:$B$41,$H10))</f>
        <v/>
      </c>
      <c r="E10" s="142" t="n"/>
      <c r="F10" s="144" t="n"/>
      <c r="G10" s="145" t="n"/>
      <c r="H10" s="146">
        <f>IF($G10&lt;&gt;"",H9,H9+1)</f>
        <v/>
      </c>
    </row>
    <row r="11" ht="23.85" customHeight="1" s="107">
      <c r="A11" s="140" t="inlineStr">
        <is>
          <t>S08</t>
        </is>
      </c>
      <c r="B11" s="141" t="inlineStr">
        <is>
          <t>19/10/2026</t>
        </is>
      </c>
      <c r="C11" s="140" t="inlineStr">
        <is>
          <t>P1</t>
        </is>
      </c>
      <c r="D11" s="142">
        <f>IF($G11&lt;&gt;"",$G11&amp;" — les séances suivantes se décalent d'une semaine",INDEX('⚙ Moteur'!$B$5:$B$41,$H11))</f>
        <v/>
      </c>
      <c r="E11" s="142" t="n"/>
      <c r="F11" s="144" t="n"/>
      <c r="G11" s="145" t="n"/>
      <c r="H11" s="146">
        <f>IF($G11&lt;&gt;"",H10,H10+1)</f>
        <v/>
      </c>
    </row>
    <row r="12" ht="15" customHeight="1" s="107">
      <c r="A12" s="136" t="inlineStr">
        <is>
          <t>🏖 Vacances de la Toussaint : 20/10 → 3/11</t>
        </is>
      </c>
    </row>
    <row r="13" ht="15" customHeight="1" s="107">
      <c r="A13" s="147" t="inlineStr">
        <is>
          <t>S09</t>
        </is>
      </c>
      <c r="B13" s="148" t="inlineStr">
        <is>
          <t>02/11/2026</t>
        </is>
      </c>
      <c r="C13" s="147" t="inlineStr">
        <is>
          <t>P2</t>
        </is>
      </c>
      <c r="D13" s="142">
        <f>IF($G13&lt;&gt;"",$G13&amp;" — les séances suivantes se décalent d'une semaine",INDEX('⚙ Moteur'!$B$5:$B$41,$H13))</f>
        <v/>
      </c>
      <c r="E13" s="142" t="n"/>
      <c r="F13" s="144" t="n"/>
      <c r="G13" s="145" t="n"/>
      <c r="H13" s="146">
        <f>IF($G13&lt;&gt;"",H11,H11+1)</f>
        <v/>
      </c>
    </row>
    <row r="14" ht="15" customHeight="1" s="107">
      <c r="A14" s="147" t="inlineStr">
        <is>
          <t>S10</t>
        </is>
      </c>
      <c r="B14" s="148" t="inlineStr">
        <is>
          <t>09/11/2026</t>
        </is>
      </c>
      <c r="C14" s="147" t="inlineStr">
        <is>
          <t>P2</t>
        </is>
      </c>
      <c r="D14" s="142">
        <f>IF($G14&lt;&gt;"",$G14&amp;" — les séances suivantes se décalent d'une semaine",INDEX('⚙ Moteur'!$B$5:$B$41,$H14))</f>
        <v/>
      </c>
      <c r="E14" s="143" t="inlineStr">
        <is>
          <t>Mer. 11/11 férié (Armistice)</t>
        </is>
      </c>
      <c r="F14" s="144" t="n"/>
      <c r="G14" s="145" t="n"/>
      <c r="H14" s="146">
        <f>IF($G14&lt;&gt;"",H13,H13+1)</f>
        <v/>
      </c>
    </row>
    <row r="15" ht="15" customHeight="1" s="107">
      <c r="A15" s="147" t="inlineStr">
        <is>
          <t>S11</t>
        </is>
      </c>
      <c r="B15" s="148" t="inlineStr">
        <is>
          <t>16/11/2026</t>
        </is>
      </c>
      <c r="C15" s="147" t="inlineStr">
        <is>
          <t>P2</t>
        </is>
      </c>
      <c r="D15" s="142">
        <f>IF($G15&lt;&gt;"",$G15&amp;" — les séances suivantes se décalent d'une semaine",INDEX('⚙ Moteur'!$B$5:$B$41,$H15))</f>
        <v/>
      </c>
      <c r="E15" s="142" t="n"/>
      <c r="F15" s="144" t="n"/>
      <c r="G15" s="145" t="n"/>
      <c r="H15" s="146">
        <f>IF($G15&lt;&gt;"",H14,H14+1)</f>
        <v/>
      </c>
    </row>
    <row r="16" ht="15" customHeight="1" s="107">
      <c r="A16" s="147" t="inlineStr">
        <is>
          <t>S12</t>
        </is>
      </c>
      <c r="B16" s="148" t="inlineStr">
        <is>
          <t>23/11/2026</t>
        </is>
      </c>
      <c r="C16" s="147" t="inlineStr">
        <is>
          <t>P2</t>
        </is>
      </c>
      <c r="D16" s="142">
        <f>IF($G16&lt;&gt;"",$G16&amp;" — les séances suivantes se décalent d'une semaine",INDEX('⚙ Moteur'!$B$5:$B$41,$H16))</f>
        <v/>
      </c>
      <c r="E16" s="142" t="n"/>
      <c r="F16" s="144" t="n"/>
      <c r="G16" s="145" t="n"/>
      <c r="H16" s="146">
        <f>IF($G16&lt;&gt;"",H15,H15+1)</f>
        <v/>
      </c>
    </row>
    <row r="17" ht="15" customHeight="1" s="107">
      <c r="A17" s="147" t="inlineStr">
        <is>
          <t>S13</t>
        </is>
      </c>
      <c r="B17" s="148" t="inlineStr">
        <is>
          <t>30/11/2026</t>
        </is>
      </c>
      <c r="C17" s="147" t="inlineStr">
        <is>
          <t>P2</t>
        </is>
      </c>
      <c r="D17" s="142">
        <f>IF($G17&lt;&gt;"",$G17&amp;" — les séances suivantes se décalent d'une semaine",INDEX('⚙ Moteur'!$B$5:$B$41,$H17))</f>
        <v/>
      </c>
      <c r="E17" s="142" t="n"/>
      <c r="F17" s="144" t="n"/>
      <c r="G17" s="145" t="n"/>
      <c r="H17" s="146">
        <f>IF($G17&lt;&gt;"",H16,H16+1)</f>
        <v/>
      </c>
    </row>
    <row r="18" ht="15" customHeight="1" s="107">
      <c r="A18" s="147" t="inlineStr">
        <is>
          <t>S14</t>
        </is>
      </c>
      <c r="B18" s="148" t="inlineStr">
        <is>
          <t>07/12/2026</t>
        </is>
      </c>
      <c r="C18" s="147" t="inlineStr">
        <is>
          <t>P2</t>
        </is>
      </c>
      <c r="D18" s="142">
        <f>IF($G18&lt;&gt;"",$G18&amp;" — les séances suivantes se décalent d'une semaine",INDEX('⚙ Moteur'!$B$5:$B$41,$H18))</f>
        <v/>
      </c>
      <c r="E18" s="142" t="n"/>
      <c r="F18" s="144" t="n"/>
      <c r="G18" s="145" t="n"/>
      <c r="H18" s="146">
        <f>IF($G18&lt;&gt;"",H17,H17+1)</f>
        <v/>
      </c>
    </row>
    <row r="19" ht="23.85" customHeight="1" s="107">
      <c r="A19" s="147" t="inlineStr">
        <is>
          <t>S15</t>
        </is>
      </c>
      <c r="B19" s="148" t="inlineStr">
        <is>
          <t>14/12/2026</t>
        </is>
      </c>
      <c r="C19" s="147" t="inlineStr">
        <is>
          <t>P2</t>
        </is>
      </c>
      <c r="D19" s="142">
        <f>IF($G19&lt;&gt;"",$G19&amp;" — les séances suivantes se décalent d'une semaine",INDEX('⚙ Moteur'!$B$5:$B$41,$H19))</f>
        <v/>
      </c>
      <c r="E19" s="142" t="n"/>
      <c r="F19" s="144" t="n"/>
      <c r="G19" s="145" t="n"/>
      <c r="H19" s="146">
        <f>IF($G19&lt;&gt;"",H18,H18+1)</f>
        <v/>
      </c>
    </row>
    <row r="20" ht="15" customHeight="1" s="107">
      <c r="A20" s="136" t="inlineStr">
        <is>
          <t>🏖 Vacances de Noël : 19/12 → 4/01</t>
        </is>
      </c>
    </row>
    <row r="21" ht="15" customHeight="1" s="107">
      <c r="A21" s="149" t="inlineStr">
        <is>
          <t>S16</t>
        </is>
      </c>
      <c r="B21" s="150" t="inlineStr">
        <is>
          <t>04/01/2027</t>
        </is>
      </c>
      <c r="C21" s="149" t="inlineStr">
        <is>
          <t>P3</t>
        </is>
      </c>
      <c r="D21" s="142">
        <f>IF($G21&lt;&gt;"",$G21&amp;" — les séances suivantes se décalent d'une semaine",INDEX('⚙ Moteur'!$B$5:$B$41,$H21))</f>
        <v/>
      </c>
      <c r="E21" s="142" t="n"/>
      <c r="F21" s="144" t="n"/>
      <c r="G21" s="145" t="n"/>
      <c r="H21" s="146">
        <f>IF($G21&lt;&gt;"",H19,H19+1)</f>
        <v/>
      </c>
    </row>
    <row r="22" ht="15" customHeight="1" s="107">
      <c r="A22" s="149" t="inlineStr">
        <is>
          <t>S17</t>
        </is>
      </c>
      <c r="B22" s="150" t="inlineStr">
        <is>
          <t>11/01/2027</t>
        </is>
      </c>
      <c r="C22" s="149" t="inlineStr">
        <is>
          <t>P3</t>
        </is>
      </c>
      <c r="D22" s="142">
        <f>IF($G22&lt;&gt;"",$G22&amp;" — les séances suivantes se décalent d'une semaine",INDEX('⚙ Moteur'!$B$5:$B$41,$H22))</f>
        <v/>
      </c>
      <c r="E22" s="142" t="n"/>
      <c r="F22" s="144" t="n"/>
      <c r="G22" s="145" t="n"/>
      <c r="H22" s="146">
        <f>IF($G22&lt;&gt;"",H21,H21+1)</f>
        <v/>
      </c>
    </row>
    <row r="23" ht="15" customHeight="1" s="107">
      <c r="A23" s="149" t="inlineStr">
        <is>
          <t>S18</t>
        </is>
      </c>
      <c r="B23" s="150" t="inlineStr">
        <is>
          <t>18/01/2027</t>
        </is>
      </c>
      <c r="C23" s="149" t="inlineStr">
        <is>
          <t>P3</t>
        </is>
      </c>
      <c r="D23" s="142">
        <f>IF($G23&lt;&gt;"",$G23&amp;" — les séances suivantes se décalent d'une semaine",INDEX('⚙ Moteur'!$B$5:$B$41,$H23))</f>
        <v/>
      </c>
      <c r="E23" s="142" t="n"/>
      <c r="F23" s="144" t="n"/>
      <c r="G23" s="145" t="n"/>
      <c r="H23" s="146">
        <f>IF($G23&lt;&gt;"",H22,H22+1)</f>
        <v/>
      </c>
    </row>
    <row r="24" ht="15" customHeight="1" s="107">
      <c r="A24" s="149" t="inlineStr">
        <is>
          <t>S19</t>
        </is>
      </c>
      <c r="B24" s="150" t="inlineStr">
        <is>
          <t>25/01/2027</t>
        </is>
      </c>
      <c r="C24" s="149" t="inlineStr">
        <is>
          <t>P3</t>
        </is>
      </c>
      <c r="D24" s="142">
        <f>IF($G24&lt;&gt;"",$G24&amp;" — les séances suivantes se décalent d'une semaine",INDEX('⚙ Moteur'!$B$5:$B$41,$H24))</f>
        <v/>
      </c>
      <c r="E24" s="142" t="n"/>
      <c r="F24" s="144" t="n"/>
      <c r="G24" s="145" t="n"/>
      <c r="H24" s="146">
        <f>IF($G24&lt;&gt;"",H23,H23+1)</f>
        <v/>
      </c>
    </row>
    <row r="25" ht="23.85" customHeight="1" s="107">
      <c r="A25" s="149" t="inlineStr">
        <is>
          <t>S20</t>
        </is>
      </c>
      <c r="B25" s="150" t="inlineStr">
        <is>
          <t>01/02/2027</t>
        </is>
      </c>
      <c r="C25" s="149" t="inlineStr">
        <is>
          <t>P3</t>
        </is>
      </c>
      <c r="D25" s="142">
        <f>IF($G25&lt;&gt;"",$G25&amp;" — les séances suivantes se décalent d'une semaine",INDEX('⚙ Moteur'!$B$5:$B$41,$H25))</f>
        <v/>
      </c>
      <c r="E25" s="142" t="n"/>
      <c r="F25" s="144" t="n"/>
      <c r="G25" s="145" t="n"/>
      <c r="H25" s="146">
        <f>IF($G25&lt;&gt;"",H24,H24+1)</f>
        <v/>
      </c>
    </row>
    <row r="26" ht="15" customHeight="1" s="107">
      <c r="A26" s="136" t="inlineStr">
        <is>
          <t>🏖 Vacances de Carnaval : 6/02 → 22/02</t>
        </is>
      </c>
    </row>
    <row r="27" ht="15" customHeight="1" s="107">
      <c r="A27" s="151" t="inlineStr">
        <is>
          <t>S21</t>
        </is>
      </c>
      <c r="B27" s="152" t="inlineStr">
        <is>
          <t>22/02/2027</t>
        </is>
      </c>
      <c r="C27" s="151" t="inlineStr">
        <is>
          <t>P4</t>
        </is>
      </c>
      <c r="D27" s="142">
        <f>IF($G27&lt;&gt;"",$G27&amp;" — les séances suivantes se décalent d'une semaine",INDEX('⚙ Moteur'!$B$5:$B$41,$H27))</f>
        <v/>
      </c>
      <c r="E27" s="142" t="n"/>
      <c r="F27" s="144" t="n"/>
      <c r="G27" s="145" t="n"/>
      <c r="H27" s="146">
        <f>IF($G27&lt;&gt;"",H25,H25+1)</f>
        <v/>
      </c>
    </row>
    <row r="28" ht="15" customHeight="1" s="107">
      <c r="A28" s="151" t="inlineStr">
        <is>
          <t>S22</t>
        </is>
      </c>
      <c r="B28" s="152" t="inlineStr">
        <is>
          <t>01/03/2027</t>
        </is>
      </c>
      <c r="C28" s="151" t="inlineStr">
        <is>
          <t>P4</t>
        </is>
      </c>
      <c r="D28" s="142">
        <f>IF($G28&lt;&gt;"",$G28&amp;" — les séances suivantes se décalent d'une semaine",INDEX('⚙ Moteur'!$B$5:$B$41,$H28))</f>
        <v/>
      </c>
      <c r="E28" s="142" t="n"/>
      <c r="F28" s="144" t="n"/>
      <c r="G28" s="145" t="n"/>
      <c r="H28" s="146">
        <f>IF($G28&lt;&gt;"",H27,H27+1)</f>
        <v/>
      </c>
    </row>
    <row r="29" ht="15" customHeight="1" s="107">
      <c r="A29" s="151" t="inlineStr">
        <is>
          <t>S23</t>
        </is>
      </c>
      <c r="B29" s="152" t="inlineStr">
        <is>
          <t>08/03/2027</t>
        </is>
      </c>
      <c r="C29" s="151" t="inlineStr">
        <is>
          <t>P4</t>
        </is>
      </c>
      <c r="D29" s="142">
        <f>IF($G29&lt;&gt;"",$G29&amp;" — les séances suivantes se décalent d'une semaine",INDEX('⚙ Moteur'!$B$5:$B$41,$H29))</f>
        <v/>
      </c>
      <c r="E29" s="142" t="n"/>
      <c r="F29" s="144" t="n"/>
      <c r="G29" s="145" t="n"/>
      <c r="H29" s="146">
        <f>IF($G29&lt;&gt;"",H28,H28+1)</f>
        <v/>
      </c>
    </row>
    <row r="30" ht="15" customHeight="1" s="107">
      <c r="A30" s="151" t="inlineStr">
        <is>
          <t>S24</t>
        </is>
      </c>
      <c r="B30" s="152" t="inlineStr">
        <is>
          <t>15/03/2027</t>
        </is>
      </c>
      <c r="C30" s="151" t="inlineStr">
        <is>
          <t>P4</t>
        </is>
      </c>
      <c r="D30" s="142">
        <f>IF($G30&lt;&gt;"",$G30&amp;" — les séances suivantes se décalent d'une semaine",INDEX('⚙ Moteur'!$B$5:$B$41,$H30))</f>
        <v/>
      </c>
      <c r="E30" s="142" t="n"/>
      <c r="F30" s="144" t="n"/>
      <c r="G30" s="145" t="n"/>
      <c r="H30" s="146">
        <f>IF($G30&lt;&gt;"",H29,H29+1)</f>
        <v/>
      </c>
    </row>
    <row r="31" ht="23.85" customHeight="1" s="107">
      <c r="A31" s="151" t="inlineStr">
        <is>
          <t>S25</t>
        </is>
      </c>
      <c r="B31" s="152" t="inlineStr">
        <is>
          <t>22/03/2027</t>
        </is>
      </c>
      <c r="C31" s="151" t="inlineStr">
        <is>
          <t>P4</t>
        </is>
      </c>
      <c r="D31" s="142">
        <f>IF($G31&lt;&gt;"",$G31&amp;" — les séances suivantes se décalent d'une semaine",INDEX('⚙ Moteur'!$B$5:$B$41,$H31))</f>
        <v/>
      </c>
      <c r="E31" s="143" t="inlineStr">
        <is>
          <t>Ven. 26/03 férié (Vendredi saint, Martinique)</t>
        </is>
      </c>
      <c r="F31" s="144" t="n"/>
      <c r="G31" s="145" t="n"/>
      <c r="H31" s="146">
        <f>IF($G31&lt;&gt;"",H30,H30+1)</f>
        <v/>
      </c>
    </row>
    <row r="32" ht="15" customHeight="1" s="107">
      <c r="A32" s="151" t="inlineStr">
        <is>
          <t>S26</t>
        </is>
      </c>
      <c r="B32" s="152" t="inlineStr">
        <is>
          <t>29/03/2027</t>
        </is>
      </c>
      <c r="C32" s="151" t="inlineStr">
        <is>
          <t>P4</t>
        </is>
      </c>
      <c r="D32" s="142">
        <f>IF($G32&lt;&gt;"",$G32&amp;" — les séances suivantes se décalent d'une semaine",INDEX('⚙ Moteur'!$B$5:$B$41,$H32))</f>
        <v/>
      </c>
      <c r="E32" s="143" t="inlineStr">
        <is>
          <t>Lun. 29/03 férié (lundi de Pâques)</t>
        </is>
      </c>
      <c r="F32" s="144" t="n"/>
      <c r="G32" s="145" t="n"/>
      <c r="H32" s="146">
        <f>IF($G32&lt;&gt;"",H31,H31+1)</f>
        <v/>
      </c>
    </row>
    <row r="33" ht="15" customHeight="1" s="107">
      <c r="A33" s="151" t="inlineStr">
        <is>
          <t>S27</t>
        </is>
      </c>
      <c r="B33" s="152" t="inlineStr">
        <is>
          <t>05/04/2027</t>
        </is>
      </c>
      <c r="C33" s="151" t="inlineStr">
        <is>
          <t>P4</t>
        </is>
      </c>
      <c r="D33" s="142">
        <f>IF($G33&lt;&gt;"",$G33&amp;" — les séances suivantes se décalent d'une semaine",INDEX('⚙ Moteur'!$B$5:$B$41,$H33))</f>
        <v/>
      </c>
      <c r="E33" s="142" t="n"/>
      <c r="F33" s="144" t="n"/>
      <c r="G33" s="145" t="n"/>
      <c r="H33" s="146">
        <f>IF($G33&lt;&gt;"",H32,H32+1)</f>
        <v/>
      </c>
    </row>
    <row r="34" ht="15" customHeight="1" s="107">
      <c r="A34" s="151" t="inlineStr">
        <is>
          <t>S28</t>
        </is>
      </c>
      <c r="B34" s="152" t="inlineStr">
        <is>
          <t>12/04/2027</t>
        </is>
      </c>
      <c r="C34" s="151" t="inlineStr">
        <is>
          <t>P4</t>
        </is>
      </c>
      <c r="D34" s="142">
        <f>IF($G34&lt;&gt;"",$G34&amp;" — les séances suivantes se décalent d'une semaine",INDEX('⚙ Moteur'!$B$5:$B$41,$H34))</f>
        <v/>
      </c>
      <c r="E34" s="142" t="n"/>
      <c r="F34" s="144" t="n"/>
      <c r="G34" s="145" t="n"/>
      <c r="H34" s="146">
        <f>IF($G34&lt;&gt;"",H33,H33+1)</f>
        <v/>
      </c>
    </row>
    <row r="35" ht="15" customHeight="1" s="107">
      <c r="A35" s="136" t="inlineStr">
        <is>
          <t>🏖 Vacances de Pâques : 20/04 → 3/05</t>
        </is>
      </c>
    </row>
    <row r="36" ht="23.85" customHeight="1" s="107">
      <c r="A36" s="153" t="inlineStr">
        <is>
          <t>S29</t>
        </is>
      </c>
      <c r="B36" s="154" t="inlineStr">
        <is>
          <t>03/05/2027</t>
        </is>
      </c>
      <c r="C36" s="153" t="inlineStr">
        <is>
          <t>P5</t>
        </is>
      </c>
      <c r="D36" s="142">
        <f>IF($G36&lt;&gt;"",$G36&amp;" — les séances suivantes se décalent d'une semaine",INDEX('⚙ Moteur'!$B$5:$B$41,$H36))</f>
        <v/>
      </c>
      <c r="E36" s="143" t="inlineStr">
        <is>
          <t>Jeu. 6/05 férié (Ascension) — pont probable ven. 7/05</t>
        </is>
      </c>
      <c r="F36" s="144" t="n"/>
      <c r="G36" s="145" t="n"/>
      <c r="H36" s="146">
        <f>IF($G36&lt;&gt;"",H34,H34+1)</f>
        <v/>
      </c>
    </row>
    <row r="37" ht="15" customHeight="1" s="107">
      <c r="A37" s="153" t="inlineStr">
        <is>
          <t>S30</t>
        </is>
      </c>
      <c r="B37" s="154" t="inlineStr">
        <is>
          <t>10/05/2027</t>
        </is>
      </c>
      <c r="C37" s="153" t="inlineStr">
        <is>
          <t>P5</t>
        </is>
      </c>
      <c r="D37" s="142">
        <f>IF($G37&lt;&gt;"",$G37&amp;" — les séances suivantes se décalent d'une semaine",INDEX('⚙ Moteur'!$B$5:$B$41,$H37))</f>
        <v/>
      </c>
      <c r="E37" s="142" t="n"/>
      <c r="F37" s="144" t="n"/>
      <c r="G37" s="145" t="n"/>
      <c r="H37" s="146">
        <f>IF($G37&lt;&gt;"",H36,H36+1)</f>
        <v/>
      </c>
    </row>
    <row r="38" ht="35.05" customHeight="1" s="107">
      <c r="A38" s="153" t="inlineStr">
        <is>
          <t>S31</t>
        </is>
      </c>
      <c r="B38" s="154" t="inlineStr">
        <is>
          <t>17/05/2027</t>
        </is>
      </c>
      <c r="C38" s="153" t="inlineStr">
        <is>
          <t>P5</t>
        </is>
      </c>
      <c r="D38" s="142">
        <f>IF($G38&lt;&gt;"",$G38&amp;" — les séances suivantes se décalent d'une semaine",INDEX('⚙ Moteur'!$B$5:$B$41,$H38))</f>
        <v/>
      </c>
      <c r="E38" s="143" t="inlineStr">
        <is>
          <t>Lun. 17/05 férié (Pentecôte); Ven. 21/05 : veille du 22 mai (abolition) — commémorations</t>
        </is>
      </c>
      <c r="F38" s="144" t="n"/>
      <c r="G38" s="145" t="n"/>
      <c r="H38" s="146">
        <f>IF($G38&lt;&gt;"",H37,H37+1)</f>
        <v/>
      </c>
    </row>
    <row r="39" ht="15" customHeight="1" s="107">
      <c r="A39" s="153" t="inlineStr">
        <is>
          <t>S32</t>
        </is>
      </c>
      <c r="B39" s="154" t="inlineStr">
        <is>
          <t>24/05/2027</t>
        </is>
      </c>
      <c r="C39" s="153" t="inlineStr">
        <is>
          <t>P5</t>
        </is>
      </c>
      <c r="D39" s="142">
        <f>IF($G39&lt;&gt;"",$G39&amp;" — les séances suivantes se décalent d'une semaine",INDEX('⚙ Moteur'!$B$5:$B$41,$H39))</f>
        <v/>
      </c>
      <c r="E39" s="142" t="n"/>
      <c r="F39" s="144" t="n"/>
      <c r="G39" s="145" t="n"/>
      <c r="H39" s="146">
        <f>IF($G39&lt;&gt;"",H38,H38+1)</f>
        <v/>
      </c>
    </row>
    <row r="40" ht="15" customHeight="1" s="107">
      <c r="A40" s="153" t="inlineStr">
        <is>
          <t>S33</t>
        </is>
      </c>
      <c r="B40" s="154" t="inlineStr">
        <is>
          <t>31/05/2027</t>
        </is>
      </c>
      <c r="C40" s="153" t="inlineStr">
        <is>
          <t>P5</t>
        </is>
      </c>
      <c r="D40" s="142">
        <f>IF($G40&lt;&gt;"",$G40&amp;" — les séances suivantes se décalent d'une semaine",INDEX('⚙ Moteur'!$B$5:$B$41,$H40))</f>
        <v/>
      </c>
      <c r="E40" s="142" t="n"/>
      <c r="F40" s="144" t="n"/>
      <c r="G40" s="145" t="n"/>
      <c r="H40" s="146">
        <f>IF($G40&lt;&gt;"",H39,H39+1)</f>
        <v/>
      </c>
    </row>
    <row r="41" ht="15" customHeight="1" s="107">
      <c r="A41" s="153" t="inlineStr">
        <is>
          <t>S34</t>
        </is>
      </c>
      <c r="B41" s="154" t="inlineStr">
        <is>
          <t>07/06/2027</t>
        </is>
      </c>
      <c r="C41" s="153" t="inlineStr">
        <is>
          <t>P5</t>
        </is>
      </c>
      <c r="D41" s="142">
        <f>IF($G41&lt;&gt;"",$G41&amp;" — les séances suivantes se décalent d'une semaine",INDEX('⚙ Moteur'!$B$5:$B$41,$H41))</f>
        <v/>
      </c>
      <c r="E41" s="142" t="n"/>
      <c r="F41" s="144" t="n"/>
      <c r="G41" s="145" t="n"/>
      <c r="H41" s="146">
        <f>IF($G41&lt;&gt;"",H40,H40+1)</f>
        <v/>
      </c>
    </row>
    <row r="42" ht="23.85" customHeight="1" s="107">
      <c r="A42" s="153" t="inlineStr">
        <is>
          <t>S35</t>
        </is>
      </c>
      <c r="B42" s="154" t="inlineStr">
        <is>
          <t>14/06/2027</t>
        </is>
      </c>
      <c r="C42" s="153" t="inlineStr">
        <is>
          <t>P5</t>
        </is>
      </c>
      <c r="D42" s="142">
        <f>IF($G42&lt;&gt;"",$G42&amp;" — les séances suivantes se décalent d'une semaine",INDEX('⚙ Moteur'!$B$5:$B$41,$H42))</f>
        <v/>
      </c>
      <c r="E42" s="142" t="n"/>
      <c r="F42" s="144" t="n"/>
      <c r="G42" s="145" t="n"/>
      <c r="H42" s="146">
        <f>IF($G42&lt;&gt;"",H41,H41+1)</f>
        <v/>
      </c>
    </row>
    <row r="43" ht="23.85" customHeight="1" s="107">
      <c r="A43" s="153" t="inlineStr">
        <is>
          <t>S36</t>
        </is>
      </c>
      <c r="B43" s="154" t="inlineStr">
        <is>
          <t>21/06/2027</t>
        </is>
      </c>
      <c r="C43" s="153" t="inlineStr">
        <is>
          <t>P5</t>
        </is>
      </c>
      <c r="D43" s="142">
        <f>IF($G43&lt;&gt;"",$G43&amp;" — les séances suivantes se décalent d'une semaine",INDEX('⚙ Moteur'!$B$5:$B$41,$H43))</f>
        <v/>
      </c>
      <c r="E43" s="142" t="n"/>
      <c r="F43" s="144" t="n"/>
      <c r="G43" s="145" t="n"/>
      <c r="H43" s="146">
        <f>IF($G43&lt;&gt;"",H42,H42+1)</f>
        <v/>
      </c>
    </row>
    <row r="44" ht="23.85" customHeight="1" s="107">
      <c r="A44" s="153" t="inlineStr">
        <is>
          <t>S37</t>
        </is>
      </c>
      <c r="B44" s="154" t="inlineStr">
        <is>
          <t>28/06/2027</t>
        </is>
      </c>
      <c r="C44" s="153" t="inlineStr">
        <is>
          <t>P5</t>
        </is>
      </c>
      <c r="D44" s="142">
        <f>IF($G44&lt;&gt;"",$G44&amp;" — les séances suivantes se décalent d'une semaine",INDEX('⚙ Moteur'!$B$5:$B$41,$H44))</f>
        <v/>
      </c>
      <c r="E44" s="142" t="n"/>
      <c r="F44" s="144" t="n"/>
      <c r="G44" s="145" t="n"/>
      <c r="H44" s="146">
        <f>IF($G44&lt;&gt;"",H43,H43+1)</f>
        <v/>
      </c>
    </row>
    <row r="45" ht="15" customHeight="1" s="107">
      <c r="A45" s="136" t="inlineStr">
        <is>
          <t>🏖 Fin des cours : 3 juillet 2027</t>
        </is>
      </c>
    </row>
    <row r="47" ht="15" customHeight="1" s="107">
      <c r="A47" s="155" t="inlineStr">
        <is>
          <t>Synthèse</t>
        </is>
      </c>
    </row>
    <row r="48" ht="15" customHeight="1" s="107">
      <c r="B48" s="156" t="inlineStr">
        <is>
          <t>Semaines de cours au total</t>
        </is>
      </c>
      <c r="C48" s="156" t="n">
        <v>37</v>
      </c>
    </row>
    <row r="49" ht="15" customHeight="1" s="107">
      <c r="B49" s="156" t="inlineStr">
        <is>
          <t>… dont semaines tampon</t>
        </is>
      </c>
      <c r="C49" s="156">
        <f>COUNTIF(D4:D44,"⏳*")</f>
        <v/>
      </c>
    </row>
    <row r="50" ht="15" customHeight="1" s="107">
      <c r="B50" s="156" t="inlineStr">
        <is>
          <t>… dont semaines avec séance planifiée</t>
        </is>
      </c>
      <c r="C50" s="156">
        <f>COUNTIF(D4:D44,"S*")</f>
        <v/>
      </c>
    </row>
    <row r="51" ht="15" customHeight="1" s="107">
      <c r="B51" s="133" t="inlineStr">
        <is>
          <t>Moteur automatique : marquer un ⚠ imprévu en colonne G décale toutes les séances suivantes (calendrier, frise et progression se recalculent). Un jour férié sur ton créneau = un imprévu à marquer aussi.</t>
        </is>
      </c>
    </row>
  </sheetData>
  <mergeCells count="7">
    <mergeCell ref="A12:H12"/>
    <mergeCell ref="A26:H26"/>
    <mergeCell ref="D2:E2"/>
    <mergeCell ref="A35:H35"/>
    <mergeCell ref="A20:H20"/>
    <mergeCell ref="A45:H45"/>
    <mergeCell ref="B51:H51"/>
  </mergeCells>
  <conditionalFormatting sqref="D4:D44">
    <cfRule type="expression" rank="0" priority="2" equalAverage="0" aboveAverage="0" dxfId="0" text="" percent="0" bottom="0">
      <formula>LEFT(D4,1)="⏳"</formula>
    </cfRule>
    <cfRule type="expression" rank="0" priority="3" equalAverage="0" aboveAverage="0" dxfId="1" text="" percent="0" bottom="0">
      <formula>LEFT(D4,1)="⚠"</formula>
    </cfRule>
  </conditionalFormatting>
  <dataValidations count="1">
    <dataValidation sqref="G4:G11 G13:G19 G21:G25 G27:G34 G36:G44" showDropDown="0" showInputMessage="0" showErrorMessage="0" allowBlank="1" type="list" errorStyle="stop" operator="between">
      <formula1>"⚠ Absence professeur,⚠ Formation / réunion,⚠ Sortie scolaire,⚠ Voyage,⚠ Fête de la science,⚠ Manifestation (collègue),⚠ Classe absente,⚠ Jour férié / pont,⚠ Intempéries,⚠ Problème technique,⚠ Remplacement,⚠ Autre imprévu"</formula1>
      <formula2>0</formula2>
    </dataValidation>
  </dataValidations>
  <hyperlinks>
    <hyperlink xmlns:r="http://schemas.openxmlformats.org/officeDocument/2006/relationships" ref="F2" location="'🏠%20Accueil'!A1" display="◀ Accueil"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F7A6E"/>
    <outlinePr summaryBelow="1" summaryRight="1"/>
    <pageSetUpPr fitToPage="0"/>
  </sheetPr>
  <dimension ref="A1:AM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06" min="1" max="1"/>
    <col width="36" customWidth="1" style="106" min="2" max="2"/>
    <col width="4.2" customWidth="1" style="106" min="3" max="39"/>
  </cols>
  <sheetData>
    <row r="1" ht="18.55" customHeight="1" s="107">
      <c r="A1" s="157" t="inlineStr">
        <is>
          <t>FRISE DE L'ANNÉE 4e — se recalcule automatiquement selon les imprévus du Calendrier</t>
        </is>
      </c>
    </row>
    <row r="2" ht="30" customHeight="1" s="107">
      <c r="B2" s="158">
        <f>'📅 Calendrier'!D2</f>
        <v/>
      </c>
      <c r="P2" s="136" t="inlineStr">
        <is>
          <t>◀ Accueil</t>
        </is>
      </c>
    </row>
    <row r="3" ht="15" customHeight="1" s="107">
      <c r="C3" s="159" t="inlineStr">
        <is>
          <t>P1 (8 sem.)</t>
        </is>
      </c>
      <c r="K3" s="160" t="inlineStr">
        <is>
          <t>P2 (7 sem.)</t>
        </is>
      </c>
      <c r="R3" s="161" t="inlineStr">
        <is>
          <t>P3 (5 sem.)</t>
        </is>
      </c>
      <c r="W3" s="162" t="inlineStr">
        <is>
          <t>P4 (8 sem.)</t>
        </is>
      </c>
      <c r="AE3" s="163" t="inlineStr">
        <is>
          <t>P5 (9 sem.)</t>
        </is>
      </c>
    </row>
    <row r="4" ht="15" customHeight="1" s="107">
      <c r="C4" s="164" t="inlineStr">
        <is>
          <t>S01</t>
        </is>
      </c>
      <c r="D4" s="164" t="inlineStr">
        <is>
          <t>S02</t>
        </is>
      </c>
      <c r="E4" s="164" t="inlineStr">
        <is>
          <t>S03</t>
        </is>
      </c>
      <c r="F4" s="164" t="inlineStr">
        <is>
          <t>S04</t>
        </is>
      </c>
      <c r="G4" s="164" t="inlineStr">
        <is>
          <t>S05</t>
        </is>
      </c>
      <c r="H4" s="164" t="inlineStr">
        <is>
          <t>S06</t>
        </is>
      </c>
      <c r="I4" s="164" t="inlineStr">
        <is>
          <t>S07</t>
        </is>
      </c>
      <c r="J4" s="164" t="inlineStr">
        <is>
          <t>S08</t>
        </is>
      </c>
      <c r="K4" s="165" t="inlineStr">
        <is>
          <t>S09</t>
        </is>
      </c>
      <c r="L4" s="165" t="inlineStr">
        <is>
          <t>S10</t>
        </is>
      </c>
      <c r="M4" s="165" t="inlineStr">
        <is>
          <t>S11</t>
        </is>
      </c>
      <c r="N4" s="165" t="inlineStr">
        <is>
          <t>S12</t>
        </is>
      </c>
      <c r="O4" s="165" t="inlineStr">
        <is>
          <t>S13</t>
        </is>
      </c>
      <c r="P4" s="165" t="inlineStr">
        <is>
          <t>S14</t>
        </is>
      </c>
      <c r="Q4" s="165" t="inlineStr">
        <is>
          <t>S15</t>
        </is>
      </c>
      <c r="R4" s="166" t="inlineStr">
        <is>
          <t>S16</t>
        </is>
      </c>
      <c r="S4" s="166" t="inlineStr">
        <is>
          <t>S17</t>
        </is>
      </c>
      <c r="T4" s="166" t="inlineStr">
        <is>
          <t>S18</t>
        </is>
      </c>
      <c r="U4" s="166" t="inlineStr">
        <is>
          <t>S19</t>
        </is>
      </c>
      <c r="V4" s="166" t="inlineStr">
        <is>
          <t>S20</t>
        </is>
      </c>
      <c r="W4" s="167" t="inlineStr">
        <is>
          <t>S21</t>
        </is>
      </c>
      <c r="X4" s="167" t="inlineStr">
        <is>
          <t>S22</t>
        </is>
      </c>
      <c r="Y4" s="167" t="inlineStr">
        <is>
          <t>S23</t>
        </is>
      </c>
      <c r="Z4" s="167" t="inlineStr">
        <is>
          <t>S24</t>
        </is>
      </c>
      <c r="AA4" s="167" t="inlineStr">
        <is>
          <t>S25</t>
        </is>
      </c>
      <c r="AB4" s="167" t="inlineStr">
        <is>
          <t>S26</t>
        </is>
      </c>
      <c r="AC4" s="167" t="inlineStr">
        <is>
          <t>S27</t>
        </is>
      </c>
      <c r="AD4" s="167" t="inlineStr">
        <is>
          <t>S28</t>
        </is>
      </c>
      <c r="AE4" s="168" t="inlineStr">
        <is>
          <t>S29</t>
        </is>
      </c>
      <c r="AF4" s="168" t="inlineStr">
        <is>
          <t>S30</t>
        </is>
      </c>
      <c r="AG4" s="168" t="inlineStr">
        <is>
          <t>S31</t>
        </is>
      </c>
      <c r="AH4" s="168" t="inlineStr">
        <is>
          <t>S32</t>
        </is>
      </c>
      <c r="AI4" s="168" t="inlineStr">
        <is>
          <t>S33</t>
        </is>
      </c>
      <c r="AJ4" s="168" t="inlineStr">
        <is>
          <t>S34</t>
        </is>
      </c>
      <c r="AK4" s="168" t="inlineStr">
        <is>
          <t>S35</t>
        </is>
      </c>
      <c r="AL4" s="168" t="inlineStr">
        <is>
          <t>S36</t>
        </is>
      </c>
      <c r="AM4" s="168" t="inlineStr">
        <is>
          <t>S37</t>
        </is>
      </c>
    </row>
    <row r="5" ht="33.75" customHeight="1" s="107">
      <c r="C5" s="169" t="inlineStr">
        <is>
          <t>31/08</t>
        </is>
      </c>
      <c r="D5" s="169" t="inlineStr">
        <is>
          <t>07/09</t>
        </is>
      </c>
      <c r="E5" s="169" t="inlineStr">
        <is>
          <t>14/09</t>
        </is>
      </c>
      <c r="F5" s="169" t="inlineStr">
        <is>
          <t>21/09</t>
        </is>
      </c>
      <c r="G5" s="169" t="inlineStr">
        <is>
          <t>28/09</t>
        </is>
      </c>
      <c r="H5" s="169" t="inlineStr">
        <is>
          <t>05/10</t>
        </is>
      </c>
      <c r="I5" s="169" t="inlineStr">
        <is>
          <t>12/10</t>
        </is>
      </c>
      <c r="J5" s="169" t="inlineStr">
        <is>
          <t>19/10</t>
        </is>
      </c>
      <c r="K5" s="169" t="inlineStr">
        <is>
          <t>02/11</t>
        </is>
      </c>
      <c r="L5" s="169" t="inlineStr">
        <is>
          <t>09/11</t>
        </is>
      </c>
      <c r="M5" s="169" t="inlineStr">
        <is>
          <t>16/11</t>
        </is>
      </c>
      <c r="N5" s="169" t="inlineStr">
        <is>
          <t>23/11</t>
        </is>
      </c>
      <c r="O5" s="169" t="inlineStr">
        <is>
          <t>30/11</t>
        </is>
      </c>
      <c r="P5" s="169" t="inlineStr">
        <is>
          <t>07/12</t>
        </is>
      </c>
      <c r="Q5" s="169" t="inlineStr">
        <is>
          <t>14/12</t>
        </is>
      </c>
      <c r="R5" s="169" t="inlineStr">
        <is>
          <t>04/01</t>
        </is>
      </c>
      <c r="S5" s="169" t="inlineStr">
        <is>
          <t>11/01</t>
        </is>
      </c>
      <c r="T5" s="169" t="inlineStr">
        <is>
          <t>18/01</t>
        </is>
      </c>
      <c r="U5" s="169" t="inlineStr">
        <is>
          <t>25/01</t>
        </is>
      </c>
      <c r="V5" s="169" t="inlineStr">
        <is>
          <t>01/02</t>
        </is>
      </c>
      <c r="W5" s="169" t="inlineStr">
        <is>
          <t>22/02</t>
        </is>
      </c>
      <c r="X5" s="169" t="inlineStr">
        <is>
          <t>01/03</t>
        </is>
      </c>
      <c r="Y5" s="169" t="inlineStr">
        <is>
          <t>08/03</t>
        </is>
      </c>
      <c r="Z5" s="169" t="inlineStr">
        <is>
          <t>15/03</t>
        </is>
      </c>
      <c r="AA5" s="169" t="inlineStr">
        <is>
          <t>22/03</t>
        </is>
      </c>
      <c r="AB5" s="169" t="inlineStr">
        <is>
          <t>29/03</t>
        </is>
      </c>
      <c r="AC5" s="169" t="inlineStr">
        <is>
          <t>05/04</t>
        </is>
      </c>
      <c r="AD5" s="169" t="inlineStr">
        <is>
          <t>12/04</t>
        </is>
      </c>
      <c r="AE5" s="169" t="inlineStr">
        <is>
          <t>03/05</t>
        </is>
      </c>
      <c r="AF5" s="169" t="inlineStr">
        <is>
          <t>10/05</t>
        </is>
      </c>
      <c r="AG5" s="169" t="inlineStr">
        <is>
          <t>17/05</t>
        </is>
      </c>
      <c r="AH5" s="169" t="inlineStr">
        <is>
          <t>24/05</t>
        </is>
      </c>
      <c r="AI5" s="169" t="inlineStr">
        <is>
          <t>31/05</t>
        </is>
      </c>
      <c r="AJ5" s="169" t="inlineStr">
        <is>
          <t>07/06</t>
        </is>
      </c>
      <c r="AK5" s="169" t="inlineStr">
        <is>
          <t>14/06</t>
        </is>
      </c>
      <c r="AL5" s="169" t="inlineStr">
        <is>
          <t>21/06</t>
        </is>
      </c>
      <c r="AM5" s="169" t="inlineStr">
        <is>
          <t>28/06</t>
        </is>
      </c>
    </row>
    <row r="6" ht="15" customHeight="1" s="107">
      <c r="B6" s="170" t="inlineStr">
        <is>
          <t>S1 · Objets qui évoluent</t>
        </is>
      </c>
      <c r="C6" s="171">
        <f>IF(LEFT('📅 Calendrier'!$D4,2)="S1",MID('📅 Calendrier'!$D4,SEARCH("séance",'📅 Calendrier'!$D4)+7,2),"")</f>
        <v/>
      </c>
      <c r="D6" s="171">
        <f>IF(LEFT('📅 Calendrier'!$D5,2)="S1",MID('📅 Calendrier'!$D5,SEARCH("séance",'📅 Calendrier'!$D5)+7,2),"")</f>
        <v/>
      </c>
      <c r="E6" s="171">
        <f>IF(LEFT('📅 Calendrier'!$D6,2)="S1",MID('📅 Calendrier'!$D6,SEARCH("séance",'📅 Calendrier'!$D6)+7,2),"")</f>
        <v/>
      </c>
      <c r="F6" s="171">
        <f>IF(LEFT('📅 Calendrier'!$D7,2)="S1",MID('📅 Calendrier'!$D7,SEARCH("séance",'📅 Calendrier'!$D7)+7,2),"")</f>
        <v/>
      </c>
      <c r="G6" s="171">
        <f>IF(LEFT('📅 Calendrier'!$D8,2)="S1",MID('📅 Calendrier'!$D8,SEARCH("séance",'📅 Calendrier'!$D8)+7,2),"")</f>
        <v/>
      </c>
      <c r="H6" s="171">
        <f>IF(LEFT('📅 Calendrier'!$D9,2)="S1",MID('📅 Calendrier'!$D9,SEARCH("séance",'📅 Calendrier'!$D9)+7,2),"")</f>
        <v/>
      </c>
      <c r="I6" s="171">
        <f>IF(LEFT('📅 Calendrier'!$D10,2)="S1",MID('📅 Calendrier'!$D10,SEARCH("séance",'📅 Calendrier'!$D10)+7,2),"")</f>
        <v/>
      </c>
      <c r="J6" s="171">
        <f>IF(LEFT('📅 Calendrier'!$D11,2)="S1",MID('📅 Calendrier'!$D11,SEARCH("séance",'📅 Calendrier'!$D11)+7,2),"")</f>
        <v/>
      </c>
      <c r="K6" s="171">
        <f>IF(LEFT('📅 Calendrier'!$D13,2)="S1",MID('📅 Calendrier'!$D13,SEARCH("séance",'📅 Calendrier'!$D13)+7,2),"")</f>
        <v/>
      </c>
      <c r="L6" s="171">
        <f>IF(LEFT('📅 Calendrier'!$D14,2)="S1",MID('📅 Calendrier'!$D14,SEARCH("séance",'📅 Calendrier'!$D14)+7,2),"")</f>
        <v/>
      </c>
      <c r="M6" s="171">
        <f>IF(LEFT('📅 Calendrier'!$D15,2)="S1",MID('📅 Calendrier'!$D15,SEARCH("séance",'📅 Calendrier'!$D15)+7,2),"")</f>
        <v/>
      </c>
      <c r="N6" s="171">
        <f>IF(LEFT('📅 Calendrier'!$D16,2)="S1",MID('📅 Calendrier'!$D16,SEARCH("séance",'📅 Calendrier'!$D16)+7,2),"")</f>
        <v/>
      </c>
      <c r="O6" s="171">
        <f>IF(LEFT('📅 Calendrier'!$D17,2)="S1",MID('📅 Calendrier'!$D17,SEARCH("séance",'📅 Calendrier'!$D17)+7,2),"")</f>
        <v/>
      </c>
      <c r="P6" s="171">
        <f>IF(LEFT('📅 Calendrier'!$D18,2)="S1",MID('📅 Calendrier'!$D18,SEARCH("séance",'📅 Calendrier'!$D18)+7,2),"")</f>
        <v/>
      </c>
      <c r="Q6" s="171">
        <f>IF(LEFT('📅 Calendrier'!$D19,2)="S1",MID('📅 Calendrier'!$D19,SEARCH("séance",'📅 Calendrier'!$D19)+7,2),"")</f>
        <v/>
      </c>
      <c r="R6" s="171">
        <f>IF(LEFT('📅 Calendrier'!$D21,2)="S1",MID('📅 Calendrier'!$D21,SEARCH("séance",'📅 Calendrier'!$D21)+7,2),"")</f>
        <v/>
      </c>
      <c r="S6" s="171">
        <f>IF(LEFT('📅 Calendrier'!$D22,2)="S1",MID('📅 Calendrier'!$D22,SEARCH("séance",'📅 Calendrier'!$D22)+7,2),"")</f>
        <v/>
      </c>
      <c r="T6" s="171">
        <f>IF(LEFT('📅 Calendrier'!$D23,2)="S1",MID('📅 Calendrier'!$D23,SEARCH("séance",'📅 Calendrier'!$D23)+7,2),"")</f>
        <v/>
      </c>
      <c r="U6" s="171">
        <f>IF(LEFT('📅 Calendrier'!$D24,2)="S1",MID('📅 Calendrier'!$D24,SEARCH("séance",'📅 Calendrier'!$D24)+7,2),"")</f>
        <v/>
      </c>
      <c r="V6" s="171">
        <f>IF(LEFT('📅 Calendrier'!$D25,2)="S1",MID('📅 Calendrier'!$D25,SEARCH("séance",'📅 Calendrier'!$D25)+7,2),"")</f>
        <v/>
      </c>
      <c r="W6" s="171">
        <f>IF(LEFT('📅 Calendrier'!$D27,2)="S1",MID('📅 Calendrier'!$D27,SEARCH("séance",'📅 Calendrier'!$D27)+7,2),"")</f>
        <v/>
      </c>
      <c r="X6" s="171">
        <f>IF(LEFT('📅 Calendrier'!$D28,2)="S1",MID('📅 Calendrier'!$D28,SEARCH("séance",'📅 Calendrier'!$D28)+7,2),"")</f>
        <v/>
      </c>
      <c r="Y6" s="171">
        <f>IF(LEFT('📅 Calendrier'!$D29,2)="S1",MID('📅 Calendrier'!$D29,SEARCH("séance",'📅 Calendrier'!$D29)+7,2),"")</f>
        <v/>
      </c>
      <c r="Z6" s="171">
        <f>IF(LEFT('📅 Calendrier'!$D30,2)="S1",MID('📅 Calendrier'!$D30,SEARCH("séance",'📅 Calendrier'!$D30)+7,2),"")</f>
        <v/>
      </c>
      <c r="AA6" s="171">
        <f>IF(LEFT('📅 Calendrier'!$D31,2)="S1",MID('📅 Calendrier'!$D31,SEARCH("séance",'📅 Calendrier'!$D31)+7,2),"")</f>
        <v/>
      </c>
      <c r="AB6" s="171">
        <f>IF(LEFT('📅 Calendrier'!$D32,2)="S1",MID('📅 Calendrier'!$D32,SEARCH("séance",'📅 Calendrier'!$D32)+7,2),"")</f>
        <v/>
      </c>
      <c r="AC6" s="171">
        <f>IF(LEFT('📅 Calendrier'!$D33,2)="S1",MID('📅 Calendrier'!$D33,SEARCH("séance",'📅 Calendrier'!$D33)+7,2),"")</f>
        <v/>
      </c>
      <c r="AD6" s="171">
        <f>IF(LEFT('📅 Calendrier'!$D34,2)="S1",MID('📅 Calendrier'!$D34,SEARCH("séance",'📅 Calendrier'!$D34)+7,2),"")</f>
        <v/>
      </c>
      <c r="AE6" s="171">
        <f>IF(LEFT('📅 Calendrier'!$D36,2)="S1",MID('📅 Calendrier'!$D36,SEARCH("séance",'📅 Calendrier'!$D36)+7,2),"")</f>
        <v/>
      </c>
      <c r="AF6" s="171">
        <f>IF(LEFT('📅 Calendrier'!$D37,2)="S1",MID('📅 Calendrier'!$D37,SEARCH("séance",'📅 Calendrier'!$D37)+7,2),"")</f>
        <v/>
      </c>
      <c r="AG6" s="171">
        <f>IF(LEFT('📅 Calendrier'!$D38,2)="S1",MID('📅 Calendrier'!$D38,SEARCH("séance",'📅 Calendrier'!$D38)+7,2),"")</f>
        <v/>
      </c>
      <c r="AH6" s="171">
        <f>IF(LEFT('📅 Calendrier'!$D39,2)="S1",MID('📅 Calendrier'!$D39,SEARCH("séance",'📅 Calendrier'!$D39)+7,2),"")</f>
        <v/>
      </c>
      <c r="AI6" s="171">
        <f>IF(LEFT('📅 Calendrier'!$D40,2)="S1",MID('📅 Calendrier'!$D40,SEARCH("séance",'📅 Calendrier'!$D40)+7,2),"")</f>
        <v/>
      </c>
      <c r="AJ6" s="171">
        <f>IF(LEFT('📅 Calendrier'!$D41,2)="S1",MID('📅 Calendrier'!$D41,SEARCH("séance",'📅 Calendrier'!$D41)+7,2),"")</f>
        <v/>
      </c>
      <c r="AK6" s="171">
        <f>IF(LEFT('📅 Calendrier'!$D42,2)="S1",MID('📅 Calendrier'!$D42,SEARCH("séance",'📅 Calendrier'!$D42)+7,2),"")</f>
        <v/>
      </c>
      <c r="AL6" s="171">
        <f>IF(LEFT('📅 Calendrier'!$D43,2)="S1",MID('📅 Calendrier'!$D43,SEARCH("séance",'📅 Calendrier'!$D43)+7,2),"")</f>
        <v/>
      </c>
      <c r="AM6" s="171">
        <f>IF(LEFT('📅 Calendrier'!$D44,2)="S1",MID('📅 Calendrier'!$D44,SEARCH("séance",'📅 Calendrier'!$D44)+7,2),"")</f>
        <v/>
      </c>
    </row>
    <row r="7" ht="15" customHeight="1" s="107">
      <c r="B7" s="170" t="inlineStr">
        <is>
          <t>S2 · Identité numérique</t>
        </is>
      </c>
      <c r="C7" s="171">
        <f>IF(LEFT('📅 Calendrier'!$D4,2)="S2",MID('📅 Calendrier'!$D4,SEARCH("séance",'📅 Calendrier'!$D4)+7,2),"")</f>
        <v/>
      </c>
      <c r="D7" s="171">
        <f>IF(LEFT('📅 Calendrier'!$D5,2)="S2",MID('📅 Calendrier'!$D5,SEARCH("séance",'📅 Calendrier'!$D5)+7,2),"")</f>
        <v/>
      </c>
      <c r="E7" s="171">
        <f>IF(LEFT('📅 Calendrier'!$D6,2)="S2",MID('📅 Calendrier'!$D6,SEARCH("séance",'📅 Calendrier'!$D6)+7,2),"")</f>
        <v/>
      </c>
      <c r="F7" s="171">
        <f>IF(LEFT('📅 Calendrier'!$D7,2)="S2",MID('📅 Calendrier'!$D7,SEARCH("séance",'📅 Calendrier'!$D7)+7,2),"")</f>
        <v/>
      </c>
      <c r="G7" s="171">
        <f>IF(LEFT('📅 Calendrier'!$D8,2)="S2",MID('📅 Calendrier'!$D8,SEARCH("séance",'📅 Calendrier'!$D8)+7,2),"")</f>
        <v/>
      </c>
      <c r="H7" s="171">
        <f>IF(LEFT('📅 Calendrier'!$D9,2)="S2",MID('📅 Calendrier'!$D9,SEARCH("séance",'📅 Calendrier'!$D9)+7,2),"")</f>
        <v/>
      </c>
      <c r="I7" s="171">
        <f>IF(LEFT('📅 Calendrier'!$D10,2)="S2",MID('📅 Calendrier'!$D10,SEARCH("séance",'📅 Calendrier'!$D10)+7,2),"")</f>
        <v/>
      </c>
      <c r="J7" s="171">
        <f>IF(LEFT('📅 Calendrier'!$D11,2)="S2",MID('📅 Calendrier'!$D11,SEARCH("séance",'📅 Calendrier'!$D11)+7,2),"")</f>
        <v/>
      </c>
      <c r="K7" s="171">
        <f>IF(LEFT('📅 Calendrier'!$D13,2)="S2",MID('📅 Calendrier'!$D13,SEARCH("séance",'📅 Calendrier'!$D13)+7,2),"")</f>
        <v/>
      </c>
      <c r="L7" s="171">
        <f>IF(LEFT('📅 Calendrier'!$D14,2)="S2",MID('📅 Calendrier'!$D14,SEARCH("séance",'📅 Calendrier'!$D14)+7,2),"")</f>
        <v/>
      </c>
      <c r="M7" s="171">
        <f>IF(LEFT('📅 Calendrier'!$D15,2)="S2",MID('📅 Calendrier'!$D15,SEARCH("séance",'📅 Calendrier'!$D15)+7,2),"")</f>
        <v/>
      </c>
      <c r="N7" s="171">
        <f>IF(LEFT('📅 Calendrier'!$D16,2)="S2",MID('📅 Calendrier'!$D16,SEARCH("séance",'📅 Calendrier'!$D16)+7,2),"")</f>
        <v/>
      </c>
      <c r="O7" s="171">
        <f>IF(LEFT('📅 Calendrier'!$D17,2)="S2",MID('📅 Calendrier'!$D17,SEARCH("séance",'📅 Calendrier'!$D17)+7,2),"")</f>
        <v/>
      </c>
      <c r="P7" s="171">
        <f>IF(LEFT('📅 Calendrier'!$D18,2)="S2",MID('📅 Calendrier'!$D18,SEARCH("séance",'📅 Calendrier'!$D18)+7,2),"")</f>
        <v/>
      </c>
      <c r="Q7" s="171">
        <f>IF(LEFT('📅 Calendrier'!$D19,2)="S2",MID('📅 Calendrier'!$D19,SEARCH("séance",'📅 Calendrier'!$D19)+7,2),"")</f>
        <v/>
      </c>
      <c r="R7" s="171">
        <f>IF(LEFT('📅 Calendrier'!$D21,2)="S2",MID('📅 Calendrier'!$D21,SEARCH("séance",'📅 Calendrier'!$D21)+7,2),"")</f>
        <v/>
      </c>
      <c r="S7" s="171">
        <f>IF(LEFT('📅 Calendrier'!$D22,2)="S2",MID('📅 Calendrier'!$D22,SEARCH("séance",'📅 Calendrier'!$D22)+7,2),"")</f>
        <v/>
      </c>
      <c r="T7" s="171">
        <f>IF(LEFT('📅 Calendrier'!$D23,2)="S2",MID('📅 Calendrier'!$D23,SEARCH("séance",'📅 Calendrier'!$D23)+7,2),"")</f>
        <v/>
      </c>
      <c r="U7" s="171">
        <f>IF(LEFT('📅 Calendrier'!$D24,2)="S2",MID('📅 Calendrier'!$D24,SEARCH("séance",'📅 Calendrier'!$D24)+7,2),"")</f>
        <v/>
      </c>
      <c r="V7" s="171">
        <f>IF(LEFT('📅 Calendrier'!$D25,2)="S2",MID('📅 Calendrier'!$D25,SEARCH("séance",'📅 Calendrier'!$D25)+7,2),"")</f>
        <v/>
      </c>
      <c r="W7" s="171">
        <f>IF(LEFT('📅 Calendrier'!$D27,2)="S2",MID('📅 Calendrier'!$D27,SEARCH("séance",'📅 Calendrier'!$D27)+7,2),"")</f>
        <v/>
      </c>
      <c r="X7" s="171">
        <f>IF(LEFT('📅 Calendrier'!$D28,2)="S2",MID('📅 Calendrier'!$D28,SEARCH("séance",'📅 Calendrier'!$D28)+7,2),"")</f>
        <v/>
      </c>
      <c r="Y7" s="171">
        <f>IF(LEFT('📅 Calendrier'!$D29,2)="S2",MID('📅 Calendrier'!$D29,SEARCH("séance",'📅 Calendrier'!$D29)+7,2),"")</f>
        <v/>
      </c>
      <c r="Z7" s="171">
        <f>IF(LEFT('📅 Calendrier'!$D30,2)="S2",MID('📅 Calendrier'!$D30,SEARCH("séance",'📅 Calendrier'!$D30)+7,2),"")</f>
        <v/>
      </c>
      <c r="AA7" s="171">
        <f>IF(LEFT('📅 Calendrier'!$D31,2)="S2",MID('📅 Calendrier'!$D31,SEARCH("séance",'📅 Calendrier'!$D31)+7,2),"")</f>
        <v/>
      </c>
      <c r="AB7" s="171">
        <f>IF(LEFT('📅 Calendrier'!$D32,2)="S2",MID('📅 Calendrier'!$D32,SEARCH("séance",'📅 Calendrier'!$D32)+7,2),"")</f>
        <v/>
      </c>
      <c r="AC7" s="171">
        <f>IF(LEFT('📅 Calendrier'!$D33,2)="S2",MID('📅 Calendrier'!$D33,SEARCH("séance",'📅 Calendrier'!$D33)+7,2),"")</f>
        <v/>
      </c>
      <c r="AD7" s="171">
        <f>IF(LEFT('📅 Calendrier'!$D34,2)="S2",MID('📅 Calendrier'!$D34,SEARCH("séance",'📅 Calendrier'!$D34)+7,2),"")</f>
        <v/>
      </c>
      <c r="AE7" s="171">
        <f>IF(LEFT('📅 Calendrier'!$D36,2)="S2",MID('📅 Calendrier'!$D36,SEARCH("séance",'📅 Calendrier'!$D36)+7,2),"")</f>
        <v/>
      </c>
      <c r="AF7" s="171">
        <f>IF(LEFT('📅 Calendrier'!$D37,2)="S2",MID('📅 Calendrier'!$D37,SEARCH("séance",'📅 Calendrier'!$D37)+7,2),"")</f>
        <v/>
      </c>
      <c r="AG7" s="171">
        <f>IF(LEFT('📅 Calendrier'!$D38,2)="S2",MID('📅 Calendrier'!$D38,SEARCH("séance",'📅 Calendrier'!$D38)+7,2),"")</f>
        <v/>
      </c>
      <c r="AH7" s="171">
        <f>IF(LEFT('📅 Calendrier'!$D39,2)="S2",MID('📅 Calendrier'!$D39,SEARCH("séance",'📅 Calendrier'!$D39)+7,2),"")</f>
        <v/>
      </c>
      <c r="AI7" s="171">
        <f>IF(LEFT('📅 Calendrier'!$D40,2)="S2",MID('📅 Calendrier'!$D40,SEARCH("séance",'📅 Calendrier'!$D40)+7,2),"")</f>
        <v/>
      </c>
      <c r="AJ7" s="171">
        <f>IF(LEFT('📅 Calendrier'!$D41,2)="S2",MID('📅 Calendrier'!$D41,SEARCH("séance",'📅 Calendrier'!$D41)+7,2),"")</f>
        <v/>
      </c>
      <c r="AK7" s="171">
        <f>IF(LEFT('📅 Calendrier'!$D42,2)="S2",MID('📅 Calendrier'!$D42,SEARCH("séance",'📅 Calendrier'!$D42)+7,2),"")</f>
        <v/>
      </c>
      <c r="AL7" s="171">
        <f>IF(LEFT('📅 Calendrier'!$D43,2)="S2",MID('📅 Calendrier'!$D43,SEARCH("séance",'📅 Calendrier'!$D43)+7,2),"")</f>
        <v/>
      </c>
      <c r="AM7" s="171">
        <f>IF(LEFT('📅 Calendrier'!$D44,2)="S2",MID('📅 Calendrier'!$D44,SEARCH("séance",'📅 Calendrier'!$D44)+7,2),"")</f>
        <v/>
      </c>
    </row>
    <row r="8" ht="15" customHeight="1" s="107">
      <c r="B8" s="170" t="inlineStr">
        <is>
          <t>S3 · Ergonomie &amp; choix argumenté</t>
        </is>
      </c>
      <c r="C8" s="171">
        <f>IF(LEFT('📅 Calendrier'!$D4,2)="S3",MID('📅 Calendrier'!$D4,SEARCH("séance",'📅 Calendrier'!$D4)+7,2),"")</f>
        <v/>
      </c>
      <c r="D8" s="171">
        <f>IF(LEFT('📅 Calendrier'!$D5,2)="S3",MID('📅 Calendrier'!$D5,SEARCH("séance",'📅 Calendrier'!$D5)+7,2),"")</f>
        <v/>
      </c>
      <c r="E8" s="171">
        <f>IF(LEFT('📅 Calendrier'!$D6,2)="S3",MID('📅 Calendrier'!$D6,SEARCH("séance",'📅 Calendrier'!$D6)+7,2),"")</f>
        <v/>
      </c>
      <c r="F8" s="171">
        <f>IF(LEFT('📅 Calendrier'!$D7,2)="S3",MID('📅 Calendrier'!$D7,SEARCH("séance",'📅 Calendrier'!$D7)+7,2),"")</f>
        <v/>
      </c>
      <c r="G8" s="171">
        <f>IF(LEFT('📅 Calendrier'!$D8,2)="S3",MID('📅 Calendrier'!$D8,SEARCH("séance",'📅 Calendrier'!$D8)+7,2),"")</f>
        <v/>
      </c>
      <c r="H8" s="171">
        <f>IF(LEFT('📅 Calendrier'!$D9,2)="S3",MID('📅 Calendrier'!$D9,SEARCH("séance",'📅 Calendrier'!$D9)+7,2),"")</f>
        <v/>
      </c>
      <c r="I8" s="171">
        <f>IF(LEFT('📅 Calendrier'!$D10,2)="S3",MID('📅 Calendrier'!$D10,SEARCH("séance",'📅 Calendrier'!$D10)+7,2),"")</f>
        <v/>
      </c>
      <c r="J8" s="171">
        <f>IF(LEFT('📅 Calendrier'!$D11,2)="S3",MID('📅 Calendrier'!$D11,SEARCH("séance",'📅 Calendrier'!$D11)+7,2),"")</f>
        <v/>
      </c>
      <c r="K8" s="171">
        <f>IF(LEFT('📅 Calendrier'!$D13,2)="S3",MID('📅 Calendrier'!$D13,SEARCH("séance",'📅 Calendrier'!$D13)+7,2),"")</f>
        <v/>
      </c>
      <c r="L8" s="171">
        <f>IF(LEFT('📅 Calendrier'!$D14,2)="S3",MID('📅 Calendrier'!$D14,SEARCH("séance",'📅 Calendrier'!$D14)+7,2),"")</f>
        <v/>
      </c>
      <c r="M8" s="171">
        <f>IF(LEFT('📅 Calendrier'!$D15,2)="S3",MID('📅 Calendrier'!$D15,SEARCH("séance",'📅 Calendrier'!$D15)+7,2),"")</f>
        <v/>
      </c>
      <c r="N8" s="171">
        <f>IF(LEFT('📅 Calendrier'!$D16,2)="S3",MID('📅 Calendrier'!$D16,SEARCH("séance",'📅 Calendrier'!$D16)+7,2),"")</f>
        <v/>
      </c>
      <c r="O8" s="171">
        <f>IF(LEFT('📅 Calendrier'!$D17,2)="S3",MID('📅 Calendrier'!$D17,SEARCH("séance",'📅 Calendrier'!$D17)+7,2),"")</f>
        <v/>
      </c>
      <c r="P8" s="171">
        <f>IF(LEFT('📅 Calendrier'!$D18,2)="S3",MID('📅 Calendrier'!$D18,SEARCH("séance",'📅 Calendrier'!$D18)+7,2),"")</f>
        <v/>
      </c>
      <c r="Q8" s="171">
        <f>IF(LEFT('📅 Calendrier'!$D19,2)="S3",MID('📅 Calendrier'!$D19,SEARCH("séance",'📅 Calendrier'!$D19)+7,2),"")</f>
        <v/>
      </c>
      <c r="R8" s="171">
        <f>IF(LEFT('📅 Calendrier'!$D21,2)="S3",MID('📅 Calendrier'!$D21,SEARCH("séance",'📅 Calendrier'!$D21)+7,2),"")</f>
        <v/>
      </c>
      <c r="S8" s="171">
        <f>IF(LEFT('📅 Calendrier'!$D22,2)="S3",MID('📅 Calendrier'!$D22,SEARCH("séance",'📅 Calendrier'!$D22)+7,2),"")</f>
        <v/>
      </c>
      <c r="T8" s="171">
        <f>IF(LEFT('📅 Calendrier'!$D23,2)="S3",MID('📅 Calendrier'!$D23,SEARCH("séance",'📅 Calendrier'!$D23)+7,2),"")</f>
        <v/>
      </c>
      <c r="U8" s="171">
        <f>IF(LEFT('📅 Calendrier'!$D24,2)="S3",MID('📅 Calendrier'!$D24,SEARCH("séance",'📅 Calendrier'!$D24)+7,2),"")</f>
        <v/>
      </c>
      <c r="V8" s="171">
        <f>IF(LEFT('📅 Calendrier'!$D25,2)="S3",MID('📅 Calendrier'!$D25,SEARCH("séance",'📅 Calendrier'!$D25)+7,2),"")</f>
        <v/>
      </c>
      <c r="W8" s="171">
        <f>IF(LEFT('📅 Calendrier'!$D27,2)="S3",MID('📅 Calendrier'!$D27,SEARCH("séance",'📅 Calendrier'!$D27)+7,2),"")</f>
        <v/>
      </c>
      <c r="X8" s="171">
        <f>IF(LEFT('📅 Calendrier'!$D28,2)="S3",MID('📅 Calendrier'!$D28,SEARCH("séance",'📅 Calendrier'!$D28)+7,2),"")</f>
        <v/>
      </c>
      <c r="Y8" s="171">
        <f>IF(LEFT('📅 Calendrier'!$D29,2)="S3",MID('📅 Calendrier'!$D29,SEARCH("séance",'📅 Calendrier'!$D29)+7,2),"")</f>
        <v/>
      </c>
      <c r="Z8" s="171">
        <f>IF(LEFT('📅 Calendrier'!$D30,2)="S3",MID('📅 Calendrier'!$D30,SEARCH("séance",'📅 Calendrier'!$D30)+7,2),"")</f>
        <v/>
      </c>
      <c r="AA8" s="171">
        <f>IF(LEFT('📅 Calendrier'!$D31,2)="S3",MID('📅 Calendrier'!$D31,SEARCH("séance",'📅 Calendrier'!$D31)+7,2),"")</f>
        <v/>
      </c>
      <c r="AB8" s="171">
        <f>IF(LEFT('📅 Calendrier'!$D32,2)="S3",MID('📅 Calendrier'!$D32,SEARCH("séance",'📅 Calendrier'!$D32)+7,2),"")</f>
        <v/>
      </c>
      <c r="AC8" s="171">
        <f>IF(LEFT('📅 Calendrier'!$D33,2)="S3",MID('📅 Calendrier'!$D33,SEARCH("séance",'📅 Calendrier'!$D33)+7,2),"")</f>
        <v/>
      </c>
      <c r="AD8" s="171">
        <f>IF(LEFT('📅 Calendrier'!$D34,2)="S3",MID('📅 Calendrier'!$D34,SEARCH("séance",'📅 Calendrier'!$D34)+7,2),"")</f>
        <v/>
      </c>
      <c r="AE8" s="171">
        <f>IF(LEFT('📅 Calendrier'!$D36,2)="S3",MID('📅 Calendrier'!$D36,SEARCH("séance",'📅 Calendrier'!$D36)+7,2),"")</f>
        <v/>
      </c>
      <c r="AF8" s="171">
        <f>IF(LEFT('📅 Calendrier'!$D37,2)="S3",MID('📅 Calendrier'!$D37,SEARCH("séance",'📅 Calendrier'!$D37)+7,2),"")</f>
        <v/>
      </c>
      <c r="AG8" s="171">
        <f>IF(LEFT('📅 Calendrier'!$D38,2)="S3",MID('📅 Calendrier'!$D38,SEARCH("séance",'📅 Calendrier'!$D38)+7,2),"")</f>
        <v/>
      </c>
      <c r="AH8" s="171">
        <f>IF(LEFT('📅 Calendrier'!$D39,2)="S3",MID('📅 Calendrier'!$D39,SEARCH("séance",'📅 Calendrier'!$D39)+7,2),"")</f>
        <v/>
      </c>
      <c r="AI8" s="171">
        <f>IF(LEFT('📅 Calendrier'!$D40,2)="S3",MID('📅 Calendrier'!$D40,SEARCH("séance",'📅 Calendrier'!$D40)+7,2),"")</f>
        <v/>
      </c>
      <c r="AJ8" s="171">
        <f>IF(LEFT('📅 Calendrier'!$D41,2)="S3",MID('📅 Calendrier'!$D41,SEARCH("séance",'📅 Calendrier'!$D41)+7,2),"")</f>
        <v/>
      </c>
      <c r="AK8" s="171">
        <f>IF(LEFT('📅 Calendrier'!$D42,2)="S3",MID('📅 Calendrier'!$D42,SEARCH("séance",'📅 Calendrier'!$D42)+7,2),"")</f>
        <v/>
      </c>
      <c r="AL8" s="171">
        <f>IF(LEFT('📅 Calendrier'!$D43,2)="S3",MID('📅 Calendrier'!$D43,SEARCH("séance",'📅 Calendrier'!$D43)+7,2),"")</f>
        <v/>
      </c>
      <c r="AM8" s="171">
        <f>IF(LEFT('📅 Calendrier'!$D44,2)="S3",MID('📅 Calendrier'!$D44,SEARCH("séance",'📅 Calendrier'!$D44)+7,2),"")</f>
        <v/>
      </c>
    </row>
    <row r="9" ht="15" customHeight="1" s="107">
      <c r="B9" s="172" t="inlineStr">
        <is>
          <t>S4 · Jardin connecté : chaînes</t>
        </is>
      </c>
      <c r="C9" s="171">
        <f>IF(LEFT('📅 Calendrier'!$D4,2)="S4",MID('📅 Calendrier'!$D4,SEARCH("séance",'📅 Calendrier'!$D4)+7,2),"")</f>
        <v/>
      </c>
      <c r="D9" s="171">
        <f>IF(LEFT('📅 Calendrier'!$D5,2)="S4",MID('📅 Calendrier'!$D5,SEARCH("séance",'📅 Calendrier'!$D5)+7,2),"")</f>
        <v/>
      </c>
      <c r="E9" s="171">
        <f>IF(LEFT('📅 Calendrier'!$D6,2)="S4",MID('📅 Calendrier'!$D6,SEARCH("séance",'📅 Calendrier'!$D6)+7,2),"")</f>
        <v/>
      </c>
      <c r="F9" s="171">
        <f>IF(LEFT('📅 Calendrier'!$D7,2)="S4",MID('📅 Calendrier'!$D7,SEARCH("séance",'📅 Calendrier'!$D7)+7,2),"")</f>
        <v/>
      </c>
      <c r="G9" s="171">
        <f>IF(LEFT('📅 Calendrier'!$D8,2)="S4",MID('📅 Calendrier'!$D8,SEARCH("séance",'📅 Calendrier'!$D8)+7,2),"")</f>
        <v/>
      </c>
      <c r="H9" s="171">
        <f>IF(LEFT('📅 Calendrier'!$D9,2)="S4",MID('📅 Calendrier'!$D9,SEARCH("séance",'📅 Calendrier'!$D9)+7,2),"")</f>
        <v/>
      </c>
      <c r="I9" s="171">
        <f>IF(LEFT('📅 Calendrier'!$D10,2)="S4",MID('📅 Calendrier'!$D10,SEARCH("séance",'📅 Calendrier'!$D10)+7,2),"")</f>
        <v/>
      </c>
      <c r="J9" s="171">
        <f>IF(LEFT('📅 Calendrier'!$D11,2)="S4",MID('📅 Calendrier'!$D11,SEARCH("séance",'📅 Calendrier'!$D11)+7,2),"")</f>
        <v/>
      </c>
      <c r="K9" s="171">
        <f>IF(LEFT('📅 Calendrier'!$D13,2)="S4",MID('📅 Calendrier'!$D13,SEARCH("séance",'📅 Calendrier'!$D13)+7,2),"")</f>
        <v/>
      </c>
      <c r="L9" s="171">
        <f>IF(LEFT('📅 Calendrier'!$D14,2)="S4",MID('📅 Calendrier'!$D14,SEARCH("séance",'📅 Calendrier'!$D14)+7,2),"")</f>
        <v/>
      </c>
      <c r="M9" s="171">
        <f>IF(LEFT('📅 Calendrier'!$D15,2)="S4",MID('📅 Calendrier'!$D15,SEARCH("séance",'📅 Calendrier'!$D15)+7,2),"")</f>
        <v/>
      </c>
      <c r="N9" s="171">
        <f>IF(LEFT('📅 Calendrier'!$D16,2)="S4",MID('📅 Calendrier'!$D16,SEARCH("séance",'📅 Calendrier'!$D16)+7,2),"")</f>
        <v/>
      </c>
      <c r="O9" s="171">
        <f>IF(LEFT('📅 Calendrier'!$D17,2)="S4",MID('📅 Calendrier'!$D17,SEARCH("séance",'📅 Calendrier'!$D17)+7,2),"")</f>
        <v/>
      </c>
      <c r="P9" s="171">
        <f>IF(LEFT('📅 Calendrier'!$D18,2)="S4",MID('📅 Calendrier'!$D18,SEARCH("séance",'📅 Calendrier'!$D18)+7,2),"")</f>
        <v/>
      </c>
      <c r="Q9" s="171">
        <f>IF(LEFT('📅 Calendrier'!$D19,2)="S4",MID('📅 Calendrier'!$D19,SEARCH("séance",'📅 Calendrier'!$D19)+7,2),"")</f>
        <v/>
      </c>
      <c r="R9" s="171">
        <f>IF(LEFT('📅 Calendrier'!$D21,2)="S4",MID('📅 Calendrier'!$D21,SEARCH("séance",'📅 Calendrier'!$D21)+7,2),"")</f>
        <v/>
      </c>
      <c r="S9" s="171">
        <f>IF(LEFT('📅 Calendrier'!$D22,2)="S4",MID('📅 Calendrier'!$D22,SEARCH("séance",'📅 Calendrier'!$D22)+7,2),"")</f>
        <v/>
      </c>
      <c r="T9" s="171">
        <f>IF(LEFT('📅 Calendrier'!$D23,2)="S4",MID('📅 Calendrier'!$D23,SEARCH("séance",'📅 Calendrier'!$D23)+7,2),"")</f>
        <v/>
      </c>
      <c r="U9" s="171">
        <f>IF(LEFT('📅 Calendrier'!$D24,2)="S4",MID('📅 Calendrier'!$D24,SEARCH("séance",'📅 Calendrier'!$D24)+7,2),"")</f>
        <v/>
      </c>
      <c r="V9" s="171">
        <f>IF(LEFT('📅 Calendrier'!$D25,2)="S4",MID('📅 Calendrier'!$D25,SEARCH("séance",'📅 Calendrier'!$D25)+7,2),"")</f>
        <v/>
      </c>
      <c r="W9" s="171">
        <f>IF(LEFT('📅 Calendrier'!$D27,2)="S4",MID('📅 Calendrier'!$D27,SEARCH("séance",'📅 Calendrier'!$D27)+7,2),"")</f>
        <v/>
      </c>
      <c r="X9" s="171">
        <f>IF(LEFT('📅 Calendrier'!$D28,2)="S4",MID('📅 Calendrier'!$D28,SEARCH("séance",'📅 Calendrier'!$D28)+7,2),"")</f>
        <v/>
      </c>
      <c r="Y9" s="171">
        <f>IF(LEFT('📅 Calendrier'!$D29,2)="S4",MID('📅 Calendrier'!$D29,SEARCH("séance",'📅 Calendrier'!$D29)+7,2),"")</f>
        <v/>
      </c>
      <c r="Z9" s="171">
        <f>IF(LEFT('📅 Calendrier'!$D30,2)="S4",MID('📅 Calendrier'!$D30,SEARCH("séance",'📅 Calendrier'!$D30)+7,2),"")</f>
        <v/>
      </c>
      <c r="AA9" s="171">
        <f>IF(LEFT('📅 Calendrier'!$D31,2)="S4",MID('📅 Calendrier'!$D31,SEARCH("séance",'📅 Calendrier'!$D31)+7,2),"")</f>
        <v/>
      </c>
      <c r="AB9" s="171">
        <f>IF(LEFT('📅 Calendrier'!$D32,2)="S4",MID('📅 Calendrier'!$D32,SEARCH("séance",'📅 Calendrier'!$D32)+7,2),"")</f>
        <v/>
      </c>
      <c r="AC9" s="171">
        <f>IF(LEFT('📅 Calendrier'!$D33,2)="S4",MID('📅 Calendrier'!$D33,SEARCH("séance",'📅 Calendrier'!$D33)+7,2),"")</f>
        <v/>
      </c>
      <c r="AD9" s="171">
        <f>IF(LEFT('📅 Calendrier'!$D34,2)="S4",MID('📅 Calendrier'!$D34,SEARCH("séance",'📅 Calendrier'!$D34)+7,2),"")</f>
        <v/>
      </c>
      <c r="AE9" s="171">
        <f>IF(LEFT('📅 Calendrier'!$D36,2)="S4",MID('📅 Calendrier'!$D36,SEARCH("séance",'📅 Calendrier'!$D36)+7,2),"")</f>
        <v/>
      </c>
      <c r="AF9" s="171">
        <f>IF(LEFT('📅 Calendrier'!$D37,2)="S4",MID('📅 Calendrier'!$D37,SEARCH("séance",'📅 Calendrier'!$D37)+7,2),"")</f>
        <v/>
      </c>
      <c r="AG9" s="171">
        <f>IF(LEFT('📅 Calendrier'!$D38,2)="S4",MID('📅 Calendrier'!$D38,SEARCH("séance",'📅 Calendrier'!$D38)+7,2),"")</f>
        <v/>
      </c>
      <c r="AH9" s="171">
        <f>IF(LEFT('📅 Calendrier'!$D39,2)="S4",MID('📅 Calendrier'!$D39,SEARCH("séance",'📅 Calendrier'!$D39)+7,2),"")</f>
        <v/>
      </c>
      <c r="AI9" s="171">
        <f>IF(LEFT('📅 Calendrier'!$D40,2)="S4",MID('📅 Calendrier'!$D40,SEARCH("séance",'📅 Calendrier'!$D40)+7,2),"")</f>
        <v/>
      </c>
      <c r="AJ9" s="171">
        <f>IF(LEFT('📅 Calendrier'!$D41,2)="S4",MID('📅 Calendrier'!$D41,SEARCH("séance",'📅 Calendrier'!$D41)+7,2),"")</f>
        <v/>
      </c>
      <c r="AK9" s="171">
        <f>IF(LEFT('📅 Calendrier'!$D42,2)="S4",MID('📅 Calendrier'!$D42,SEARCH("séance",'📅 Calendrier'!$D42)+7,2),"")</f>
        <v/>
      </c>
      <c r="AL9" s="171">
        <f>IF(LEFT('📅 Calendrier'!$D43,2)="S4",MID('📅 Calendrier'!$D43,SEARCH("séance",'📅 Calendrier'!$D43)+7,2),"")</f>
        <v/>
      </c>
      <c r="AM9" s="171">
        <f>IF(LEFT('📅 Calendrier'!$D44,2)="S4",MID('📅 Calendrier'!$D44,SEARCH("séance",'📅 Calendrier'!$D44)+7,2),"")</f>
        <v/>
      </c>
    </row>
    <row r="10" ht="15" customHeight="1" s="107">
      <c r="B10" s="172" t="inlineStr">
        <is>
          <t>S5 · Objets connectés en réseau</t>
        </is>
      </c>
      <c r="C10" s="171">
        <f>IF(LEFT('📅 Calendrier'!$D4,2)="S5",MID('📅 Calendrier'!$D4,SEARCH("séance",'📅 Calendrier'!$D4)+7,2),"")</f>
        <v/>
      </c>
      <c r="D10" s="171">
        <f>IF(LEFT('📅 Calendrier'!$D5,2)="S5",MID('📅 Calendrier'!$D5,SEARCH("séance",'📅 Calendrier'!$D5)+7,2),"")</f>
        <v/>
      </c>
      <c r="E10" s="171">
        <f>IF(LEFT('📅 Calendrier'!$D6,2)="S5",MID('📅 Calendrier'!$D6,SEARCH("séance",'📅 Calendrier'!$D6)+7,2),"")</f>
        <v/>
      </c>
      <c r="F10" s="171">
        <f>IF(LEFT('📅 Calendrier'!$D7,2)="S5",MID('📅 Calendrier'!$D7,SEARCH("séance",'📅 Calendrier'!$D7)+7,2),"")</f>
        <v/>
      </c>
      <c r="G10" s="171">
        <f>IF(LEFT('📅 Calendrier'!$D8,2)="S5",MID('📅 Calendrier'!$D8,SEARCH("séance",'📅 Calendrier'!$D8)+7,2),"")</f>
        <v/>
      </c>
      <c r="H10" s="171">
        <f>IF(LEFT('📅 Calendrier'!$D9,2)="S5",MID('📅 Calendrier'!$D9,SEARCH("séance",'📅 Calendrier'!$D9)+7,2),"")</f>
        <v/>
      </c>
      <c r="I10" s="171">
        <f>IF(LEFT('📅 Calendrier'!$D10,2)="S5",MID('📅 Calendrier'!$D10,SEARCH("séance",'📅 Calendrier'!$D10)+7,2),"")</f>
        <v/>
      </c>
      <c r="J10" s="171">
        <f>IF(LEFT('📅 Calendrier'!$D11,2)="S5",MID('📅 Calendrier'!$D11,SEARCH("séance",'📅 Calendrier'!$D11)+7,2),"")</f>
        <v/>
      </c>
      <c r="K10" s="171">
        <f>IF(LEFT('📅 Calendrier'!$D13,2)="S5",MID('📅 Calendrier'!$D13,SEARCH("séance",'📅 Calendrier'!$D13)+7,2),"")</f>
        <v/>
      </c>
      <c r="L10" s="171">
        <f>IF(LEFT('📅 Calendrier'!$D14,2)="S5",MID('📅 Calendrier'!$D14,SEARCH("séance",'📅 Calendrier'!$D14)+7,2),"")</f>
        <v/>
      </c>
      <c r="M10" s="171">
        <f>IF(LEFT('📅 Calendrier'!$D15,2)="S5",MID('📅 Calendrier'!$D15,SEARCH("séance",'📅 Calendrier'!$D15)+7,2),"")</f>
        <v/>
      </c>
      <c r="N10" s="171">
        <f>IF(LEFT('📅 Calendrier'!$D16,2)="S5",MID('📅 Calendrier'!$D16,SEARCH("séance",'📅 Calendrier'!$D16)+7,2),"")</f>
        <v/>
      </c>
      <c r="O10" s="171">
        <f>IF(LEFT('📅 Calendrier'!$D17,2)="S5",MID('📅 Calendrier'!$D17,SEARCH("séance",'📅 Calendrier'!$D17)+7,2),"")</f>
        <v/>
      </c>
      <c r="P10" s="171">
        <f>IF(LEFT('📅 Calendrier'!$D18,2)="S5",MID('📅 Calendrier'!$D18,SEARCH("séance",'📅 Calendrier'!$D18)+7,2),"")</f>
        <v/>
      </c>
      <c r="Q10" s="171">
        <f>IF(LEFT('📅 Calendrier'!$D19,2)="S5",MID('📅 Calendrier'!$D19,SEARCH("séance",'📅 Calendrier'!$D19)+7,2),"")</f>
        <v/>
      </c>
      <c r="R10" s="171">
        <f>IF(LEFT('📅 Calendrier'!$D21,2)="S5",MID('📅 Calendrier'!$D21,SEARCH("séance",'📅 Calendrier'!$D21)+7,2),"")</f>
        <v/>
      </c>
      <c r="S10" s="171">
        <f>IF(LEFT('📅 Calendrier'!$D22,2)="S5",MID('📅 Calendrier'!$D22,SEARCH("séance",'📅 Calendrier'!$D22)+7,2),"")</f>
        <v/>
      </c>
      <c r="T10" s="171">
        <f>IF(LEFT('📅 Calendrier'!$D23,2)="S5",MID('📅 Calendrier'!$D23,SEARCH("séance",'📅 Calendrier'!$D23)+7,2),"")</f>
        <v/>
      </c>
      <c r="U10" s="171">
        <f>IF(LEFT('📅 Calendrier'!$D24,2)="S5",MID('📅 Calendrier'!$D24,SEARCH("séance",'📅 Calendrier'!$D24)+7,2),"")</f>
        <v/>
      </c>
      <c r="V10" s="171">
        <f>IF(LEFT('📅 Calendrier'!$D25,2)="S5",MID('📅 Calendrier'!$D25,SEARCH("séance",'📅 Calendrier'!$D25)+7,2),"")</f>
        <v/>
      </c>
      <c r="W10" s="171">
        <f>IF(LEFT('📅 Calendrier'!$D27,2)="S5",MID('📅 Calendrier'!$D27,SEARCH("séance",'📅 Calendrier'!$D27)+7,2),"")</f>
        <v/>
      </c>
      <c r="X10" s="171">
        <f>IF(LEFT('📅 Calendrier'!$D28,2)="S5",MID('📅 Calendrier'!$D28,SEARCH("séance",'📅 Calendrier'!$D28)+7,2),"")</f>
        <v/>
      </c>
      <c r="Y10" s="171">
        <f>IF(LEFT('📅 Calendrier'!$D29,2)="S5",MID('📅 Calendrier'!$D29,SEARCH("séance",'📅 Calendrier'!$D29)+7,2),"")</f>
        <v/>
      </c>
      <c r="Z10" s="171">
        <f>IF(LEFT('📅 Calendrier'!$D30,2)="S5",MID('📅 Calendrier'!$D30,SEARCH("séance",'📅 Calendrier'!$D30)+7,2),"")</f>
        <v/>
      </c>
      <c r="AA10" s="171">
        <f>IF(LEFT('📅 Calendrier'!$D31,2)="S5",MID('📅 Calendrier'!$D31,SEARCH("séance",'📅 Calendrier'!$D31)+7,2),"")</f>
        <v/>
      </c>
      <c r="AB10" s="171">
        <f>IF(LEFT('📅 Calendrier'!$D32,2)="S5",MID('📅 Calendrier'!$D32,SEARCH("séance",'📅 Calendrier'!$D32)+7,2),"")</f>
        <v/>
      </c>
      <c r="AC10" s="171">
        <f>IF(LEFT('📅 Calendrier'!$D33,2)="S5",MID('📅 Calendrier'!$D33,SEARCH("séance",'📅 Calendrier'!$D33)+7,2),"")</f>
        <v/>
      </c>
      <c r="AD10" s="171">
        <f>IF(LEFT('📅 Calendrier'!$D34,2)="S5",MID('📅 Calendrier'!$D34,SEARCH("séance",'📅 Calendrier'!$D34)+7,2),"")</f>
        <v/>
      </c>
      <c r="AE10" s="171">
        <f>IF(LEFT('📅 Calendrier'!$D36,2)="S5",MID('📅 Calendrier'!$D36,SEARCH("séance",'📅 Calendrier'!$D36)+7,2),"")</f>
        <v/>
      </c>
      <c r="AF10" s="171">
        <f>IF(LEFT('📅 Calendrier'!$D37,2)="S5",MID('📅 Calendrier'!$D37,SEARCH("séance",'📅 Calendrier'!$D37)+7,2),"")</f>
        <v/>
      </c>
      <c r="AG10" s="171">
        <f>IF(LEFT('📅 Calendrier'!$D38,2)="S5",MID('📅 Calendrier'!$D38,SEARCH("séance",'📅 Calendrier'!$D38)+7,2),"")</f>
        <v/>
      </c>
      <c r="AH10" s="171">
        <f>IF(LEFT('📅 Calendrier'!$D39,2)="S5",MID('📅 Calendrier'!$D39,SEARCH("séance",'📅 Calendrier'!$D39)+7,2),"")</f>
        <v/>
      </c>
      <c r="AI10" s="171">
        <f>IF(LEFT('📅 Calendrier'!$D40,2)="S5",MID('📅 Calendrier'!$D40,SEARCH("séance",'📅 Calendrier'!$D40)+7,2),"")</f>
        <v/>
      </c>
      <c r="AJ10" s="171">
        <f>IF(LEFT('📅 Calendrier'!$D41,2)="S5",MID('📅 Calendrier'!$D41,SEARCH("séance",'📅 Calendrier'!$D41)+7,2),"")</f>
        <v/>
      </c>
      <c r="AK10" s="171">
        <f>IF(LEFT('📅 Calendrier'!$D42,2)="S5",MID('📅 Calendrier'!$D42,SEARCH("séance",'📅 Calendrier'!$D42)+7,2),"")</f>
        <v/>
      </c>
      <c r="AL10" s="171">
        <f>IF(LEFT('📅 Calendrier'!$D43,2)="S5",MID('📅 Calendrier'!$D43,SEARCH("séance",'📅 Calendrier'!$D43)+7,2),"")</f>
        <v/>
      </c>
      <c r="AM10" s="171">
        <f>IF(LEFT('📅 Calendrier'!$D44,2)="S5",MID('📅 Calendrier'!$D44,SEARCH("séance",'📅 Calendrier'!$D44)+7,2),"")</f>
        <v/>
      </c>
    </row>
    <row r="11" ht="15" customHeight="1" s="107">
      <c r="B11" s="172" t="inlineStr">
        <is>
          <t>S6 · Réparer sans notice (+C4.3)</t>
        </is>
      </c>
      <c r="C11" s="171">
        <f>IF(LEFT('📅 Calendrier'!$D4,2)="S6",MID('📅 Calendrier'!$D4,SEARCH("séance",'📅 Calendrier'!$D4)+7,2),"")</f>
        <v/>
      </c>
      <c r="D11" s="171">
        <f>IF(LEFT('📅 Calendrier'!$D5,2)="S6",MID('📅 Calendrier'!$D5,SEARCH("séance",'📅 Calendrier'!$D5)+7,2),"")</f>
        <v/>
      </c>
      <c r="E11" s="171">
        <f>IF(LEFT('📅 Calendrier'!$D6,2)="S6",MID('📅 Calendrier'!$D6,SEARCH("séance",'📅 Calendrier'!$D6)+7,2),"")</f>
        <v/>
      </c>
      <c r="F11" s="171">
        <f>IF(LEFT('📅 Calendrier'!$D7,2)="S6",MID('📅 Calendrier'!$D7,SEARCH("séance",'📅 Calendrier'!$D7)+7,2),"")</f>
        <v/>
      </c>
      <c r="G11" s="171">
        <f>IF(LEFT('📅 Calendrier'!$D8,2)="S6",MID('📅 Calendrier'!$D8,SEARCH("séance",'📅 Calendrier'!$D8)+7,2),"")</f>
        <v/>
      </c>
      <c r="H11" s="171">
        <f>IF(LEFT('📅 Calendrier'!$D9,2)="S6",MID('📅 Calendrier'!$D9,SEARCH("séance",'📅 Calendrier'!$D9)+7,2),"")</f>
        <v/>
      </c>
      <c r="I11" s="171">
        <f>IF(LEFT('📅 Calendrier'!$D10,2)="S6",MID('📅 Calendrier'!$D10,SEARCH("séance",'📅 Calendrier'!$D10)+7,2),"")</f>
        <v/>
      </c>
      <c r="J11" s="171">
        <f>IF(LEFT('📅 Calendrier'!$D11,2)="S6",MID('📅 Calendrier'!$D11,SEARCH("séance",'📅 Calendrier'!$D11)+7,2),"")</f>
        <v/>
      </c>
      <c r="K11" s="171">
        <f>IF(LEFT('📅 Calendrier'!$D13,2)="S6",MID('📅 Calendrier'!$D13,SEARCH("séance",'📅 Calendrier'!$D13)+7,2),"")</f>
        <v/>
      </c>
      <c r="L11" s="171">
        <f>IF(LEFT('📅 Calendrier'!$D14,2)="S6",MID('📅 Calendrier'!$D14,SEARCH("séance",'📅 Calendrier'!$D14)+7,2),"")</f>
        <v/>
      </c>
      <c r="M11" s="171">
        <f>IF(LEFT('📅 Calendrier'!$D15,2)="S6",MID('📅 Calendrier'!$D15,SEARCH("séance",'📅 Calendrier'!$D15)+7,2),"")</f>
        <v/>
      </c>
      <c r="N11" s="171">
        <f>IF(LEFT('📅 Calendrier'!$D16,2)="S6",MID('📅 Calendrier'!$D16,SEARCH("séance",'📅 Calendrier'!$D16)+7,2),"")</f>
        <v/>
      </c>
      <c r="O11" s="171">
        <f>IF(LEFT('📅 Calendrier'!$D17,2)="S6",MID('📅 Calendrier'!$D17,SEARCH("séance",'📅 Calendrier'!$D17)+7,2),"")</f>
        <v/>
      </c>
      <c r="P11" s="171">
        <f>IF(LEFT('📅 Calendrier'!$D18,2)="S6",MID('📅 Calendrier'!$D18,SEARCH("séance",'📅 Calendrier'!$D18)+7,2),"")</f>
        <v/>
      </c>
      <c r="Q11" s="171">
        <f>IF(LEFT('📅 Calendrier'!$D19,2)="S6",MID('📅 Calendrier'!$D19,SEARCH("séance",'📅 Calendrier'!$D19)+7,2),"")</f>
        <v/>
      </c>
      <c r="R11" s="171">
        <f>IF(LEFT('📅 Calendrier'!$D21,2)="S6",MID('📅 Calendrier'!$D21,SEARCH("séance",'📅 Calendrier'!$D21)+7,2),"")</f>
        <v/>
      </c>
      <c r="S11" s="171">
        <f>IF(LEFT('📅 Calendrier'!$D22,2)="S6",MID('📅 Calendrier'!$D22,SEARCH("séance",'📅 Calendrier'!$D22)+7,2),"")</f>
        <v/>
      </c>
      <c r="T11" s="171">
        <f>IF(LEFT('📅 Calendrier'!$D23,2)="S6",MID('📅 Calendrier'!$D23,SEARCH("séance",'📅 Calendrier'!$D23)+7,2),"")</f>
        <v/>
      </c>
      <c r="U11" s="171">
        <f>IF(LEFT('📅 Calendrier'!$D24,2)="S6",MID('📅 Calendrier'!$D24,SEARCH("séance",'📅 Calendrier'!$D24)+7,2),"")</f>
        <v/>
      </c>
      <c r="V11" s="171">
        <f>IF(LEFT('📅 Calendrier'!$D25,2)="S6",MID('📅 Calendrier'!$D25,SEARCH("séance",'📅 Calendrier'!$D25)+7,2),"")</f>
        <v/>
      </c>
      <c r="W11" s="171">
        <f>IF(LEFT('📅 Calendrier'!$D27,2)="S6",MID('📅 Calendrier'!$D27,SEARCH("séance",'📅 Calendrier'!$D27)+7,2),"")</f>
        <v/>
      </c>
      <c r="X11" s="171">
        <f>IF(LEFT('📅 Calendrier'!$D28,2)="S6",MID('📅 Calendrier'!$D28,SEARCH("séance",'📅 Calendrier'!$D28)+7,2),"")</f>
        <v/>
      </c>
      <c r="Y11" s="171">
        <f>IF(LEFT('📅 Calendrier'!$D29,2)="S6",MID('📅 Calendrier'!$D29,SEARCH("séance",'📅 Calendrier'!$D29)+7,2),"")</f>
        <v/>
      </c>
      <c r="Z11" s="171">
        <f>IF(LEFT('📅 Calendrier'!$D30,2)="S6",MID('📅 Calendrier'!$D30,SEARCH("séance",'📅 Calendrier'!$D30)+7,2),"")</f>
        <v/>
      </c>
      <c r="AA11" s="171">
        <f>IF(LEFT('📅 Calendrier'!$D31,2)="S6",MID('📅 Calendrier'!$D31,SEARCH("séance",'📅 Calendrier'!$D31)+7,2),"")</f>
        <v/>
      </c>
      <c r="AB11" s="171">
        <f>IF(LEFT('📅 Calendrier'!$D32,2)="S6",MID('📅 Calendrier'!$D32,SEARCH("séance",'📅 Calendrier'!$D32)+7,2),"")</f>
        <v/>
      </c>
      <c r="AC11" s="171">
        <f>IF(LEFT('📅 Calendrier'!$D33,2)="S6",MID('📅 Calendrier'!$D33,SEARCH("séance",'📅 Calendrier'!$D33)+7,2),"")</f>
        <v/>
      </c>
      <c r="AD11" s="171">
        <f>IF(LEFT('📅 Calendrier'!$D34,2)="S6",MID('📅 Calendrier'!$D34,SEARCH("séance",'📅 Calendrier'!$D34)+7,2),"")</f>
        <v/>
      </c>
      <c r="AE11" s="171">
        <f>IF(LEFT('📅 Calendrier'!$D36,2)="S6",MID('📅 Calendrier'!$D36,SEARCH("séance",'📅 Calendrier'!$D36)+7,2),"")</f>
        <v/>
      </c>
      <c r="AF11" s="171">
        <f>IF(LEFT('📅 Calendrier'!$D37,2)="S6",MID('📅 Calendrier'!$D37,SEARCH("séance",'📅 Calendrier'!$D37)+7,2),"")</f>
        <v/>
      </c>
      <c r="AG11" s="171">
        <f>IF(LEFT('📅 Calendrier'!$D38,2)="S6",MID('📅 Calendrier'!$D38,SEARCH("séance",'📅 Calendrier'!$D38)+7,2),"")</f>
        <v/>
      </c>
      <c r="AH11" s="171">
        <f>IF(LEFT('📅 Calendrier'!$D39,2)="S6",MID('📅 Calendrier'!$D39,SEARCH("séance",'📅 Calendrier'!$D39)+7,2),"")</f>
        <v/>
      </c>
      <c r="AI11" s="171">
        <f>IF(LEFT('📅 Calendrier'!$D40,2)="S6",MID('📅 Calendrier'!$D40,SEARCH("séance",'📅 Calendrier'!$D40)+7,2),"")</f>
        <v/>
      </c>
      <c r="AJ11" s="171">
        <f>IF(LEFT('📅 Calendrier'!$D41,2)="S6",MID('📅 Calendrier'!$D41,SEARCH("séance",'📅 Calendrier'!$D41)+7,2),"")</f>
        <v/>
      </c>
      <c r="AK11" s="171">
        <f>IF(LEFT('📅 Calendrier'!$D42,2)="S6",MID('📅 Calendrier'!$D42,SEARCH("séance",'📅 Calendrier'!$D42)+7,2),"")</f>
        <v/>
      </c>
      <c r="AL11" s="171">
        <f>IF(LEFT('📅 Calendrier'!$D43,2)="S6",MID('📅 Calendrier'!$D43,SEARCH("séance",'📅 Calendrier'!$D43)+7,2),"")</f>
        <v/>
      </c>
      <c r="AM11" s="171">
        <f>IF(LEFT('📅 Calendrier'!$D44,2)="S6",MID('📅 Calendrier'!$D44,SEARCH("séance",'📅 Calendrier'!$D44)+7,2),"")</f>
        <v/>
      </c>
    </row>
    <row r="12" ht="15" customHeight="1" s="107">
      <c r="B12" s="173" t="inlineStr">
        <is>
          <t>S7 · Projet nouvelle fonction</t>
        </is>
      </c>
      <c r="C12" s="171">
        <f>IF(LEFT('📅 Calendrier'!$D4,2)="S7",MID('📅 Calendrier'!$D4,SEARCH("séance",'📅 Calendrier'!$D4)+7,2),"")</f>
        <v/>
      </c>
      <c r="D12" s="171">
        <f>IF(LEFT('📅 Calendrier'!$D5,2)="S7",MID('📅 Calendrier'!$D5,SEARCH("séance",'📅 Calendrier'!$D5)+7,2),"")</f>
        <v/>
      </c>
      <c r="E12" s="171">
        <f>IF(LEFT('📅 Calendrier'!$D6,2)="S7",MID('📅 Calendrier'!$D6,SEARCH("séance",'📅 Calendrier'!$D6)+7,2),"")</f>
        <v/>
      </c>
      <c r="F12" s="171">
        <f>IF(LEFT('📅 Calendrier'!$D7,2)="S7",MID('📅 Calendrier'!$D7,SEARCH("séance",'📅 Calendrier'!$D7)+7,2),"")</f>
        <v/>
      </c>
      <c r="G12" s="171">
        <f>IF(LEFT('📅 Calendrier'!$D8,2)="S7",MID('📅 Calendrier'!$D8,SEARCH("séance",'📅 Calendrier'!$D8)+7,2),"")</f>
        <v/>
      </c>
      <c r="H12" s="171">
        <f>IF(LEFT('📅 Calendrier'!$D9,2)="S7",MID('📅 Calendrier'!$D9,SEARCH("séance",'📅 Calendrier'!$D9)+7,2),"")</f>
        <v/>
      </c>
      <c r="I12" s="171">
        <f>IF(LEFT('📅 Calendrier'!$D10,2)="S7",MID('📅 Calendrier'!$D10,SEARCH("séance",'📅 Calendrier'!$D10)+7,2),"")</f>
        <v/>
      </c>
      <c r="J12" s="171">
        <f>IF(LEFT('📅 Calendrier'!$D11,2)="S7",MID('📅 Calendrier'!$D11,SEARCH("séance",'📅 Calendrier'!$D11)+7,2),"")</f>
        <v/>
      </c>
      <c r="K12" s="171">
        <f>IF(LEFT('📅 Calendrier'!$D13,2)="S7",MID('📅 Calendrier'!$D13,SEARCH("séance",'📅 Calendrier'!$D13)+7,2),"")</f>
        <v/>
      </c>
      <c r="L12" s="171">
        <f>IF(LEFT('📅 Calendrier'!$D14,2)="S7",MID('📅 Calendrier'!$D14,SEARCH("séance",'📅 Calendrier'!$D14)+7,2),"")</f>
        <v/>
      </c>
      <c r="M12" s="171">
        <f>IF(LEFT('📅 Calendrier'!$D15,2)="S7",MID('📅 Calendrier'!$D15,SEARCH("séance",'📅 Calendrier'!$D15)+7,2),"")</f>
        <v/>
      </c>
      <c r="N12" s="171">
        <f>IF(LEFT('📅 Calendrier'!$D16,2)="S7",MID('📅 Calendrier'!$D16,SEARCH("séance",'📅 Calendrier'!$D16)+7,2),"")</f>
        <v/>
      </c>
      <c r="O12" s="171">
        <f>IF(LEFT('📅 Calendrier'!$D17,2)="S7",MID('📅 Calendrier'!$D17,SEARCH("séance",'📅 Calendrier'!$D17)+7,2),"")</f>
        <v/>
      </c>
      <c r="P12" s="171">
        <f>IF(LEFT('📅 Calendrier'!$D18,2)="S7",MID('📅 Calendrier'!$D18,SEARCH("séance",'📅 Calendrier'!$D18)+7,2),"")</f>
        <v/>
      </c>
      <c r="Q12" s="171">
        <f>IF(LEFT('📅 Calendrier'!$D19,2)="S7",MID('📅 Calendrier'!$D19,SEARCH("séance",'📅 Calendrier'!$D19)+7,2),"")</f>
        <v/>
      </c>
      <c r="R12" s="171">
        <f>IF(LEFT('📅 Calendrier'!$D21,2)="S7",MID('📅 Calendrier'!$D21,SEARCH("séance",'📅 Calendrier'!$D21)+7,2),"")</f>
        <v/>
      </c>
      <c r="S12" s="171">
        <f>IF(LEFT('📅 Calendrier'!$D22,2)="S7",MID('📅 Calendrier'!$D22,SEARCH("séance",'📅 Calendrier'!$D22)+7,2),"")</f>
        <v/>
      </c>
      <c r="T12" s="171">
        <f>IF(LEFT('📅 Calendrier'!$D23,2)="S7",MID('📅 Calendrier'!$D23,SEARCH("séance",'📅 Calendrier'!$D23)+7,2),"")</f>
        <v/>
      </c>
      <c r="U12" s="171">
        <f>IF(LEFT('📅 Calendrier'!$D24,2)="S7",MID('📅 Calendrier'!$D24,SEARCH("séance",'📅 Calendrier'!$D24)+7,2),"")</f>
        <v/>
      </c>
      <c r="V12" s="171">
        <f>IF(LEFT('📅 Calendrier'!$D25,2)="S7",MID('📅 Calendrier'!$D25,SEARCH("séance",'📅 Calendrier'!$D25)+7,2),"")</f>
        <v/>
      </c>
      <c r="W12" s="171">
        <f>IF(LEFT('📅 Calendrier'!$D27,2)="S7",MID('📅 Calendrier'!$D27,SEARCH("séance",'📅 Calendrier'!$D27)+7,2),"")</f>
        <v/>
      </c>
      <c r="X12" s="171">
        <f>IF(LEFT('📅 Calendrier'!$D28,2)="S7",MID('📅 Calendrier'!$D28,SEARCH("séance",'📅 Calendrier'!$D28)+7,2),"")</f>
        <v/>
      </c>
      <c r="Y12" s="171">
        <f>IF(LEFT('📅 Calendrier'!$D29,2)="S7",MID('📅 Calendrier'!$D29,SEARCH("séance",'📅 Calendrier'!$D29)+7,2),"")</f>
        <v/>
      </c>
      <c r="Z12" s="171">
        <f>IF(LEFT('📅 Calendrier'!$D30,2)="S7",MID('📅 Calendrier'!$D30,SEARCH("séance",'📅 Calendrier'!$D30)+7,2),"")</f>
        <v/>
      </c>
      <c r="AA12" s="171">
        <f>IF(LEFT('📅 Calendrier'!$D31,2)="S7",MID('📅 Calendrier'!$D31,SEARCH("séance",'📅 Calendrier'!$D31)+7,2),"")</f>
        <v/>
      </c>
      <c r="AB12" s="171">
        <f>IF(LEFT('📅 Calendrier'!$D32,2)="S7",MID('📅 Calendrier'!$D32,SEARCH("séance",'📅 Calendrier'!$D32)+7,2),"")</f>
        <v/>
      </c>
      <c r="AC12" s="171">
        <f>IF(LEFT('📅 Calendrier'!$D33,2)="S7",MID('📅 Calendrier'!$D33,SEARCH("séance",'📅 Calendrier'!$D33)+7,2),"")</f>
        <v/>
      </c>
      <c r="AD12" s="171">
        <f>IF(LEFT('📅 Calendrier'!$D34,2)="S7",MID('📅 Calendrier'!$D34,SEARCH("séance",'📅 Calendrier'!$D34)+7,2),"")</f>
        <v/>
      </c>
      <c r="AE12" s="171">
        <f>IF(LEFT('📅 Calendrier'!$D36,2)="S7",MID('📅 Calendrier'!$D36,SEARCH("séance",'📅 Calendrier'!$D36)+7,2),"")</f>
        <v/>
      </c>
      <c r="AF12" s="171">
        <f>IF(LEFT('📅 Calendrier'!$D37,2)="S7",MID('📅 Calendrier'!$D37,SEARCH("séance",'📅 Calendrier'!$D37)+7,2),"")</f>
        <v/>
      </c>
      <c r="AG12" s="171">
        <f>IF(LEFT('📅 Calendrier'!$D38,2)="S7",MID('📅 Calendrier'!$D38,SEARCH("séance",'📅 Calendrier'!$D38)+7,2),"")</f>
        <v/>
      </c>
      <c r="AH12" s="171">
        <f>IF(LEFT('📅 Calendrier'!$D39,2)="S7",MID('📅 Calendrier'!$D39,SEARCH("séance",'📅 Calendrier'!$D39)+7,2),"")</f>
        <v/>
      </c>
      <c r="AI12" s="171">
        <f>IF(LEFT('📅 Calendrier'!$D40,2)="S7",MID('📅 Calendrier'!$D40,SEARCH("séance",'📅 Calendrier'!$D40)+7,2),"")</f>
        <v/>
      </c>
      <c r="AJ12" s="171">
        <f>IF(LEFT('📅 Calendrier'!$D41,2)="S7",MID('📅 Calendrier'!$D41,SEARCH("séance",'📅 Calendrier'!$D41)+7,2),"")</f>
        <v/>
      </c>
      <c r="AK12" s="171">
        <f>IF(LEFT('📅 Calendrier'!$D42,2)="S7",MID('📅 Calendrier'!$D42,SEARCH("séance",'📅 Calendrier'!$D42)+7,2),"")</f>
        <v/>
      </c>
      <c r="AL12" s="171">
        <f>IF(LEFT('📅 Calendrier'!$D43,2)="S7",MID('📅 Calendrier'!$D43,SEARCH("séance",'📅 Calendrier'!$D43)+7,2),"")</f>
        <v/>
      </c>
      <c r="AM12" s="171">
        <f>IF(LEFT('📅 Calendrier'!$D44,2)="S7",MID('📅 Calendrier'!$D44,SEARCH("séance",'📅 Calendrier'!$D44)+7,2),"")</f>
        <v/>
      </c>
    </row>
    <row r="13" ht="15" customHeight="1" s="107">
      <c r="B13" s="174" t="inlineStr">
        <is>
          <t>⏳ Tampons (rattrapage)</t>
        </is>
      </c>
      <c r="C13" s="175">
        <f>IF(LEFT('📅 Calendrier'!$D4,1)="⏳","⏳","")</f>
        <v/>
      </c>
      <c r="D13" s="175">
        <f>IF(LEFT('📅 Calendrier'!$D5,1)="⏳","⏳","")</f>
        <v/>
      </c>
      <c r="E13" s="175">
        <f>IF(LEFT('📅 Calendrier'!$D6,1)="⏳","⏳","")</f>
        <v/>
      </c>
      <c r="F13" s="175">
        <f>IF(LEFT('📅 Calendrier'!$D7,1)="⏳","⏳","")</f>
        <v/>
      </c>
      <c r="G13" s="175">
        <f>IF(LEFT('📅 Calendrier'!$D8,1)="⏳","⏳","")</f>
        <v/>
      </c>
      <c r="H13" s="175">
        <f>IF(LEFT('📅 Calendrier'!$D9,1)="⏳","⏳","")</f>
        <v/>
      </c>
      <c r="I13" s="175">
        <f>IF(LEFT('📅 Calendrier'!$D10,1)="⏳","⏳","")</f>
        <v/>
      </c>
      <c r="J13" s="175">
        <f>IF(LEFT('📅 Calendrier'!$D11,1)="⏳","⏳","")</f>
        <v/>
      </c>
      <c r="K13" s="175">
        <f>IF(LEFT('📅 Calendrier'!$D13,1)="⏳","⏳","")</f>
        <v/>
      </c>
      <c r="L13" s="175">
        <f>IF(LEFT('📅 Calendrier'!$D14,1)="⏳","⏳","")</f>
        <v/>
      </c>
      <c r="M13" s="175">
        <f>IF(LEFT('📅 Calendrier'!$D15,1)="⏳","⏳","")</f>
        <v/>
      </c>
      <c r="N13" s="175">
        <f>IF(LEFT('📅 Calendrier'!$D16,1)="⏳","⏳","")</f>
        <v/>
      </c>
      <c r="O13" s="175">
        <f>IF(LEFT('📅 Calendrier'!$D17,1)="⏳","⏳","")</f>
        <v/>
      </c>
      <c r="P13" s="175">
        <f>IF(LEFT('📅 Calendrier'!$D18,1)="⏳","⏳","")</f>
        <v/>
      </c>
      <c r="Q13" s="175">
        <f>IF(LEFT('📅 Calendrier'!$D19,1)="⏳","⏳","")</f>
        <v/>
      </c>
      <c r="R13" s="175">
        <f>IF(LEFT('📅 Calendrier'!$D21,1)="⏳","⏳","")</f>
        <v/>
      </c>
      <c r="S13" s="175">
        <f>IF(LEFT('📅 Calendrier'!$D22,1)="⏳","⏳","")</f>
        <v/>
      </c>
      <c r="T13" s="175">
        <f>IF(LEFT('📅 Calendrier'!$D23,1)="⏳","⏳","")</f>
        <v/>
      </c>
      <c r="U13" s="175">
        <f>IF(LEFT('📅 Calendrier'!$D24,1)="⏳","⏳","")</f>
        <v/>
      </c>
      <c r="V13" s="175">
        <f>IF(LEFT('📅 Calendrier'!$D25,1)="⏳","⏳","")</f>
        <v/>
      </c>
      <c r="W13" s="175">
        <f>IF(LEFT('📅 Calendrier'!$D27,1)="⏳","⏳","")</f>
        <v/>
      </c>
      <c r="X13" s="175">
        <f>IF(LEFT('📅 Calendrier'!$D28,1)="⏳","⏳","")</f>
        <v/>
      </c>
      <c r="Y13" s="175">
        <f>IF(LEFT('📅 Calendrier'!$D29,1)="⏳","⏳","")</f>
        <v/>
      </c>
      <c r="Z13" s="175">
        <f>IF(LEFT('📅 Calendrier'!$D30,1)="⏳","⏳","")</f>
        <v/>
      </c>
      <c r="AA13" s="175">
        <f>IF(LEFT('📅 Calendrier'!$D31,1)="⏳","⏳","")</f>
        <v/>
      </c>
      <c r="AB13" s="175">
        <f>IF(LEFT('📅 Calendrier'!$D32,1)="⏳","⏳","")</f>
        <v/>
      </c>
      <c r="AC13" s="175">
        <f>IF(LEFT('📅 Calendrier'!$D33,1)="⏳","⏳","")</f>
        <v/>
      </c>
      <c r="AD13" s="175">
        <f>IF(LEFT('📅 Calendrier'!$D34,1)="⏳","⏳","")</f>
        <v/>
      </c>
      <c r="AE13" s="175">
        <f>IF(LEFT('📅 Calendrier'!$D36,1)="⏳","⏳","")</f>
        <v/>
      </c>
      <c r="AF13" s="175">
        <f>IF(LEFT('📅 Calendrier'!$D37,1)="⏳","⏳","")</f>
        <v/>
      </c>
      <c r="AG13" s="175">
        <f>IF(LEFT('📅 Calendrier'!$D38,1)="⏳","⏳","")</f>
        <v/>
      </c>
      <c r="AH13" s="175">
        <f>IF(LEFT('📅 Calendrier'!$D39,1)="⏳","⏳","")</f>
        <v/>
      </c>
      <c r="AI13" s="175">
        <f>IF(LEFT('📅 Calendrier'!$D40,1)="⏳","⏳","")</f>
        <v/>
      </c>
      <c r="AJ13" s="175">
        <f>IF(LEFT('📅 Calendrier'!$D41,1)="⏳","⏳","")</f>
        <v/>
      </c>
      <c r="AK13" s="175">
        <f>IF(LEFT('📅 Calendrier'!$D42,1)="⏳","⏳","")</f>
        <v/>
      </c>
      <c r="AL13" s="175">
        <f>IF(LEFT('📅 Calendrier'!$D43,1)="⏳","⏳","")</f>
        <v/>
      </c>
      <c r="AM13" s="175">
        <f>IF(LEFT('📅 Calendrier'!$D44,1)="⏳","⏳","")</f>
        <v/>
      </c>
    </row>
    <row r="14" ht="15" customHeight="1" s="107">
      <c r="B14" s="176" t="inlineStr">
        <is>
          <t>⚠ Imprévus (saisis au Calendrier)</t>
        </is>
      </c>
      <c r="C14" s="177">
        <f>IF('📅 Calendrier'!$G4&lt;&gt;"","⚠","")</f>
        <v/>
      </c>
      <c r="D14" s="177">
        <f>IF('📅 Calendrier'!$G5&lt;&gt;"","⚠","")</f>
        <v/>
      </c>
      <c r="E14" s="177">
        <f>IF('📅 Calendrier'!$G6&lt;&gt;"","⚠","")</f>
        <v/>
      </c>
      <c r="F14" s="177">
        <f>IF('📅 Calendrier'!$G7&lt;&gt;"","⚠","")</f>
        <v/>
      </c>
      <c r="G14" s="177">
        <f>IF('📅 Calendrier'!$G8&lt;&gt;"","⚠","")</f>
        <v/>
      </c>
      <c r="H14" s="177">
        <f>IF('📅 Calendrier'!$G9&lt;&gt;"","⚠","")</f>
        <v/>
      </c>
      <c r="I14" s="177">
        <f>IF('📅 Calendrier'!$G10&lt;&gt;"","⚠","")</f>
        <v/>
      </c>
      <c r="J14" s="177">
        <f>IF('📅 Calendrier'!$G11&lt;&gt;"","⚠","")</f>
        <v/>
      </c>
      <c r="K14" s="177">
        <f>IF('📅 Calendrier'!$G13&lt;&gt;"","⚠","")</f>
        <v/>
      </c>
      <c r="L14" s="177">
        <f>IF('📅 Calendrier'!$G14&lt;&gt;"","⚠","")</f>
        <v/>
      </c>
      <c r="M14" s="177">
        <f>IF('📅 Calendrier'!$G15&lt;&gt;"","⚠","")</f>
        <v/>
      </c>
      <c r="N14" s="177">
        <f>IF('📅 Calendrier'!$G16&lt;&gt;"","⚠","")</f>
        <v/>
      </c>
      <c r="O14" s="177">
        <f>IF('📅 Calendrier'!$G17&lt;&gt;"","⚠","")</f>
        <v/>
      </c>
      <c r="P14" s="177">
        <f>IF('📅 Calendrier'!$G18&lt;&gt;"","⚠","")</f>
        <v/>
      </c>
      <c r="Q14" s="177">
        <f>IF('📅 Calendrier'!$G19&lt;&gt;"","⚠","")</f>
        <v/>
      </c>
      <c r="R14" s="177">
        <f>IF('📅 Calendrier'!$G21&lt;&gt;"","⚠","")</f>
        <v/>
      </c>
      <c r="S14" s="177">
        <f>IF('📅 Calendrier'!$G22&lt;&gt;"","⚠","")</f>
        <v/>
      </c>
      <c r="T14" s="177">
        <f>IF('📅 Calendrier'!$G23&lt;&gt;"","⚠","")</f>
        <v/>
      </c>
      <c r="U14" s="177">
        <f>IF('📅 Calendrier'!$G24&lt;&gt;"","⚠","")</f>
        <v/>
      </c>
      <c r="V14" s="177">
        <f>IF('📅 Calendrier'!$G25&lt;&gt;"","⚠","")</f>
        <v/>
      </c>
      <c r="W14" s="177">
        <f>IF('📅 Calendrier'!$G27&lt;&gt;"","⚠","")</f>
        <v/>
      </c>
      <c r="X14" s="177">
        <f>IF('📅 Calendrier'!$G28&lt;&gt;"","⚠","")</f>
        <v/>
      </c>
      <c r="Y14" s="177">
        <f>IF('📅 Calendrier'!$G29&lt;&gt;"","⚠","")</f>
        <v/>
      </c>
      <c r="Z14" s="177">
        <f>IF('📅 Calendrier'!$G30&lt;&gt;"","⚠","")</f>
        <v/>
      </c>
      <c r="AA14" s="177">
        <f>IF('📅 Calendrier'!$G31&lt;&gt;"","⚠","")</f>
        <v/>
      </c>
      <c r="AB14" s="177">
        <f>IF('📅 Calendrier'!$G32&lt;&gt;"","⚠","")</f>
        <v/>
      </c>
      <c r="AC14" s="177">
        <f>IF('📅 Calendrier'!$G33&lt;&gt;"","⚠","")</f>
        <v/>
      </c>
      <c r="AD14" s="177">
        <f>IF('📅 Calendrier'!$G34&lt;&gt;"","⚠","")</f>
        <v/>
      </c>
      <c r="AE14" s="177">
        <f>IF('📅 Calendrier'!$G36&lt;&gt;"","⚠","")</f>
        <v/>
      </c>
      <c r="AF14" s="177">
        <f>IF('📅 Calendrier'!$G37&lt;&gt;"","⚠","")</f>
        <v/>
      </c>
      <c r="AG14" s="177">
        <f>IF('📅 Calendrier'!$G38&lt;&gt;"","⚠","")</f>
        <v/>
      </c>
      <c r="AH14" s="177">
        <f>IF('📅 Calendrier'!$G39&lt;&gt;"","⚠","")</f>
        <v/>
      </c>
      <c r="AI14" s="177">
        <f>IF('📅 Calendrier'!$G40&lt;&gt;"","⚠","")</f>
        <v/>
      </c>
      <c r="AJ14" s="177">
        <f>IF('📅 Calendrier'!$G41&lt;&gt;"","⚠","")</f>
        <v/>
      </c>
      <c r="AK14" s="177">
        <f>IF('📅 Calendrier'!$G42&lt;&gt;"","⚠","")</f>
        <v/>
      </c>
      <c r="AL14" s="177">
        <f>IF('📅 Calendrier'!$G43&lt;&gt;"","⚠","")</f>
        <v/>
      </c>
      <c r="AM14" s="177">
        <f>IF('📅 Calendrier'!$G44&lt;&gt;"","⚠","")</f>
        <v/>
      </c>
    </row>
    <row r="16" ht="39.75" customHeight="1" s="107">
      <c r="B16" s="178" t="inlineStr">
        <is>
          <t>Une case = 1 semaine (1 séance de 1 h 30) ; le numéro = n° de séance dans la séquence. Imprévu : onglet 📅 Calendrier, colonne « ⚠ Imprévu ? » (ou la grande fenêtre de la version macros) — tout se recalcule immédiatement.</t>
        </is>
      </c>
    </row>
  </sheetData>
  <mergeCells count="9">
    <mergeCell ref="C3:J3"/>
    <mergeCell ref="A1:AM1"/>
    <mergeCell ref="B2:N2"/>
    <mergeCell ref="K3:Q3"/>
    <mergeCell ref="R3:V3"/>
    <mergeCell ref="B16:X16"/>
    <mergeCell ref="P2:T2"/>
    <mergeCell ref="W3:AD3"/>
    <mergeCell ref="AE3:AM3"/>
  </mergeCells>
  <conditionalFormatting sqref="C6:AM6">
    <cfRule type="expression" rank="0" priority="2" equalAverage="0" aboveAverage="0" dxfId="2" text="" percent="0" bottom="0">
      <formula>C6&lt;&gt;""</formula>
    </cfRule>
  </conditionalFormatting>
  <conditionalFormatting sqref="C7:AM7">
    <cfRule type="expression" rank="0" priority="3" equalAverage="0" aboveAverage="0" dxfId="2" text="" percent="0" bottom="0">
      <formula>C7&lt;&gt;""</formula>
    </cfRule>
  </conditionalFormatting>
  <conditionalFormatting sqref="C8:AM8">
    <cfRule type="expression" rank="0" priority="4" equalAverage="0" aboveAverage="0" dxfId="2" text="" percent="0" bottom="0">
      <formula>C8&lt;&gt;""</formula>
    </cfRule>
  </conditionalFormatting>
  <conditionalFormatting sqref="C9:AM9">
    <cfRule type="expression" rank="0" priority="5" equalAverage="0" aboveAverage="0" dxfId="3" text="" percent="0" bottom="0">
      <formula>C9&lt;&gt;""</formula>
    </cfRule>
  </conditionalFormatting>
  <conditionalFormatting sqref="C10:AM10">
    <cfRule type="expression" rank="0" priority="6" equalAverage="0" aboveAverage="0" dxfId="3" text="" percent="0" bottom="0">
      <formula>C10&lt;&gt;""</formula>
    </cfRule>
  </conditionalFormatting>
  <conditionalFormatting sqref="C11:AM11">
    <cfRule type="expression" rank="0" priority="7" equalAverage="0" aboveAverage="0" dxfId="3" text="" percent="0" bottom="0">
      <formula>C11&lt;&gt;""</formula>
    </cfRule>
  </conditionalFormatting>
  <conditionalFormatting sqref="C12:AM12">
    <cfRule type="expression" rank="0" priority="8" equalAverage="0" aboveAverage="0" dxfId="4" text="" percent="0" bottom="0">
      <formula>C12&lt;&gt;""</formula>
    </cfRule>
  </conditionalFormatting>
  <conditionalFormatting sqref="C13:AM13">
    <cfRule type="expression" rank="0" priority="9" equalAverage="0" aboveAverage="0" dxfId="5" text="" percent="0" bottom="0">
      <formula>C13&lt;&gt;""</formula>
    </cfRule>
  </conditionalFormatting>
  <conditionalFormatting sqref="C14:AM14">
    <cfRule type="expression" rank="0" priority="10" equalAverage="0" aboveAverage="0" dxfId="6" text="" percent="0" bottom="0">
      <formula>C14&lt;&gt;""</formula>
    </cfRule>
  </conditionalFormatting>
  <hyperlinks>
    <hyperlink xmlns:r="http://schemas.openxmlformats.org/officeDocument/2006/relationships" ref="P2" location="'🏠%20Accueil'!A1" display="◀ Accueil" r:id="rId1"/>
    <hyperlink xmlns:r="http://schemas.openxmlformats.org/officeDocument/2006/relationships" ref="B6" location="'S1'!A1" display="S1 · Objets qui évoluent" r:id="rId2"/>
    <hyperlink xmlns:r="http://schemas.openxmlformats.org/officeDocument/2006/relationships" ref="B7" location="'S2'!A1" display="S2 · Identité numérique" r:id="rId3"/>
    <hyperlink xmlns:r="http://schemas.openxmlformats.org/officeDocument/2006/relationships" ref="B8" location="'S3'!A1" display="S3 · Ergonomie &amp; choix argumenté" r:id="rId4"/>
    <hyperlink xmlns:r="http://schemas.openxmlformats.org/officeDocument/2006/relationships" ref="B9" location="'S4'!A1" display="S4 · Jardin connecté : chaînes" r:id="rId5"/>
    <hyperlink xmlns:r="http://schemas.openxmlformats.org/officeDocument/2006/relationships" ref="B10" location="'S5'!A1" display="S5 · Objets connectés en réseau" r:id="rId6"/>
    <hyperlink xmlns:r="http://schemas.openxmlformats.org/officeDocument/2006/relationships" ref="B11" location="'S6'!A1" display="S6 · Réparer sans notice (+C4.3)" r:id="rId7"/>
    <hyperlink xmlns:r="http://schemas.openxmlformats.org/officeDocument/2006/relationships" ref="B12" location="'S7'!A1" display="S7 · Projet nouvelle fonction" r:id="rId8"/>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7030A0"/>
    <outlinePr summaryBelow="1" summaryRight="1"/>
    <pageSetUpPr fitToPage="0"/>
  </sheetPr>
  <dimension ref="A1:F12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06" min="1" max="1"/>
    <col width="8" customWidth="1" style="106" min="2" max="2"/>
    <col width="78" customWidth="1" style="106" min="3" max="3"/>
    <col width="12" customWidth="1" style="106" min="4" max="4"/>
    <col width="16" customWidth="1" style="106" min="5" max="5"/>
    <col width="11" customWidth="1" style="106" min="6" max="6"/>
  </cols>
  <sheetData>
    <row r="1" ht="18.55" customHeight="1" s="107">
      <c r="A1" s="157" t="inlineStr">
        <is>
          <t>RÉFÉRENTIEL DE COMPÉTENCES — TECHNOLOGIE CYCLE 4</t>
        </is>
      </c>
    </row>
    <row r="2" ht="15" customHeight="1" s="107">
      <c r="A2" s="133" t="inlineStr">
        <is>
          <t>9 compétences × 3 niveaux (5e / 4e / 3e) — programme 2024 · vision complète du cycle pour situer la 4e</t>
        </is>
      </c>
    </row>
    <row r="3" ht="15" customHeight="1" s="107">
      <c r="F3" s="136" t="inlineStr">
        <is>
          <t>◀ Accueil</t>
        </is>
      </c>
    </row>
    <row r="4" ht="15" customHeight="1" s="107">
      <c r="A4" s="137" t="inlineStr">
        <is>
          <t>Code</t>
        </is>
      </c>
      <c r="B4" s="137" t="inlineStr">
        <is>
          <t>Niveau</t>
        </is>
      </c>
      <c r="C4" s="137" t="inlineStr">
        <is>
          <t>Compétence / sous-compétence (intitulé officiel 2024)</t>
        </is>
      </c>
      <c r="D4" s="137" t="inlineStr">
        <is>
          <t>Thème</t>
        </is>
      </c>
      <c r="E4" s="137" t="inlineStr">
        <is>
          <t>Domaine(s) socle</t>
        </is>
      </c>
      <c r="F4" s="137" t="inlineStr">
        <is>
          <t>Évaluable</t>
        </is>
      </c>
    </row>
    <row r="5" ht="30" customHeight="1" s="107">
      <c r="A5" s="179" t="inlineStr">
        <is>
          <t>C1</t>
        </is>
      </c>
      <c r="B5" s="179" t="inlineStr">
        <is>
          <t>—</t>
        </is>
      </c>
      <c r="C5" s="179" t="inlineStr">
        <is>
          <t>Décrire les liens entre usages et évolutions technologiques des objets et des systèmes techniques</t>
        </is>
      </c>
      <c r="D5" s="179" t="inlineStr">
        <is>
          <t>Thème 1 : Les objets et les systèmes techniques : leurs usages et leurs interactions à découvrir et à analyser</t>
        </is>
      </c>
      <c r="E5" s="179" t="inlineStr">
        <is>
          <t>D2, D3, D4, D5</t>
        </is>
      </c>
      <c r="F5" s="179" t="inlineStr">
        <is>
          <t>Oui</t>
        </is>
      </c>
    </row>
    <row r="6" ht="25.5" customHeight="1" s="107">
      <c r="A6" s="180" t="inlineStr">
        <is>
          <t>5e_C1.1</t>
        </is>
      </c>
      <c r="B6" s="142" t="inlineStr">
        <is>
          <t>5e</t>
        </is>
      </c>
      <c r="C6" s="142" t="inlineStr">
        <is>
          <t>Collecter, trier et analyser des données.</t>
        </is>
      </c>
      <c r="D6" s="142" t="inlineStr">
        <is>
          <t>Thème 1</t>
        </is>
      </c>
      <c r="E6" s="142" t="inlineStr">
        <is>
          <t>D2, D4</t>
        </is>
      </c>
      <c r="F6" s="142" t="inlineStr">
        <is>
          <t>Oui</t>
        </is>
      </c>
    </row>
    <row r="7" ht="25.5" customHeight="1" s="107">
      <c r="A7" s="180" t="inlineStr">
        <is>
          <t>5e_C1.2</t>
        </is>
      </c>
      <c r="B7" s="142" t="inlineStr">
        <is>
          <t>5e</t>
        </is>
      </c>
      <c r="C7" s="142" t="inlineStr">
        <is>
          <t>Comparer des principes techniques pour une même fonction technique.</t>
        </is>
      </c>
      <c r="D7" s="142" t="inlineStr">
        <is>
          <t>Thème 1</t>
        </is>
      </c>
      <c r="E7" s="142" t="inlineStr">
        <is>
          <t>D2, D4</t>
        </is>
      </c>
      <c r="F7" s="142" t="inlineStr">
        <is>
          <t>Oui</t>
        </is>
      </c>
    </row>
    <row r="8" ht="25.5" customHeight="1" s="107">
      <c r="A8" s="180" t="inlineStr">
        <is>
          <t>5e_C1.3</t>
        </is>
      </c>
      <c r="B8" s="142" t="inlineStr">
        <is>
          <t>5e</t>
        </is>
      </c>
      <c r="C8" s="142" t="inlineStr">
        <is>
          <t>Décrire le rôle des systèmes d’information dans le partage d’information.</t>
        </is>
      </c>
      <c r="D8" s="142" t="inlineStr">
        <is>
          <t>Thème 1</t>
        </is>
      </c>
      <c r="E8" s="142" t="inlineStr">
        <is>
          <t>D2, D5</t>
        </is>
      </c>
      <c r="F8" s="142" t="inlineStr">
        <is>
          <t>Oui</t>
        </is>
      </c>
    </row>
    <row r="9" ht="25.5" customHeight="1" s="107">
      <c r="A9" s="180" t="inlineStr">
        <is>
          <t>5e_C1.4</t>
        </is>
      </c>
      <c r="B9" s="142" t="inlineStr">
        <is>
          <t>5e</t>
        </is>
      </c>
      <c r="C9" s="142" t="inlineStr">
        <is>
          <t>Recenser des données, les identifier, les classer, les représenter, les stocker, les retrouver dans une arborescence.</t>
        </is>
      </c>
      <c r="D9" s="142" t="inlineStr">
        <is>
          <t>Thème 1</t>
        </is>
      </c>
      <c r="E9" s="142" t="inlineStr">
        <is>
          <t>D2</t>
        </is>
      </c>
      <c r="F9" s="142" t="inlineStr">
        <is>
          <t>Oui</t>
        </is>
      </c>
    </row>
    <row r="10" ht="25.5" customHeight="1" s="107">
      <c r="A10" s="180" t="inlineStr">
        <is>
          <t>5e_C1.5</t>
        </is>
      </c>
      <c r="B10" s="142" t="inlineStr">
        <is>
          <t>5e</t>
        </is>
      </c>
      <c r="C10" s="142" t="inlineStr">
        <is>
          <t>Identifier des règles permettant de sécuriser un environnement numérique (bases de la cybersécurité) et des règles de respect de la propriété intellectuelle.</t>
        </is>
      </c>
      <c r="D10" s="142" t="inlineStr">
        <is>
          <t>Thème 1</t>
        </is>
      </c>
      <c r="E10" s="142" t="inlineStr">
        <is>
          <t>D3</t>
        </is>
      </c>
      <c r="F10" s="142" t="inlineStr">
        <is>
          <t>Oui</t>
        </is>
      </c>
    </row>
    <row r="11" ht="25.5" customHeight="1" s="107">
      <c r="A11" s="180" t="inlineStr">
        <is>
          <t>5e_C1.6</t>
        </is>
      </c>
      <c r="B11" s="142" t="inlineStr">
        <is>
          <t>5e</t>
        </is>
      </c>
      <c r="C11" s="142" t="inlineStr">
        <is>
          <t>Appréhender la responsabilité de chacun dans les dérives (cyberviolence, atteinte à la vie privée, aux données personnelles, usurpation d’identité).</t>
        </is>
      </c>
      <c r="D11" s="142" t="inlineStr">
        <is>
          <t>Thème 1</t>
        </is>
      </c>
      <c r="E11" s="142" t="inlineStr">
        <is>
          <t>D3</t>
        </is>
      </c>
      <c r="F11" s="142" t="inlineStr">
        <is>
          <t>Oui</t>
        </is>
      </c>
    </row>
    <row r="12" ht="25.5" customHeight="1" s="107">
      <c r="A12" s="180" t="inlineStr">
        <is>
          <t>4e_C1.1</t>
        </is>
      </c>
      <c r="B12" s="142" t="inlineStr">
        <is>
          <t>4e</t>
        </is>
      </c>
      <c r="C12" s="142" t="inlineStr">
        <is>
          <t>Mettre en relation les OST avec leurs usages.</t>
        </is>
      </c>
      <c r="D12" s="142" t="inlineStr">
        <is>
          <t>Thème 1</t>
        </is>
      </c>
      <c r="E12" s="142" t="inlineStr">
        <is>
          <t>D4, D5</t>
        </is>
      </c>
      <c r="F12" s="142" t="inlineStr">
        <is>
          <t>Oui</t>
        </is>
      </c>
    </row>
    <row r="13" ht="25.5" customHeight="1" s="107">
      <c r="A13" s="180" t="inlineStr">
        <is>
          <t>4e_C1.2</t>
        </is>
      </c>
      <c r="B13" s="142" t="inlineStr">
        <is>
          <t>4e</t>
        </is>
      </c>
      <c r="C13" s="142" t="inlineStr">
        <is>
          <t>Identifier les avantages et les inconvénients associés aux évolutions technologiques et informatiques.</t>
        </is>
      </c>
      <c r="D13" s="142" t="inlineStr">
        <is>
          <t>Thème 1</t>
        </is>
      </c>
      <c r="E13" s="142" t="inlineStr">
        <is>
          <t>D3, D4, D5</t>
        </is>
      </c>
      <c r="F13" s="142" t="inlineStr">
        <is>
          <t>Oui</t>
        </is>
      </c>
    </row>
    <row r="14" ht="25.5" customHeight="1" s="107">
      <c r="A14" s="180" t="inlineStr">
        <is>
          <t>4e_C1.3</t>
        </is>
      </c>
      <c r="B14" s="142" t="inlineStr">
        <is>
          <t>4e</t>
        </is>
      </c>
      <c r="C14" s="142" t="inlineStr">
        <is>
          <t>Justifier l’évolution d’un OST pour répondre à l’évolution des besoins.</t>
        </is>
      </c>
      <c r="D14" s="142" t="inlineStr">
        <is>
          <t>Thème 1</t>
        </is>
      </c>
      <c r="E14" s="142" t="inlineStr">
        <is>
          <t>D3, D4, D5</t>
        </is>
      </c>
      <c r="F14" s="142" t="inlineStr">
        <is>
          <t>Oui</t>
        </is>
      </c>
    </row>
    <row r="15" ht="39" customHeight="1" s="107">
      <c r="A15" s="180" t="inlineStr">
        <is>
          <t>4e_C1.4</t>
        </is>
      </c>
      <c r="B15" s="142" t="inlineStr">
        <is>
          <t>4e</t>
        </is>
      </c>
      <c r="C15" s="142" t="inlineStr">
        <is>
          <t>Identifier et appliquer les règles pour un usage raisonné des objets communicants et des environnements numériques (propriété intellectuelle, identité numérique, témoins de connexion, géolocalisation).</t>
        </is>
      </c>
      <c r="D15" s="142" t="inlineStr">
        <is>
          <t>Thème 1</t>
        </is>
      </c>
      <c r="E15" s="142" t="inlineStr">
        <is>
          <t>D1.3, D2, D3, D4</t>
        </is>
      </c>
      <c r="F15" s="142" t="inlineStr">
        <is>
          <t>Oui</t>
        </is>
      </c>
    </row>
    <row r="16" ht="25.5" customHeight="1" s="107">
      <c r="A16" s="180" t="inlineStr">
        <is>
          <t>3e_C1.1</t>
        </is>
      </c>
      <c r="B16" s="142" t="inlineStr">
        <is>
          <t>3e</t>
        </is>
      </c>
      <c r="C16" s="142" t="inlineStr">
        <is>
          <t>Identifier les innovations de rupture qui sont attachées à l’évolution d’un OST.</t>
        </is>
      </c>
      <c r="D16" s="142" t="inlineStr">
        <is>
          <t>Thème 1</t>
        </is>
      </c>
      <c r="E16" s="142" t="inlineStr">
        <is>
          <t>D3, D4, D5</t>
        </is>
      </c>
      <c r="F16" s="142" t="inlineStr">
        <is>
          <t>Oui</t>
        </is>
      </c>
    </row>
    <row r="17" ht="25.5" customHeight="1" s="107">
      <c r="A17" s="180" t="inlineStr">
        <is>
          <t>3e_C1.2</t>
        </is>
      </c>
      <c r="B17" s="142" t="inlineStr">
        <is>
          <t>3e</t>
        </is>
      </c>
      <c r="C17" s="142" t="inlineStr">
        <is>
          <t>Mettre en relation une découverte scientifique avec ses développements technologiques et leurs effets sur la société.</t>
        </is>
      </c>
      <c r="D17" s="142" t="inlineStr">
        <is>
          <t>Thème 1</t>
        </is>
      </c>
      <c r="E17" s="142" t="inlineStr">
        <is>
          <t>D3, D4, D5</t>
        </is>
      </c>
      <c r="F17" s="142" t="inlineStr">
        <is>
          <t>Oui</t>
        </is>
      </c>
    </row>
    <row r="18" ht="25.5" customHeight="1" s="107">
      <c r="A18" s="180" t="inlineStr">
        <is>
          <t>3e_C1.3</t>
        </is>
      </c>
      <c r="B18" s="142" t="inlineStr">
        <is>
          <t>3e</t>
        </is>
      </c>
      <c r="C18" s="142" t="inlineStr">
        <is>
          <t>Exprimer dans un argumentaire court l’incidence d’un OST sur la société.</t>
        </is>
      </c>
      <c r="D18" s="142" t="inlineStr">
        <is>
          <t>Thème 1</t>
        </is>
      </c>
      <c r="E18" s="142" t="inlineStr">
        <is>
          <t>D3, D4, D5</t>
        </is>
      </c>
      <c r="F18" s="142" t="inlineStr">
        <is>
          <t>Oui</t>
        </is>
      </c>
    </row>
    <row r="19" ht="25.5" customHeight="1" s="107">
      <c r="A19" s="180" t="inlineStr">
        <is>
          <t>3e_C1.4</t>
        </is>
      </c>
      <c r="B19" s="142" t="inlineStr">
        <is>
          <t>3e</t>
        </is>
      </c>
      <c r="C19" s="142" t="inlineStr">
        <is>
          <t>Exprimer dans un argumentaire court l’incidence des contraintes sociétales sur les OST.</t>
        </is>
      </c>
      <c r="D19" s="142" t="inlineStr">
        <is>
          <t>Thème 1</t>
        </is>
      </c>
      <c r="E19" s="142" t="inlineStr">
        <is>
          <t>D3, D4, D5</t>
        </is>
      </c>
      <c r="F19" s="142" t="inlineStr">
        <is>
          <t>Oui</t>
        </is>
      </c>
    </row>
    <row r="20" ht="25.5" customHeight="1" s="107">
      <c r="A20" s="180" t="inlineStr">
        <is>
          <t>3e_C1.5</t>
        </is>
      </c>
      <c r="B20" s="142" t="inlineStr">
        <is>
          <t>3e</t>
        </is>
      </c>
      <c r="C20" s="142" t="inlineStr">
        <is>
          <t>Exprimer dans un argumentaire court le rôle du développement stratégique du numérique au sein de la société et des environnements professionnels (ou des métiers).</t>
        </is>
      </c>
      <c r="D20" s="142" t="inlineStr">
        <is>
          <t>Thème 1</t>
        </is>
      </c>
      <c r="E20" s="142" t="inlineStr">
        <is>
          <t>D1.3, D2, D3</t>
        </is>
      </c>
      <c r="F20" s="142" t="inlineStr">
        <is>
          <t>Oui</t>
        </is>
      </c>
    </row>
    <row r="21" ht="30" customHeight="1" s="107">
      <c r="A21" s="179" t="inlineStr">
        <is>
          <t>C2</t>
        </is>
      </c>
      <c r="B21" s="179" t="inlineStr">
        <is>
          <t>—</t>
        </is>
      </c>
      <c r="C21" s="179" t="inlineStr">
        <is>
          <t>Décrire les interactions entre un objet ou un système technique, son environnement et les utilisateurs</t>
        </is>
      </c>
      <c r="D21" s="179" t="inlineStr">
        <is>
          <t>Thème 1</t>
        </is>
      </c>
      <c r="E21" s="179" t="inlineStr">
        <is>
          <t>D4, D5</t>
        </is>
      </c>
      <c r="F21" s="179" t="inlineStr">
        <is>
          <t>Oui</t>
        </is>
      </c>
    </row>
    <row r="22" ht="25.5" customHeight="1" s="107">
      <c r="A22" s="180" t="inlineStr">
        <is>
          <t>5e_C2.1</t>
        </is>
      </c>
      <c r="B22" s="142" t="inlineStr">
        <is>
          <t>5e</t>
        </is>
      </c>
      <c r="C22" s="142" t="inlineStr">
        <is>
          <t>Faire la liste des interacteurs extérieurs d’un OST.</t>
        </is>
      </c>
      <c r="D22" s="142" t="inlineStr">
        <is>
          <t>Thème 1</t>
        </is>
      </c>
      <c r="E22" s="142" t="inlineStr">
        <is>
          <t>D4</t>
        </is>
      </c>
      <c r="F22" s="142" t="inlineStr">
        <is>
          <t>Oui</t>
        </is>
      </c>
    </row>
    <row r="23" ht="25.5" customHeight="1" s="107">
      <c r="A23" s="180" t="inlineStr">
        <is>
          <t>5e_C2.2</t>
        </is>
      </c>
      <c r="B23" s="142" t="inlineStr">
        <is>
          <t>5e</t>
        </is>
      </c>
      <c r="C23" s="142" t="inlineStr">
        <is>
          <t>Repérer et expliquer les choix de conception dans les domaines de l’ergonomie et de la sécurité ou en lien avec des objectifs de développement durable.</t>
        </is>
      </c>
      <c r="D23" s="142" t="inlineStr">
        <is>
          <t>Thème 1</t>
        </is>
      </c>
      <c r="E23" s="142" t="inlineStr">
        <is>
          <t>D4, D5</t>
        </is>
      </c>
      <c r="F23" s="142" t="inlineStr">
        <is>
          <t>Oui</t>
        </is>
      </c>
    </row>
    <row r="24" ht="39" customHeight="1" s="107">
      <c r="A24" s="180" t="inlineStr">
        <is>
          <t>4e_C2.1</t>
        </is>
      </c>
      <c r="B24" s="142" t="inlineStr">
        <is>
          <t>4e</t>
        </is>
      </c>
      <c r="C24" s="142" t="inlineStr">
        <is>
          <t>Décrire l’expérience de l’utilisateur (ressenti et facilité d’usage) d’un OST en partant du langage naturel (texte, croquis) pour aboutir aux schémas, graphiques, algorithmes.</t>
        </is>
      </c>
      <c r="D24" s="142" t="inlineStr">
        <is>
          <t>Thème 1</t>
        </is>
      </c>
      <c r="E24" s="142" t="inlineStr">
        <is>
          <t>D1.3, D4, D5</t>
        </is>
      </c>
      <c r="F24" s="142" t="inlineStr">
        <is>
          <t>Oui</t>
        </is>
      </c>
    </row>
    <row r="25" ht="39" customHeight="1" s="107">
      <c r="A25" s="180" t="inlineStr">
        <is>
          <t>4e_C2.2</t>
        </is>
      </c>
      <c r="B25" s="142" t="inlineStr">
        <is>
          <t>4e</t>
        </is>
      </c>
      <c r="C25" s="142" t="inlineStr">
        <is>
          <t>Repérer et expliquer les contraintes, exigences prises en compte (sécurité, incidences environnementales, formes et fonctions, ergonomie, qualité, fiabilité) pour répondre aux attentes des utilisateurs.</t>
        </is>
      </c>
      <c r="D25" s="142" t="inlineStr">
        <is>
          <t>Thème 1</t>
        </is>
      </c>
      <c r="E25" s="142" t="inlineStr">
        <is>
          <t>D3, D4, D5</t>
        </is>
      </c>
      <c r="F25" s="142" t="inlineStr">
        <is>
          <t>Oui</t>
        </is>
      </c>
    </row>
    <row r="26" ht="25.5" customHeight="1" s="107">
      <c r="A26" s="180" t="inlineStr">
        <is>
          <t>3e_C2.1</t>
        </is>
      </c>
      <c r="B26" s="142" t="inlineStr">
        <is>
          <t>3e</t>
        </is>
      </c>
      <c r="C26" s="142" t="inlineStr">
        <is>
          <t>Décrire l’expérience de l’utilisateur d’un OST à l’aide de modes de représentation choisis.</t>
        </is>
      </c>
      <c r="D26" s="142" t="inlineStr">
        <is>
          <t>Thème 1</t>
        </is>
      </c>
      <c r="E26" s="142" t="inlineStr">
        <is>
          <t>D1.3, D4, D5</t>
        </is>
      </c>
      <c r="F26" s="142" t="inlineStr">
        <is>
          <t>Oui</t>
        </is>
      </c>
    </row>
    <row r="27" ht="30" customHeight="1" s="107">
      <c r="A27" s="179" t="inlineStr">
        <is>
          <t>C3</t>
        </is>
      </c>
      <c r="B27" s="179" t="inlineStr">
        <is>
          <t>—</t>
        </is>
      </c>
      <c r="C27" s="179" t="inlineStr">
        <is>
          <t>Caractériser et choisir un objet ou un système technique selon différents critères</t>
        </is>
      </c>
      <c r="D27" s="179" t="inlineStr">
        <is>
          <t>Thème 1</t>
        </is>
      </c>
      <c r="E27" s="179" t="inlineStr">
        <is>
          <t>D1.3, D2, D3, D4, D5</t>
        </is>
      </c>
      <c r="F27" s="179" t="inlineStr">
        <is>
          <t>Oui</t>
        </is>
      </c>
    </row>
    <row r="28" ht="25.5" customHeight="1" s="107">
      <c r="A28" s="180" t="inlineStr">
        <is>
          <t>5e_C3.1</t>
        </is>
      </c>
      <c r="B28" s="142" t="inlineStr">
        <is>
          <t>5e</t>
        </is>
      </c>
      <c r="C28" s="142" t="inlineStr">
        <is>
          <t>Repérer pour un OST les matériaux, les sources et les formes d’énergies, le traitement de l’information.</t>
        </is>
      </c>
      <c r="D28" s="142" t="inlineStr">
        <is>
          <t>Thème 1</t>
        </is>
      </c>
      <c r="E28" s="142" t="inlineStr">
        <is>
          <t>D2, D4</t>
        </is>
      </c>
      <c r="F28" s="142" t="inlineStr">
        <is>
          <t>Oui</t>
        </is>
      </c>
    </row>
    <row r="29" ht="25.5" customHeight="1" s="107">
      <c r="A29" s="180" t="inlineStr">
        <is>
          <t>5e_C3.2</t>
        </is>
      </c>
      <c r="B29" s="142" t="inlineStr">
        <is>
          <t>5e</t>
        </is>
      </c>
      <c r="C29" s="142" t="inlineStr">
        <is>
          <t>Identifier les étapes du cycle de vie d’un OST influencées par les choix de matériaux et d’énergie.</t>
        </is>
      </c>
      <c r="D29" s="142" t="inlineStr">
        <is>
          <t>Thème 1</t>
        </is>
      </c>
      <c r="E29" s="142" t="inlineStr">
        <is>
          <t>D3, D4, D5</t>
        </is>
      </c>
      <c r="F29" s="142" t="inlineStr">
        <is>
          <t>Oui</t>
        </is>
      </c>
    </row>
    <row r="30" ht="25.5" customHeight="1" s="107">
      <c r="A30" s="180" t="inlineStr">
        <is>
          <t>5e_C3.3</t>
        </is>
      </c>
      <c r="B30" s="142" t="inlineStr">
        <is>
          <t>5e</t>
        </is>
      </c>
      <c r="C30" s="142" t="inlineStr">
        <is>
          <t>Choisir un OST parmi plusieurs propositions en vue de répondre à un besoin.</t>
        </is>
      </c>
      <c r="D30" s="142" t="inlineStr">
        <is>
          <t>Thème 1</t>
        </is>
      </c>
      <c r="E30" s="142" t="inlineStr">
        <is>
          <t>D3, D4, D5</t>
        </is>
      </c>
      <c r="F30" s="142" t="inlineStr">
        <is>
          <t>Oui</t>
        </is>
      </c>
    </row>
    <row r="31" ht="25.5" customHeight="1" s="107">
      <c r="A31" s="180" t="inlineStr">
        <is>
          <t>5e_C3.4</t>
        </is>
      </c>
      <c r="B31" s="142" t="inlineStr">
        <is>
          <t>5e</t>
        </is>
      </c>
      <c r="C31" s="142" t="inlineStr">
        <is>
          <t>Mesurer et comparer une performance d’un OST à partir d’un protocole fourni.</t>
        </is>
      </c>
      <c r="D31" s="142" t="inlineStr">
        <is>
          <t>Thème 1</t>
        </is>
      </c>
      <c r="E31" s="142" t="inlineStr">
        <is>
          <t>D1.3, D2, D4</t>
        </is>
      </c>
      <c r="F31" s="142" t="inlineStr">
        <is>
          <t>Oui</t>
        </is>
      </c>
    </row>
    <row r="32" ht="25.5" customHeight="1" s="107">
      <c r="A32" s="180" t="inlineStr">
        <is>
          <t>4e_C3.1</t>
        </is>
      </c>
      <c r="B32" s="142" t="inlineStr">
        <is>
          <t>4e</t>
        </is>
      </c>
      <c r="C32" s="142" t="inlineStr">
        <is>
          <t>Identifier les caractéristiques à prendre en compte dans le choix d’un OST en vue de répondre à un besoin.</t>
        </is>
      </c>
      <c r="D32" s="142" t="inlineStr">
        <is>
          <t>Thème 1</t>
        </is>
      </c>
      <c r="E32" s="142" t="inlineStr">
        <is>
          <t>D3, D4, D5</t>
        </is>
      </c>
      <c r="F32" s="142" t="inlineStr">
        <is>
          <t>Oui</t>
        </is>
      </c>
    </row>
    <row r="33" ht="39" customHeight="1" s="107">
      <c r="A33" s="180" t="inlineStr">
        <is>
          <t>4e_C3.2</t>
        </is>
      </c>
      <c r="B33" s="142" t="inlineStr">
        <is>
          <t>4e</t>
        </is>
      </c>
      <c r="C33" s="142" t="inlineStr">
        <is>
          <t>Comparer qualitativement et/ou quantitativement (incidences environnementales, bilan carbone, efficacité énergétique) plusieurs OST répondant au même besoin et arrêter un choix.</t>
        </is>
      </c>
      <c r="D33" s="142" t="inlineStr">
        <is>
          <t>Thème 1</t>
        </is>
      </c>
      <c r="E33" s="142" t="inlineStr">
        <is>
          <t>D1.3, D2, D3, D4, D5</t>
        </is>
      </c>
      <c r="F33" s="142" t="inlineStr">
        <is>
          <t>Oui</t>
        </is>
      </c>
    </row>
    <row r="34" ht="25.5" customHeight="1" s="107">
      <c r="A34" s="180" t="inlineStr">
        <is>
          <t>4e_C3.3</t>
        </is>
      </c>
      <c r="B34" s="142" t="inlineStr">
        <is>
          <t>4e</t>
        </is>
      </c>
      <c r="C34" s="142" t="inlineStr">
        <is>
          <t>Choisir les appareils de mesure à utiliser pour mesurer une performance d’un OST à partir d’un protocole donné.</t>
        </is>
      </c>
      <c r="D34" s="142" t="inlineStr">
        <is>
          <t>Thème 1</t>
        </is>
      </c>
      <c r="E34" s="142" t="inlineStr">
        <is>
          <t>D1.3, D2, D4</t>
        </is>
      </c>
      <c r="F34" s="142" t="inlineStr">
        <is>
          <t>Oui</t>
        </is>
      </c>
    </row>
    <row r="35" ht="25.5" customHeight="1" s="107">
      <c r="A35" s="180" t="inlineStr">
        <is>
          <t>3e_C3.1</t>
        </is>
      </c>
      <c r="B35" s="142" t="inlineStr">
        <is>
          <t>3e</t>
        </is>
      </c>
      <c r="C35" s="142" t="inlineStr">
        <is>
          <t>Établir une liste d’OST possibles en vue de répondre à un besoin.</t>
        </is>
      </c>
      <c r="D35" s="142" t="inlineStr">
        <is>
          <t>Thème 1</t>
        </is>
      </c>
      <c r="E35" s="142" t="inlineStr">
        <is>
          <t>D3, D4, D5</t>
        </is>
      </c>
      <c r="F35" s="142" t="inlineStr">
        <is>
          <t>Oui</t>
        </is>
      </c>
    </row>
    <row r="36" ht="25.5" customHeight="1" s="107">
      <c r="A36" s="180" t="inlineStr">
        <is>
          <t>3e_C3.2</t>
        </is>
      </c>
      <c r="B36" s="142" t="inlineStr">
        <is>
          <t>3e</t>
        </is>
      </c>
      <c r="C36" s="142" t="inlineStr">
        <is>
          <t>Choisir un OST et argumenter ce choix en prenant en compte son cycle de vie et les trois piliers du développement durable.</t>
        </is>
      </c>
      <c r="D36" s="142" t="inlineStr">
        <is>
          <t>Thème 1</t>
        </is>
      </c>
      <c r="E36" s="142" t="inlineStr">
        <is>
          <t>D3, D4, D5</t>
        </is>
      </c>
      <c r="F36" s="142" t="inlineStr">
        <is>
          <t>Oui</t>
        </is>
      </c>
    </row>
    <row r="37" ht="25.5" customHeight="1" s="107">
      <c r="A37" s="180" t="inlineStr">
        <is>
          <t>3e_C3.3</t>
        </is>
      </c>
      <c r="B37" s="142" t="inlineStr">
        <is>
          <t>3e</t>
        </is>
      </c>
      <c r="C37" s="142" t="inlineStr">
        <is>
          <t>Évaluer les OST selon des exigences ou des critères identifiés (caractéristiques, performances, coût, indice de réparabilité).</t>
        </is>
      </c>
      <c r="D37" s="142" t="inlineStr">
        <is>
          <t>Thème 1</t>
        </is>
      </c>
      <c r="E37" s="142" t="inlineStr">
        <is>
          <t>D3, D4, D5</t>
        </is>
      </c>
      <c r="F37" s="142" t="inlineStr">
        <is>
          <t>Oui</t>
        </is>
      </c>
    </row>
    <row r="38" ht="25.5" customHeight="1" s="107">
      <c r="A38" s="180" t="inlineStr">
        <is>
          <t>3e_C3.4</t>
        </is>
      </c>
      <c r="B38" s="142" t="inlineStr">
        <is>
          <t>3e</t>
        </is>
      </c>
      <c r="C38" s="142" t="inlineStr">
        <is>
          <t>Définir et mettre en œuvre un protocole pour mesurer une caractéristique, une performance d’un OST.</t>
        </is>
      </c>
      <c r="D38" s="142" t="inlineStr">
        <is>
          <t>Thème 1</t>
        </is>
      </c>
      <c r="E38" s="142" t="inlineStr">
        <is>
          <t>D1.3, D2, D4</t>
        </is>
      </c>
      <c r="F38" s="142" t="inlineStr">
        <is>
          <t>Oui</t>
        </is>
      </c>
    </row>
    <row r="39" ht="30" customHeight="1" s="107">
      <c r="A39" s="179" t="inlineStr">
        <is>
          <t>C4</t>
        </is>
      </c>
      <c r="B39" s="179" t="inlineStr">
        <is>
          <t>—</t>
        </is>
      </c>
      <c r="C39" s="179" t="inlineStr">
        <is>
          <t>Décrire et caractériser l’organisation interne d’un objet ou d’un système technique et ses échanges avec son environnement (énergies, données)</t>
        </is>
      </c>
      <c r="D39" s="179" t="inlineStr">
        <is>
          <t>Thème 2 : Structure, fonctionnement, comportement : des objets et des systèmes techniques à comprendre</t>
        </is>
      </c>
      <c r="E39" s="179" t="inlineStr">
        <is>
          <t>D1.3, D1.4, D2, D4, D5</t>
        </is>
      </c>
      <c r="F39" s="179" t="inlineStr">
        <is>
          <t>Oui</t>
        </is>
      </c>
    </row>
    <row r="40" ht="25.5" customHeight="1" s="107">
      <c r="A40" s="180" t="inlineStr">
        <is>
          <t>5e_C4.1</t>
        </is>
      </c>
      <c r="B40" s="142" t="inlineStr">
        <is>
          <t>5e</t>
        </is>
      </c>
      <c r="C40" s="142" t="inlineStr">
        <is>
          <t>Associer des solutions techniques à une ou des fonctions techniques.</t>
        </is>
      </c>
      <c r="D40" s="142" t="inlineStr">
        <is>
          <t>Thème 2</t>
        </is>
      </c>
      <c r="E40" s="142" t="inlineStr">
        <is>
          <t>D2, D4, D5</t>
        </is>
      </c>
      <c r="F40" s="142" t="inlineStr">
        <is>
          <t>Oui</t>
        </is>
      </c>
    </row>
    <row r="41" ht="25.5" customHeight="1" s="107">
      <c r="A41" s="180" t="inlineStr">
        <is>
          <t>5e_C4.2</t>
        </is>
      </c>
      <c r="B41" s="142" t="inlineStr">
        <is>
          <t>5e</t>
        </is>
      </c>
      <c r="C41" s="142" t="inlineStr">
        <is>
          <t>Identifier des constituants de la chaîne d’énergie d’un objet technique (l’organisation de la chaîne d’énergie étant fournie).</t>
        </is>
      </c>
      <c r="D41" s="142" t="inlineStr">
        <is>
          <t>Thème 2</t>
        </is>
      </c>
      <c r="E41" s="142" t="inlineStr">
        <is>
          <t>D1.3, D2, D4</t>
        </is>
      </c>
      <c r="F41" s="142" t="inlineStr">
        <is>
          <t>Oui</t>
        </is>
      </c>
    </row>
    <row r="42" ht="25.5" customHeight="1" s="107">
      <c r="A42" s="180" t="inlineStr">
        <is>
          <t>5e_C4.3</t>
        </is>
      </c>
      <c r="B42" s="142" t="inlineStr">
        <is>
          <t>5e</t>
        </is>
      </c>
      <c r="C42" s="142" t="inlineStr">
        <is>
          <t>Indiquer la nature des énergies en entrée et en sortie des constituants de la chaîne d’énergie.</t>
        </is>
      </c>
      <c r="D42" s="142" t="inlineStr">
        <is>
          <t>Thème 2</t>
        </is>
      </c>
      <c r="E42" s="142" t="inlineStr">
        <is>
          <t>D1.3, D4</t>
        </is>
      </c>
      <c r="F42" s="142" t="inlineStr">
        <is>
          <t>Oui</t>
        </is>
      </c>
    </row>
    <row r="43" ht="25.5" customHeight="1" s="107">
      <c r="A43" s="180" t="inlineStr">
        <is>
          <t>5e_C4.4</t>
        </is>
      </c>
      <c r="B43" s="142" t="inlineStr">
        <is>
          <t>5e</t>
        </is>
      </c>
      <c r="C43" s="142" t="inlineStr">
        <is>
          <t>Identifier les principaux matériaux constitutifs d’un OST.</t>
        </is>
      </c>
      <c r="D43" s="142" t="inlineStr">
        <is>
          <t>Thème 2</t>
        </is>
      </c>
      <c r="E43" s="142" t="inlineStr">
        <is>
          <t>D3, D4, D5</t>
        </is>
      </c>
      <c r="F43" s="142" t="inlineStr">
        <is>
          <t>Oui</t>
        </is>
      </c>
    </row>
    <row r="44" ht="25.5" customHeight="1" s="107">
      <c r="A44" s="180" t="inlineStr">
        <is>
          <t>5e_C4.5</t>
        </is>
      </c>
      <c r="B44" s="142" t="inlineStr">
        <is>
          <t>5e</t>
        </is>
      </c>
      <c r="C44" s="142" t="inlineStr">
        <is>
          <t>Identifier des constituants de la chaîne d’information d’un OST (l’organisation de la chaîne d’information étant fournie).</t>
        </is>
      </c>
      <c r="D44" s="142" t="inlineStr">
        <is>
          <t>Thème 2</t>
        </is>
      </c>
      <c r="E44" s="142" t="inlineStr">
        <is>
          <t>D1.3, D2, D4</t>
        </is>
      </c>
      <c r="F44" s="142" t="inlineStr">
        <is>
          <t>Oui</t>
        </is>
      </c>
    </row>
    <row r="45" ht="25.5" customHeight="1" s="107">
      <c r="A45" s="180" t="inlineStr">
        <is>
          <t>5e_C4.6</t>
        </is>
      </c>
      <c r="B45" s="142" t="inlineStr">
        <is>
          <t>5e</t>
        </is>
      </c>
      <c r="C45" s="142" t="inlineStr">
        <is>
          <t>Déterminer des descripteurs permettant de décrire des objets sous forme de données en précisant leurs types et leurs formats.</t>
        </is>
      </c>
      <c r="D45" s="142" t="inlineStr">
        <is>
          <t>Thème 2</t>
        </is>
      </c>
      <c r="E45" s="142" t="inlineStr">
        <is>
          <t>D1.3, D2, D4</t>
        </is>
      </c>
      <c r="F45" s="142" t="inlineStr">
        <is>
          <t>Oui</t>
        </is>
      </c>
    </row>
    <row r="46" ht="25.5" customHeight="1" s="107">
      <c r="A46" s="180" t="inlineStr">
        <is>
          <t>5e_C4.7</t>
        </is>
      </c>
      <c r="B46" s="142" t="inlineStr">
        <is>
          <t>5e</t>
        </is>
      </c>
      <c r="C46" s="142" t="inlineStr">
        <is>
          <t>Identifier les composants qui constituent un réseau local (terminaux, commutateurs, liaisons filaires et sans fil (WiFi)) et sa topologie.</t>
        </is>
      </c>
      <c r="D46" s="142" t="inlineStr">
        <is>
          <t>Thème 2</t>
        </is>
      </c>
      <c r="E46" s="142" t="inlineStr">
        <is>
          <t>D2, D4</t>
        </is>
      </c>
      <c r="F46" s="142" t="inlineStr">
        <is>
          <t>Oui</t>
        </is>
      </c>
    </row>
    <row r="47" ht="25.5" customHeight="1" s="107">
      <c r="A47" s="180" t="inlineStr">
        <is>
          <t>5e_C4.8</t>
        </is>
      </c>
      <c r="B47" s="142" t="inlineStr">
        <is>
          <t>5e</t>
        </is>
      </c>
      <c r="C47" s="142" t="inlineStr">
        <is>
          <t>Justifier la nécessité d’identifier les terminaux pour communiquer sur un réseau local (activité débranchée et vérification par un outil de simulation).</t>
        </is>
      </c>
      <c r="D47" s="142" t="inlineStr">
        <is>
          <t>Thème 2</t>
        </is>
      </c>
      <c r="E47" s="142" t="inlineStr">
        <is>
          <t>D2, D4</t>
        </is>
      </c>
      <c r="F47" s="142" t="inlineStr">
        <is>
          <t>Oui</t>
        </is>
      </c>
    </row>
    <row r="48" ht="25.5" customHeight="1" s="107">
      <c r="A48" s="180" t="inlineStr">
        <is>
          <t>4e_C4.1</t>
        </is>
      </c>
      <c r="B48" s="142" t="inlineStr">
        <is>
          <t>4e</t>
        </is>
      </c>
      <c r="C48" s="142" t="inlineStr">
        <is>
          <t>Identifier les constituants d’une chaîne d’énergie et les associer à leurs fonctions.</t>
        </is>
      </c>
      <c r="D48" s="142" t="inlineStr">
        <is>
          <t>Thème 2</t>
        </is>
      </c>
      <c r="E48" s="142" t="inlineStr">
        <is>
          <t>D2, D4, D5</t>
        </is>
      </c>
      <c r="F48" s="142" t="inlineStr">
        <is>
          <t>Oui</t>
        </is>
      </c>
    </row>
    <row r="49" ht="25.5" customHeight="1" s="107">
      <c r="A49" s="180" t="inlineStr">
        <is>
          <t>4e_C4.2</t>
        </is>
      </c>
      <c r="B49" s="142" t="inlineStr">
        <is>
          <t>4e</t>
        </is>
      </c>
      <c r="C49" s="142" t="inlineStr">
        <is>
          <t>Repérer les transformations d’énergie et les flux d’énergie au sein de l’OST.</t>
        </is>
      </c>
      <c r="D49" s="142" t="inlineStr">
        <is>
          <t>Thème 2</t>
        </is>
      </c>
      <c r="E49" s="142" t="inlineStr">
        <is>
          <t>D1.3, D2, D4</t>
        </is>
      </c>
      <c r="F49" s="142" t="inlineStr">
        <is>
          <t>Oui</t>
        </is>
      </c>
    </row>
    <row r="50" ht="25.5" customHeight="1" s="107">
      <c r="A50" s="180" t="inlineStr">
        <is>
          <t>4e_C4.3</t>
        </is>
      </c>
      <c r="B50" s="142" t="inlineStr">
        <is>
          <t>4e</t>
        </is>
      </c>
      <c r="C50" s="142" t="inlineStr">
        <is>
          <t>Mettre en relation la forme d’une pièce avec le procédé de réalisation.</t>
        </is>
      </c>
      <c r="D50" s="142" t="inlineStr">
        <is>
          <t>Thème 2</t>
        </is>
      </c>
      <c r="E50" s="142" t="inlineStr">
        <is>
          <t>D3, D4, D5</t>
        </is>
      </c>
      <c r="F50" s="142" t="inlineStr">
        <is>
          <t>Oui</t>
        </is>
      </c>
    </row>
    <row r="51" ht="25.5" customHeight="1" s="107">
      <c r="A51" s="180" t="inlineStr">
        <is>
          <t>4e_C4.4</t>
        </is>
      </c>
      <c r="B51" s="142" t="inlineStr">
        <is>
          <t>4e</t>
        </is>
      </c>
      <c r="C51" s="142" t="inlineStr">
        <is>
          <t>Identifier les constituants de la chaîne d’information d’un objet réel et les associer à leur fonction.</t>
        </is>
      </c>
      <c r="D51" s="142" t="inlineStr">
        <is>
          <t>Thème 2</t>
        </is>
      </c>
      <c r="E51" s="142" t="inlineStr">
        <is>
          <t>D1.3, D2, D4</t>
        </is>
      </c>
      <c r="F51" s="142" t="inlineStr">
        <is>
          <t>Oui</t>
        </is>
      </c>
    </row>
    <row r="52" ht="25.5" customHeight="1" s="107">
      <c r="A52" s="180" t="inlineStr">
        <is>
          <t>4e_C4.5</t>
        </is>
      </c>
      <c r="B52" s="142" t="inlineStr">
        <is>
          <t>4e</t>
        </is>
      </c>
      <c r="C52" s="142" t="inlineStr">
        <is>
          <t>Décrire et analyser la transformation des données téléversées ou issues d’un OST.</t>
        </is>
      </c>
      <c r="D52" s="142" t="inlineStr">
        <is>
          <t>Thème 2</t>
        </is>
      </c>
      <c r="E52" s="142" t="inlineStr">
        <is>
          <t>D1.3, D2, D4</t>
        </is>
      </c>
      <c r="F52" s="142" t="inlineStr">
        <is>
          <t>Oui</t>
        </is>
      </c>
    </row>
    <row r="53" ht="25.5" customHeight="1" s="107">
      <c r="A53" s="180" t="inlineStr">
        <is>
          <t>4e_C4.6</t>
        </is>
      </c>
      <c r="B53" s="142" t="inlineStr">
        <is>
          <t>4e</t>
        </is>
      </c>
      <c r="C53" s="142" t="inlineStr">
        <is>
          <t>Décrire et analyser la structuration d’une table de données qui permet une exploitation et une interprétation du comportement d’un OST.</t>
        </is>
      </c>
      <c r="D53" s="142" t="inlineStr">
        <is>
          <t>Thème 2</t>
        </is>
      </c>
      <c r="E53" s="142" t="inlineStr">
        <is>
          <t>D1.3, D2, D4</t>
        </is>
      </c>
      <c r="F53" s="142" t="inlineStr">
        <is>
          <t>Oui</t>
        </is>
      </c>
    </row>
    <row r="54" ht="25.5" customHeight="1" s="107">
      <c r="A54" s="180" t="inlineStr">
        <is>
          <t>4e_C4.7</t>
        </is>
      </c>
      <c r="B54" s="142" t="inlineStr">
        <is>
          <t>4e</t>
        </is>
      </c>
      <c r="C54" s="142" t="inlineStr">
        <is>
          <t>Paramétrer une adresse IP fixe pour ajouter un objet connecté à un réseau local.</t>
        </is>
      </c>
      <c r="D54" s="142" t="inlineStr">
        <is>
          <t>Thème 2</t>
        </is>
      </c>
      <c r="E54" s="142" t="inlineStr">
        <is>
          <t>D2, D4</t>
        </is>
      </c>
      <c r="F54" s="142" t="inlineStr">
        <is>
          <t>Oui</t>
        </is>
      </c>
    </row>
    <row r="55" ht="39" customHeight="1" s="107">
      <c r="A55" s="180" t="inlineStr">
        <is>
          <t>4e_C4.8</t>
        </is>
      </c>
      <c r="B55" s="142" t="inlineStr">
        <is>
          <t>4e</t>
        </is>
      </c>
      <c r="C55" s="142" t="inlineStr">
        <is>
          <t>Résoudre des problèmes pour assurer la communication entre les différents terminaux dans un réseau informatique (simulation ou réseau local déconnecté du réseau pédagogique).</t>
        </is>
      </c>
      <c r="D55" s="142" t="inlineStr">
        <is>
          <t>Thème 2</t>
        </is>
      </c>
      <c r="E55" s="142" t="inlineStr">
        <is>
          <t>D2, D4</t>
        </is>
      </c>
      <c r="F55" s="142" t="inlineStr">
        <is>
          <t>Oui</t>
        </is>
      </c>
    </row>
    <row r="56" ht="25.5" customHeight="1" s="107">
      <c r="A56" s="180" t="inlineStr">
        <is>
          <t>4e_C4.9</t>
        </is>
      </c>
      <c r="B56" s="142" t="inlineStr">
        <is>
          <t>4e</t>
        </is>
      </c>
      <c r="C56" s="142" t="inlineStr">
        <is>
          <t>Compléter une simulation fournie pour valider le comportement d’un réseau informatique.</t>
        </is>
      </c>
      <c r="D56" s="142" t="inlineStr">
        <is>
          <t>Thème 2</t>
        </is>
      </c>
      <c r="E56" s="142" t="inlineStr">
        <is>
          <t>D2, D4</t>
        </is>
      </c>
      <c r="F56" s="142" t="inlineStr">
        <is>
          <t>Oui</t>
        </is>
      </c>
    </row>
    <row r="57" ht="25.5" customHeight="1" s="107">
      <c r="A57" s="180" t="inlineStr">
        <is>
          <t>3e_C4.1</t>
        </is>
      </c>
      <c r="B57" s="142" t="inlineStr">
        <is>
          <t>3e</t>
        </is>
      </c>
      <c r="C57" s="142" t="inlineStr">
        <is>
          <t>Élaborer, à l’aide d’un schéma bloc, la chaîne d’énergie d’un OST.</t>
        </is>
      </c>
      <c r="D57" s="142" t="inlineStr">
        <is>
          <t>Thème 2</t>
        </is>
      </c>
      <c r="E57" s="142" t="inlineStr">
        <is>
          <t>D1.3, D2, D4</t>
        </is>
      </c>
      <c r="F57" s="142" t="inlineStr">
        <is>
          <t>Oui</t>
        </is>
      </c>
    </row>
    <row r="58" ht="25.5" customHeight="1" s="107">
      <c r="A58" s="180" t="inlineStr">
        <is>
          <t>3e_C4.2</t>
        </is>
      </c>
      <c r="B58" s="142" t="inlineStr">
        <is>
          <t>3e</t>
        </is>
      </c>
      <c r="C58" s="142" t="inlineStr">
        <is>
          <t>Justifier le choix d’un matériau et de son procédé de mise en forme au regard des contraintes techniques et environnementales.</t>
        </is>
      </c>
      <c r="D58" s="142" t="inlineStr">
        <is>
          <t>Thème 2</t>
        </is>
      </c>
      <c r="E58" s="142" t="inlineStr">
        <is>
          <t>D3, D4, D5</t>
        </is>
      </c>
      <c r="F58" s="142" t="inlineStr">
        <is>
          <t>Oui</t>
        </is>
      </c>
    </row>
    <row r="59" ht="25.5" customHeight="1" s="107">
      <c r="A59" s="180" t="inlineStr">
        <is>
          <t>3e_C4.3</t>
        </is>
      </c>
      <c r="B59" s="142" t="inlineStr">
        <is>
          <t>3e</t>
        </is>
      </c>
      <c r="C59" s="142" t="inlineStr">
        <is>
          <t>Décrire un OST en caractérisant sa chaîne d’information.</t>
        </is>
      </c>
      <c r="D59" s="142" t="inlineStr">
        <is>
          <t>Thème 2</t>
        </is>
      </c>
      <c r="E59" s="142" t="inlineStr">
        <is>
          <t>D1.3, D2, D4</t>
        </is>
      </c>
      <c r="F59" s="142" t="inlineStr">
        <is>
          <t>Oui</t>
        </is>
      </c>
    </row>
    <row r="60" ht="25.5" customHeight="1" s="107">
      <c r="A60" s="180" t="inlineStr">
        <is>
          <t>3e_C4.4</t>
        </is>
      </c>
      <c r="B60" s="142" t="inlineStr">
        <is>
          <t>3e</t>
        </is>
      </c>
      <c r="C60" s="142" t="inlineStr">
        <is>
          <t>Associer des grandeurs analogiques issues d’un OST à des données exploitables.</t>
        </is>
      </c>
      <c r="D60" s="142" t="inlineStr">
        <is>
          <t>Thème 2</t>
        </is>
      </c>
      <c r="E60" s="142" t="inlineStr">
        <is>
          <t>D1.3, D2, D4</t>
        </is>
      </c>
      <c r="F60" s="142" t="inlineStr">
        <is>
          <t>Oui</t>
        </is>
      </c>
    </row>
    <row r="61" ht="25.5" customHeight="1" s="107">
      <c r="A61" s="180" t="inlineStr">
        <is>
          <t>3e_C4.5</t>
        </is>
      </c>
      <c r="B61" s="142" t="inlineStr">
        <is>
          <t>3e</t>
        </is>
      </c>
      <c r="C61" s="142" t="inlineStr">
        <is>
          <t>Représenter sous forme de données les informations de diverses natures utilisées par un OST.</t>
        </is>
      </c>
      <c r="D61" s="142" t="inlineStr">
        <is>
          <t>Thème 2</t>
        </is>
      </c>
      <c r="E61" s="142" t="inlineStr">
        <is>
          <t>D1.3, D2, D4</t>
        </is>
      </c>
      <c r="F61" s="142" t="inlineStr">
        <is>
          <t>Oui</t>
        </is>
      </c>
    </row>
    <row r="62" ht="25.5" customHeight="1" s="107">
      <c r="A62" s="180" t="inlineStr">
        <is>
          <t>3e_C4.6</t>
        </is>
      </c>
      <c r="B62" s="142" t="inlineStr">
        <is>
          <t>3e</t>
        </is>
      </c>
      <c r="C62" s="142" t="inlineStr">
        <is>
          <t>Identifier, selon les cas, leur mise en forme, leur transmission ou leur stockage dans des fichiers (texte, image, nombre) afin de comprendre le fonctionnement de l’OST.</t>
        </is>
      </c>
      <c r="D62" s="142" t="inlineStr">
        <is>
          <t>Thème 2</t>
        </is>
      </c>
      <c r="E62" s="142" t="inlineStr">
        <is>
          <t>D1.3, D2, D4</t>
        </is>
      </c>
      <c r="F62" s="142" t="inlineStr">
        <is>
          <t>Oui</t>
        </is>
      </c>
    </row>
    <row r="63" ht="25.5" customHeight="1" s="107">
      <c r="A63" s="180" t="inlineStr">
        <is>
          <t>3e_C4.7</t>
        </is>
      </c>
      <c r="B63" s="142" t="inlineStr">
        <is>
          <t>3e</t>
        </is>
      </c>
      <c r="C63" s="142" t="inlineStr">
        <is>
          <t>Identifier et représenter la circulation d’une information dans le réseau Internet.</t>
        </is>
      </c>
      <c r="D63" s="142" t="inlineStr">
        <is>
          <t>Thème 2</t>
        </is>
      </c>
      <c r="E63" s="142" t="inlineStr">
        <is>
          <t>D2, D4</t>
        </is>
      </c>
      <c r="F63" s="142" t="inlineStr">
        <is>
          <t>Oui</t>
        </is>
      </c>
    </row>
    <row r="64" ht="25.5" customHeight="1" s="107">
      <c r="A64" s="180" t="inlineStr">
        <is>
          <t>3e_C4.8</t>
        </is>
      </c>
      <c r="B64" s="142" t="inlineStr">
        <is>
          <t>3e</t>
        </is>
      </c>
      <c r="C64" s="142" t="inlineStr">
        <is>
          <t>Justifier la nécessité d’un protocole de routage pour faire communiquer plusieurs réseaux (activité débranchée, table de routage donnée).</t>
        </is>
      </c>
      <c r="D64" s="142" t="inlineStr">
        <is>
          <t>Thème 2</t>
        </is>
      </c>
      <c r="E64" s="142" t="inlineStr">
        <is>
          <t>D2, D4</t>
        </is>
      </c>
      <c r="F64" s="142" t="inlineStr">
        <is>
          <t>Oui</t>
        </is>
      </c>
    </row>
    <row r="65" ht="30" customHeight="1" s="107">
      <c r="A65" s="179" t="inlineStr">
        <is>
          <t>C5</t>
        </is>
      </c>
      <c r="B65" s="179" t="inlineStr">
        <is>
          <t>—</t>
        </is>
      </c>
      <c r="C65" s="179" t="inlineStr">
        <is>
          <t>Identifier un dysfonctionnement d’un objet technique et y remédier</t>
        </is>
      </c>
      <c r="D65" s="179" t="inlineStr">
        <is>
          <t>Thème 2</t>
        </is>
      </c>
      <c r="E65" s="179" t="inlineStr">
        <is>
          <t>D1.3, D2, D3, D4, D5</t>
        </is>
      </c>
      <c r="F65" s="179" t="inlineStr">
        <is>
          <t>Oui</t>
        </is>
      </c>
    </row>
    <row r="66" ht="25.5" customHeight="1" s="107">
      <c r="A66" s="180" t="inlineStr">
        <is>
          <t>5e_C5.1</t>
        </is>
      </c>
      <c r="B66" s="142" t="inlineStr">
        <is>
          <t>5e</t>
        </is>
      </c>
      <c r="C66" s="142" t="inlineStr">
        <is>
          <t>Repérer visuellement une pièce défectueuse.</t>
        </is>
      </c>
      <c r="D66" s="142" t="inlineStr">
        <is>
          <t>Thème 2</t>
        </is>
      </c>
      <c r="E66" s="142" t="inlineStr">
        <is>
          <t>D1.3, D2, D4</t>
        </is>
      </c>
      <c r="F66" s="142" t="inlineStr">
        <is>
          <t>Oui</t>
        </is>
      </c>
    </row>
    <row r="67" ht="25.5" customHeight="1" s="107">
      <c r="A67" s="180" t="inlineStr">
        <is>
          <t>5e_C5.2</t>
        </is>
      </c>
      <c r="B67" s="142" t="inlineStr">
        <is>
          <t>5e</t>
        </is>
      </c>
      <c r="C67" s="142" t="inlineStr">
        <is>
          <t>Réaliser une réparation en suivant un protocole fourni.</t>
        </is>
      </c>
      <c r="D67" s="142" t="inlineStr">
        <is>
          <t>Thème 2</t>
        </is>
      </c>
      <c r="E67" s="142" t="inlineStr">
        <is>
          <t>D2, D3, D4</t>
        </is>
      </c>
      <c r="F67" s="142" t="inlineStr">
        <is>
          <t>Oui</t>
        </is>
      </c>
    </row>
    <row r="68" ht="25.5" customHeight="1" s="107">
      <c r="A68" s="180" t="inlineStr">
        <is>
          <t>5e_C5.3</t>
        </is>
      </c>
      <c r="B68" s="142" t="inlineStr">
        <is>
          <t>5e</t>
        </is>
      </c>
      <c r="C68" s="142" t="inlineStr">
        <is>
          <t>Découvrir les procédés de réalisation présents dans un atelier de fabrication collaboratif.</t>
        </is>
      </c>
      <c r="D68" s="142" t="inlineStr">
        <is>
          <t>Thème 2</t>
        </is>
      </c>
      <c r="E68" s="142" t="inlineStr">
        <is>
          <t>D2, D3, D4, D5</t>
        </is>
      </c>
      <c r="F68" s="142" t="inlineStr">
        <is>
          <t>Oui</t>
        </is>
      </c>
    </row>
    <row r="69" ht="25.5" customHeight="1" s="107">
      <c r="A69" s="180" t="inlineStr">
        <is>
          <t>4e_C5.1</t>
        </is>
      </c>
      <c r="B69" s="142" t="inlineStr">
        <is>
          <t>4e</t>
        </is>
      </c>
      <c r="C69" s="142" t="inlineStr">
        <is>
          <t>Proposer un protocole permettant de vérifier l’origine d’un dysfonctionnement.</t>
        </is>
      </c>
      <c r="D69" s="142" t="inlineStr">
        <is>
          <t>Thème 2</t>
        </is>
      </c>
      <c r="E69" s="142" t="inlineStr">
        <is>
          <t>D1.3, D2, D4</t>
        </is>
      </c>
      <c r="F69" s="142" t="inlineStr">
        <is>
          <t>Oui</t>
        </is>
      </c>
    </row>
    <row r="70" ht="25.5" customHeight="1" s="107">
      <c r="A70" s="180" t="inlineStr">
        <is>
          <t>4e_C5.2</t>
        </is>
      </c>
      <c r="B70" s="142" t="inlineStr">
        <is>
          <t>4e</t>
        </is>
      </c>
      <c r="C70" s="142" t="inlineStr">
        <is>
          <t>Remplacer une pièce défectueuse sans protocole fourni (la pièce de remplacement étant fournie).</t>
        </is>
      </c>
      <c r="D70" s="142" t="inlineStr">
        <is>
          <t>Thème 2</t>
        </is>
      </c>
      <c r="E70" s="142" t="inlineStr">
        <is>
          <t>D2, D3, D4</t>
        </is>
      </c>
      <c r="F70" s="142" t="inlineStr">
        <is>
          <t>Oui</t>
        </is>
      </c>
    </row>
    <row r="71" ht="25.5" customHeight="1" s="107">
      <c r="A71" s="180" t="inlineStr">
        <is>
          <t>4e_C5.3</t>
        </is>
      </c>
      <c r="B71" s="142" t="inlineStr">
        <is>
          <t>4e</t>
        </is>
      </c>
      <c r="C71" s="142" t="inlineStr">
        <is>
          <t>Choisir les procédés de réalisation et les mettre en œuvre.</t>
        </is>
      </c>
      <c r="D71" s="142" t="inlineStr">
        <is>
          <t>Thème 2</t>
        </is>
      </c>
      <c r="E71" s="142" t="inlineStr">
        <is>
          <t>D2, D3, D4</t>
        </is>
      </c>
      <c r="F71" s="142" t="inlineStr">
        <is>
          <t>Oui</t>
        </is>
      </c>
    </row>
    <row r="72" ht="25.5" customHeight="1" s="107">
      <c r="A72" s="180" t="inlineStr">
        <is>
          <t>3e_C5.1</t>
        </is>
      </c>
      <c r="B72" s="142" t="inlineStr">
        <is>
          <t>3e</t>
        </is>
      </c>
      <c r="C72" s="142" t="inlineStr">
        <is>
          <t>Formuler des hypothèses expliquant le dysfonctionnement d’un objet technique.</t>
        </is>
      </c>
      <c r="D72" s="142" t="inlineStr">
        <is>
          <t>Thème 2</t>
        </is>
      </c>
      <c r="E72" s="142" t="inlineStr">
        <is>
          <t>D1.3, D2, D4</t>
        </is>
      </c>
      <c r="F72" s="142" t="inlineStr">
        <is>
          <t>Oui</t>
        </is>
      </c>
    </row>
    <row r="73" ht="25.5" customHeight="1" s="107">
      <c r="A73" s="180" t="inlineStr">
        <is>
          <t>3e_C5.2</t>
        </is>
      </c>
      <c r="B73" s="142" t="inlineStr">
        <is>
          <t>3e</t>
        </is>
      </c>
      <c r="C73" s="142" t="inlineStr">
        <is>
          <t>Proposer un protocole de dépannage puis de réparation.</t>
        </is>
      </c>
      <c r="D73" s="142" t="inlineStr">
        <is>
          <t>Thème 2</t>
        </is>
      </c>
      <c r="E73" s="142" t="inlineStr">
        <is>
          <t>D1.3, D2, D4</t>
        </is>
      </c>
      <c r="F73" s="142" t="inlineStr">
        <is>
          <t>Oui</t>
        </is>
      </c>
    </row>
    <row r="74" ht="25.5" customHeight="1" s="107">
      <c r="A74" s="180" t="inlineStr">
        <is>
          <t>3e_C5.3</t>
        </is>
      </c>
      <c r="B74" s="142" t="inlineStr">
        <is>
          <t>3e</t>
        </is>
      </c>
      <c r="C74" s="142" t="inlineStr">
        <is>
          <t>Réaliser le dépannage ou la réparation d’un système défectueux.</t>
        </is>
      </c>
      <c r="D74" s="142" t="inlineStr">
        <is>
          <t>Thème 2</t>
        </is>
      </c>
      <c r="E74" s="142" t="inlineStr">
        <is>
          <t>D2, D3, D4</t>
        </is>
      </c>
      <c r="F74" s="142" t="inlineStr">
        <is>
          <t>Oui</t>
        </is>
      </c>
    </row>
    <row r="75" ht="25.5" customHeight="1" s="107">
      <c r="A75" s="180" t="inlineStr">
        <is>
          <t>3e_C5.4</t>
        </is>
      </c>
      <c r="B75" s="142" t="inlineStr">
        <is>
          <t>3e</t>
        </is>
      </c>
      <c r="C75" s="142" t="inlineStr">
        <is>
          <t>Réaliser une pièce sur mesure pour réparer un objet technique.</t>
        </is>
      </c>
      <c r="D75" s="142" t="inlineStr">
        <is>
          <t>Thème 2</t>
        </is>
      </c>
      <c r="E75" s="142" t="inlineStr">
        <is>
          <t>D2, D3, D4</t>
        </is>
      </c>
      <c r="F75" s="142" t="inlineStr">
        <is>
          <t>Oui</t>
        </is>
      </c>
    </row>
    <row r="76" ht="30" customHeight="1" s="107">
      <c r="A76" s="179" t="inlineStr">
        <is>
          <t>C6</t>
        </is>
      </c>
      <c r="B76" s="179" t="inlineStr">
        <is>
          <t>—</t>
        </is>
      </c>
      <c r="C76" s="179" t="inlineStr">
        <is>
          <t>Comprendre et modifier un programme associé à une fonctionnalité d’un objet ou d’un système technique</t>
        </is>
      </c>
      <c r="D76" s="179" t="inlineStr">
        <is>
          <t>Thème 2</t>
        </is>
      </c>
      <c r="E76" s="179" t="inlineStr">
        <is>
          <t>D1.3, D2, D4</t>
        </is>
      </c>
      <c r="F76" s="179" t="inlineStr">
        <is>
          <t>Oui</t>
        </is>
      </c>
    </row>
    <row r="77" ht="25.5" customHeight="1" s="107">
      <c r="A77" s="180" t="inlineStr">
        <is>
          <t>5e_C6.1</t>
        </is>
      </c>
      <c r="B77" s="142" t="inlineStr">
        <is>
          <t>5e</t>
        </is>
      </c>
      <c r="C77" s="142" t="inlineStr">
        <is>
          <t>Identifier les données utilisées et produites par le programme associé à une fonctionnalité d’un OST (à partir d’un programme existant).</t>
        </is>
      </c>
      <c r="D77" s="142" t="inlineStr">
        <is>
          <t>Thème 2</t>
        </is>
      </c>
      <c r="E77" s="142" t="inlineStr">
        <is>
          <t>D1.3, D2, D4</t>
        </is>
      </c>
      <c r="F77" s="142" t="inlineStr">
        <is>
          <t>Oui</t>
        </is>
      </c>
    </row>
    <row r="78" ht="25.5" customHeight="1" s="107">
      <c r="A78" s="180" t="inlineStr">
        <is>
          <t>5e_C6.2</t>
        </is>
      </c>
      <c r="B78" s="142" t="inlineStr">
        <is>
          <t>5e</t>
        </is>
      </c>
      <c r="C78" s="142" t="inlineStr">
        <is>
          <t>Comprendre et traduire en un algorithme en langage naturel le programme associé à une fonctionnalité d’un OST.</t>
        </is>
      </c>
      <c r="D78" s="142" t="inlineStr">
        <is>
          <t>Thème 2</t>
        </is>
      </c>
      <c r="E78" s="142" t="inlineStr">
        <is>
          <t>D1.3, D4</t>
        </is>
      </c>
      <c r="F78" s="142" t="inlineStr">
        <is>
          <t>Oui</t>
        </is>
      </c>
    </row>
    <row r="79" ht="25.5" customHeight="1" s="107">
      <c r="A79" s="180" t="inlineStr">
        <is>
          <t>5e_C6.3</t>
        </is>
      </c>
      <c r="B79" s="142" t="inlineStr">
        <is>
          <t>5e</t>
        </is>
      </c>
      <c r="C79" s="142" t="inlineStr">
        <is>
          <t>Modifier les paramètres d’un programme et identifier ou évaluer ses effets en termes de fonctionnalité.</t>
        </is>
      </c>
      <c r="D79" s="142" t="inlineStr">
        <is>
          <t>Thème 2</t>
        </is>
      </c>
      <c r="E79" s="142" t="inlineStr">
        <is>
          <t>D1.3, D4</t>
        </is>
      </c>
      <c r="F79" s="142" t="inlineStr">
        <is>
          <t>Oui</t>
        </is>
      </c>
    </row>
    <row r="80" ht="25.5" customHeight="1" s="107">
      <c r="A80" s="180" t="inlineStr">
        <is>
          <t>4e_C6.1</t>
        </is>
      </c>
      <c r="B80" s="142" t="inlineStr">
        <is>
          <t>4e</t>
        </is>
      </c>
      <c r="C80" s="142" t="inlineStr">
        <is>
          <t>Analyser les données et en déduire des modifications à apporter au programme.</t>
        </is>
      </c>
      <c r="D80" s="142" t="inlineStr">
        <is>
          <t>Thème 2</t>
        </is>
      </c>
      <c r="E80" s="142" t="inlineStr">
        <is>
          <t>D1.3, D2, D4</t>
        </is>
      </c>
      <c r="F80" s="142" t="inlineStr">
        <is>
          <t>Oui</t>
        </is>
      </c>
    </row>
    <row r="81" ht="25.5" customHeight="1" s="107">
      <c r="A81" s="180" t="inlineStr">
        <is>
          <t>4e_C6.2</t>
        </is>
      </c>
      <c r="B81" s="142" t="inlineStr">
        <is>
          <t>4e</t>
        </is>
      </c>
      <c r="C81" s="142" t="inlineStr">
        <is>
          <t>Compléter un programme pour répondre à une fonctionnalité d’un OST.</t>
        </is>
      </c>
      <c r="D81" s="142" t="inlineStr">
        <is>
          <t>Thème 2</t>
        </is>
      </c>
      <c r="E81" s="142" t="inlineStr">
        <is>
          <t>D1.3, D2, D4</t>
        </is>
      </c>
      <c r="F81" s="142" t="inlineStr">
        <is>
          <t>Oui</t>
        </is>
      </c>
    </row>
    <row r="82" ht="25.5" customHeight="1" s="107">
      <c r="A82" s="180" t="inlineStr">
        <is>
          <t>4e_C6.3</t>
        </is>
      </c>
      <c r="B82" s="142" t="inlineStr">
        <is>
          <t>4e</t>
        </is>
      </c>
      <c r="C82" s="142" t="inlineStr">
        <is>
          <t>Tester et valider, dans un environnement simulé ou réel, une modification du programme.</t>
        </is>
      </c>
      <c r="D82" s="142" t="inlineStr">
        <is>
          <t>Thème 2</t>
        </is>
      </c>
      <c r="E82" s="142" t="inlineStr">
        <is>
          <t>D1.3, D2, D4</t>
        </is>
      </c>
      <c r="F82" s="142" t="inlineStr">
        <is>
          <t>Oui</t>
        </is>
      </c>
    </row>
    <row r="83" ht="25.5" customHeight="1" s="107">
      <c r="A83" s="180" t="inlineStr">
        <is>
          <t>3e_C6.1</t>
        </is>
      </c>
      <c r="B83" s="142" t="inlineStr">
        <is>
          <t>3e</t>
        </is>
      </c>
      <c r="C83" s="142" t="inlineStr">
        <is>
          <t>Déterminer les données utilisées et produites par un programme associé à une fonctionnalité en vue de le modifier.</t>
        </is>
      </c>
      <c r="D83" s="142" t="inlineStr">
        <is>
          <t>Thème 2</t>
        </is>
      </c>
      <c r="E83" s="142" t="inlineStr">
        <is>
          <t>D1.3, D2, D4</t>
        </is>
      </c>
      <c r="F83" s="142" t="inlineStr">
        <is>
          <t>Oui</t>
        </is>
      </c>
    </row>
    <row r="84" ht="25.5" customHeight="1" s="107">
      <c r="A84" s="180" t="inlineStr">
        <is>
          <t>3e_C6.2</t>
        </is>
      </c>
      <c r="B84" s="142" t="inlineStr">
        <is>
          <t>3e</t>
        </is>
      </c>
      <c r="C84" s="142" t="inlineStr">
        <is>
          <t>Programmer un algorithme lié à une nouvelle fonctionnalité.</t>
        </is>
      </c>
      <c r="D84" s="142" t="inlineStr">
        <is>
          <t>Thème 2</t>
        </is>
      </c>
      <c r="E84" s="142" t="inlineStr">
        <is>
          <t>D1.3, D2, D4</t>
        </is>
      </c>
      <c r="F84" s="142" t="inlineStr">
        <is>
          <t>Oui</t>
        </is>
      </c>
    </row>
    <row r="85" ht="25.5" customHeight="1" s="107">
      <c r="A85" s="180" t="inlineStr">
        <is>
          <t>3e_C6.3</t>
        </is>
      </c>
      <c r="B85" s="142" t="inlineStr">
        <is>
          <t>3e</t>
        </is>
      </c>
      <c r="C85" s="142" t="inlineStr">
        <is>
          <t>Modifier et tester le programme associé à une nouvelle fonctionnalité d’un OST.</t>
        </is>
      </c>
      <c r="D85" s="142" t="inlineStr">
        <is>
          <t>Thème 2</t>
        </is>
      </c>
      <c r="E85" s="142" t="inlineStr">
        <is>
          <t>D1.3, D2, D4</t>
        </is>
      </c>
      <c r="F85" s="142" t="inlineStr">
        <is>
          <t>Oui</t>
        </is>
      </c>
    </row>
    <row r="86" ht="30" customHeight="1" s="107">
      <c r="A86" s="179" t="inlineStr">
        <is>
          <t>C7</t>
        </is>
      </c>
      <c r="B86" s="179" t="inlineStr">
        <is>
          <t>—</t>
        </is>
      </c>
      <c r="C86" s="179" t="inlineStr">
        <is>
          <t>Imaginer, concevoir et réaliser une ou des solutions en réponse à un besoin, à des exigences (de développement durable, par exemple) ou à la nécessité d’améliorations dans une démarche de créativité</t>
        </is>
      </c>
      <c r="D86" s="179" t="inlineStr">
        <is>
          <t>Thème 3 : Création, conception, réalisation, innovations : des objets à concevoir et à réaliser</t>
        </is>
      </c>
      <c r="E86" s="179" t="inlineStr">
        <is>
          <t>D2, D3, D4, D5</t>
        </is>
      </c>
      <c r="F86" s="179" t="inlineStr">
        <is>
          <t>Oui</t>
        </is>
      </c>
    </row>
    <row r="87" ht="25.5" customHeight="1" s="107">
      <c r="A87" s="180" t="inlineStr">
        <is>
          <t>5e_C7.1</t>
        </is>
      </c>
      <c r="B87" s="142" t="inlineStr">
        <is>
          <t>5e</t>
        </is>
      </c>
      <c r="C87" s="142" t="inlineStr">
        <is>
          <t>Suivre un processus de conception et de réalisation dans une durée, avec des tâches identifiées.</t>
        </is>
      </c>
      <c r="D87" s="142" t="inlineStr">
        <is>
          <t>Thème 3</t>
        </is>
      </c>
      <c r="E87" s="142" t="inlineStr">
        <is>
          <t>D2, D4, D5</t>
        </is>
      </c>
      <c r="F87" s="142" t="inlineStr">
        <is>
          <t>Oui</t>
        </is>
      </c>
    </row>
    <row r="88" ht="25.5" customHeight="1" s="107">
      <c r="A88" s="180" t="inlineStr">
        <is>
          <t>5e_C7.2</t>
        </is>
      </c>
      <c r="B88" s="142" t="inlineStr">
        <is>
          <t>5e</t>
        </is>
      </c>
      <c r="C88" s="142" t="inlineStr">
        <is>
          <t>Fabriquer une solution pour améliorer un OST existant.</t>
        </is>
      </c>
      <c r="D88" s="142" t="inlineStr">
        <is>
          <t>Thème 3</t>
        </is>
      </c>
      <c r="E88" s="142" t="inlineStr">
        <is>
          <t>D2, D3, D4</t>
        </is>
      </c>
      <c r="F88" s="142" t="inlineStr">
        <is>
          <t>Oui</t>
        </is>
      </c>
    </row>
    <row r="89" ht="25.5" customHeight="1" s="107">
      <c r="A89" s="180" t="inlineStr">
        <is>
          <t>5e_C7.3</t>
        </is>
      </c>
      <c r="B89" s="142" t="inlineStr">
        <is>
          <t>5e</t>
        </is>
      </c>
      <c r="C89" s="142" t="inlineStr">
        <is>
          <t>Choisir un matériau parmi plusieurs proposés en fonction de leurs caractéristiques.</t>
        </is>
      </c>
      <c r="D89" s="142" t="inlineStr">
        <is>
          <t>Thème 3</t>
        </is>
      </c>
      <c r="E89" s="142" t="inlineStr">
        <is>
          <t>D3, D4, D5</t>
        </is>
      </c>
      <c r="F89" s="142" t="inlineStr">
        <is>
          <t>Oui</t>
        </is>
      </c>
    </row>
    <row r="90" ht="25.5" customHeight="1" s="107">
      <c r="A90" s="180" t="inlineStr">
        <is>
          <t>5e_C7.4</t>
        </is>
      </c>
      <c r="B90" s="142" t="inlineStr">
        <is>
          <t>5e</t>
        </is>
      </c>
      <c r="C90" s="142" t="inlineStr">
        <is>
          <t>Choisir une source d’énergie parmi plusieurs proposées et une forme d’énergie possible.</t>
        </is>
      </c>
      <c r="D90" s="142" t="inlineStr">
        <is>
          <t>Thème 3</t>
        </is>
      </c>
      <c r="E90" s="142" t="inlineStr">
        <is>
          <t>D3, D4, D5</t>
        </is>
      </c>
      <c r="F90" s="142" t="inlineStr">
        <is>
          <t>Oui</t>
        </is>
      </c>
    </row>
    <row r="91" ht="25.5" customHeight="1" s="107">
      <c r="A91" s="180" t="inlineStr">
        <is>
          <t>5e_C7.5</t>
        </is>
      </c>
      <c r="B91" s="142" t="inlineStr">
        <is>
          <t>5e</t>
        </is>
      </c>
      <c r="C91" s="142" t="inlineStr">
        <is>
          <t>Assembler les constituants fournis pour réaliser un prototype.</t>
        </is>
      </c>
      <c r="D91" s="142" t="inlineStr">
        <is>
          <t>Thème 3</t>
        </is>
      </c>
      <c r="E91" s="142" t="inlineStr">
        <is>
          <t>D2, D3, D4</t>
        </is>
      </c>
      <c r="F91" s="142" t="inlineStr">
        <is>
          <t>Oui</t>
        </is>
      </c>
    </row>
    <row r="92" ht="25.5" customHeight="1" s="107">
      <c r="A92" s="180" t="inlineStr">
        <is>
          <t>5e_C7.6</t>
        </is>
      </c>
      <c r="B92" s="142" t="inlineStr">
        <is>
          <t>5e</t>
        </is>
      </c>
      <c r="C92" s="142" t="inlineStr">
        <is>
          <t>Mettre en œuvre les moyens pour réaliser une forme selon une procédure fournie.</t>
        </is>
      </c>
      <c r="D92" s="142" t="inlineStr">
        <is>
          <t>Thème 3</t>
        </is>
      </c>
      <c r="E92" s="142" t="inlineStr">
        <is>
          <t>D2, D3, D4</t>
        </is>
      </c>
      <c r="F92" s="142" t="inlineStr">
        <is>
          <t>Oui</t>
        </is>
      </c>
    </row>
    <row r="93" ht="25.5" customHeight="1" s="107">
      <c r="A93" s="180" t="inlineStr">
        <is>
          <t>4e_C7.1</t>
        </is>
      </c>
      <c r="B93" s="142" t="inlineStr">
        <is>
          <t>4e</t>
        </is>
      </c>
      <c r="C93" s="142" t="inlineStr">
        <is>
          <t>Organiser un processus de conception et de réalisation dans une durée, avec des tâches identifiées.</t>
        </is>
      </c>
      <c r="D93" s="142" t="inlineStr">
        <is>
          <t>Thème 3</t>
        </is>
      </c>
      <c r="E93" s="142" t="inlineStr">
        <is>
          <t>D2, D4, D5</t>
        </is>
      </c>
      <c r="F93" s="142" t="inlineStr">
        <is>
          <t>Oui</t>
        </is>
      </c>
    </row>
    <row r="94" ht="25.5" customHeight="1" s="107">
      <c r="A94" s="180" t="inlineStr">
        <is>
          <t>4e_C7.2</t>
        </is>
      </c>
      <c r="B94" s="142" t="inlineStr">
        <is>
          <t>4e</t>
        </is>
      </c>
      <c r="C94" s="142" t="inlineStr">
        <is>
          <t>Proposer et fabriquer une solution pour ajouter une nouvelle fonction à un OST (croquis, schéma, graphique, algorithme, modélisation).</t>
        </is>
      </c>
      <c r="D94" s="142" t="inlineStr">
        <is>
          <t>Thème 3</t>
        </is>
      </c>
      <c r="E94" s="142" t="inlineStr">
        <is>
          <t>D2, D3, D4</t>
        </is>
      </c>
      <c r="F94" s="142" t="inlineStr">
        <is>
          <t>Oui</t>
        </is>
      </c>
    </row>
    <row r="95" ht="25.5" customHeight="1" s="107">
      <c r="A95" s="180" t="inlineStr">
        <is>
          <t>4e_C7.3</t>
        </is>
      </c>
      <c r="B95" s="142" t="inlineStr">
        <is>
          <t>4e</t>
        </is>
      </c>
      <c r="C95" s="142" t="inlineStr">
        <is>
          <t>Comparer différents matériaux pour choisir le plus adapté.</t>
        </is>
      </c>
      <c r="D95" s="142" t="inlineStr">
        <is>
          <t>Thème 3</t>
        </is>
      </c>
      <c r="E95" s="142" t="inlineStr">
        <is>
          <t>D3, D4, D5</t>
        </is>
      </c>
      <c r="F95" s="142" t="inlineStr">
        <is>
          <t>Oui</t>
        </is>
      </c>
    </row>
    <row r="96" ht="25.5" customHeight="1" s="107">
      <c r="A96" s="180" t="inlineStr">
        <is>
          <t>4e_C7.4</t>
        </is>
      </c>
      <c r="B96" s="142" t="inlineStr">
        <is>
          <t>4e</t>
        </is>
      </c>
      <c r="C96" s="142" t="inlineStr">
        <is>
          <t>Comparer différentes sources d’énergie pour choisir la plus adaptée.</t>
        </is>
      </c>
      <c r="D96" s="142" t="inlineStr">
        <is>
          <t>Thème 3</t>
        </is>
      </c>
      <c r="E96" s="142" t="inlineStr">
        <is>
          <t>D3, D4, D5</t>
        </is>
      </c>
      <c r="F96" s="142" t="inlineStr">
        <is>
          <t>Oui</t>
        </is>
      </c>
    </row>
    <row r="97" ht="25.5" customHeight="1" s="107">
      <c r="A97" s="180" t="inlineStr">
        <is>
          <t>4e_C7.5</t>
        </is>
      </c>
      <c r="B97" s="142" t="inlineStr">
        <is>
          <t>4e</t>
        </is>
      </c>
      <c r="C97" s="142" t="inlineStr">
        <is>
          <t>Identifier les constituants manquants dans un prototype et le compléter.</t>
        </is>
      </c>
      <c r="D97" s="142" t="inlineStr">
        <is>
          <t>Thème 3</t>
        </is>
      </c>
      <c r="E97" s="142" t="inlineStr">
        <is>
          <t>D2, D3, D4</t>
        </is>
      </c>
      <c r="F97" s="142" t="inlineStr">
        <is>
          <t>Oui</t>
        </is>
      </c>
    </row>
    <row r="98" ht="25.5" customHeight="1" s="107">
      <c r="A98" s="180" t="inlineStr">
        <is>
          <t>4e_C7.6</t>
        </is>
      </c>
      <c r="B98" s="142" t="inlineStr">
        <is>
          <t>4e</t>
        </is>
      </c>
      <c r="C98" s="142" t="inlineStr">
        <is>
          <t>Modifier une forme à l’aide d’une modélisation.</t>
        </is>
      </c>
      <c r="D98" s="142" t="inlineStr">
        <is>
          <t>Thème 3</t>
        </is>
      </c>
      <c r="E98" s="142" t="inlineStr">
        <is>
          <t>D2, D3, D4</t>
        </is>
      </c>
      <c r="F98" s="142" t="inlineStr">
        <is>
          <t>Oui</t>
        </is>
      </c>
    </row>
    <row r="99" ht="25.5" customHeight="1" s="107">
      <c r="A99" s="180" t="inlineStr">
        <is>
          <t>4e_C7.7</t>
        </is>
      </c>
      <c r="B99" s="142" t="inlineStr">
        <is>
          <t>4e</t>
        </is>
      </c>
      <c r="C99" s="142" t="inlineStr">
        <is>
          <t>Choisir les moyens et produire la forme voulue.</t>
        </is>
      </c>
      <c r="D99" s="142" t="inlineStr">
        <is>
          <t>Thème 3</t>
        </is>
      </c>
      <c r="E99" s="142" t="inlineStr">
        <is>
          <t>D2, D3, D4</t>
        </is>
      </c>
      <c r="F99" s="142" t="inlineStr">
        <is>
          <t>Oui</t>
        </is>
      </c>
    </row>
    <row r="100" ht="25.5" customHeight="1" s="107">
      <c r="A100" s="180" t="inlineStr">
        <is>
          <t>4e_C7.8</t>
        </is>
      </c>
      <c r="B100" s="142" t="inlineStr">
        <is>
          <t>4e</t>
        </is>
      </c>
      <c r="C100" s="142" t="inlineStr">
        <is>
          <t>Interfacer un objet technique avec un réseau.</t>
        </is>
      </c>
      <c r="D100" s="142" t="inlineStr">
        <is>
          <t>Thème 3</t>
        </is>
      </c>
      <c r="E100" s="142" t="inlineStr">
        <is>
          <t>D2, D3, D4</t>
        </is>
      </c>
      <c r="F100" s="142" t="inlineStr">
        <is>
          <t>Oui</t>
        </is>
      </c>
    </row>
    <row r="101" ht="25.5" customHeight="1" s="107">
      <c r="A101" s="180" t="inlineStr">
        <is>
          <t>3e_C7.1</t>
        </is>
      </c>
      <c r="B101" s="142" t="inlineStr">
        <is>
          <t>3e</t>
        </is>
      </c>
      <c r="C101" s="142" t="inlineStr">
        <is>
          <t>Élaborer un processus de conception et de réalisation dans une durée, avec des tâches identifiées.</t>
        </is>
      </c>
      <c r="D101" s="142" t="inlineStr">
        <is>
          <t>Thème 3</t>
        </is>
      </c>
      <c r="E101" s="142" t="inlineStr">
        <is>
          <t>D2, D4, D5</t>
        </is>
      </c>
      <c r="F101" s="142" t="inlineStr">
        <is>
          <t>Oui</t>
        </is>
      </c>
    </row>
    <row r="102" ht="25.5" customHeight="1" s="107">
      <c r="A102" s="180" t="inlineStr">
        <is>
          <t>3e_C7.2</t>
        </is>
      </c>
      <c r="B102" s="142" t="inlineStr">
        <is>
          <t>3e</t>
        </is>
      </c>
      <c r="C102" s="142" t="inlineStr">
        <is>
          <t>Proposer et fabriquer un ensemble de solutions pour produire un nouvel OST (croquis, schéma, graphique, algorithme, modélisation).</t>
        </is>
      </c>
      <c r="D102" s="142" t="inlineStr">
        <is>
          <t>Thème 3</t>
        </is>
      </c>
      <c r="E102" s="142" t="inlineStr">
        <is>
          <t>D2, D3, D4</t>
        </is>
      </c>
      <c r="F102" s="142" t="inlineStr">
        <is>
          <t>Oui</t>
        </is>
      </c>
    </row>
    <row r="103" ht="25.5" customHeight="1" s="107">
      <c r="A103" s="180" t="inlineStr">
        <is>
          <t>3e_C7.3</t>
        </is>
      </c>
      <c r="B103" s="142" t="inlineStr">
        <is>
          <t>3e</t>
        </is>
      </c>
      <c r="C103" s="142" t="inlineStr">
        <is>
          <t>Choisir un matériau constitutif d’un objet et/ou système technique.</t>
        </is>
      </c>
      <c r="D103" s="142" t="inlineStr">
        <is>
          <t>Thème 3</t>
        </is>
      </c>
      <c r="E103" s="142" t="inlineStr">
        <is>
          <t>D3, D4, D5</t>
        </is>
      </c>
      <c r="F103" s="142" t="inlineStr">
        <is>
          <t>Oui</t>
        </is>
      </c>
    </row>
    <row r="104" ht="25.5" customHeight="1" s="107">
      <c r="A104" s="180" t="inlineStr">
        <is>
          <t>3e_C7.4</t>
        </is>
      </c>
      <c r="B104" s="142" t="inlineStr">
        <is>
          <t>3e</t>
        </is>
      </c>
      <c r="C104" s="142" t="inlineStr">
        <is>
          <t>Choisir une source d’énergie pour un OST.</t>
        </is>
      </c>
      <c r="D104" s="142" t="inlineStr">
        <is>
          <t>Thème 3</t>
        </is>
      </c>
      <c r="E104" s="142" t="inlineStr">
        <is>
          <t>D3, D4, D5</t>
        </is>
      </c>
      <c r="F104" s="142" t="inlineStr">
        <is>
          <t>Oui</t>
        </is>
      </c>
    </row>
    <row r="105" ht="25.5" customHeight="1" s="107">
      <c r="A105" s="180" t="inlineStr">
        <is>
          <t>3e_C7.5</t>
        </is>
      </c>
      <c r="B105" s="142" t="inlineStr">
        <is>
          <t>3e</t>
        </is>
      </c>
      <c r="C105" s="142" t="inlineStr">
        <is>
          <t>Choisir les constituants et assembler un prototype.</t>
        </is>
      </c>
      <c r="D105" s="142" t="inlineStr">
        <is>
          <t>Thème 3</t>
        </is>
      </c>
      <c r="E105" s="142" t="inlineStr">
        <is>
          <t>D2, D3, D4</t>
        </is>
      </c>
      <c r="F105" s="142" t="inlineStr">
        <is>
          <t>Oui</t>
        </is>
      </c>
    </row>
    <row r="106" ht="25.5" customHeight="1" s="107">
      <c r="A106" s="180" t="inlineStr">
        <is>
          <t>3e_C7.6</t>
        </is>
      </c>
      <c r="B106" s="142" t="inlineStr">
        <is>
          <t>3e</t>
        </is>
      </c>
      <c r="C106" s="142" t="inlineStr">
        <is>
          <t>Modéliser une forme voulue.</t>
        </is>
      </c>
      <c r="D106" s="142" t="inlineStr">
        <is>
          <t>Thème 3</t>
        </is>
      </c>
      <c r="E106" s="142" t="inlineStr">
        <is>
          <t>D2, D3, D4</t>
        </is>
      </c>
      <c r="F106" s="142" t="inlineStr">
        <is>
          <t>Oui</t>
        </is>
      </c>
    </row>
    <row r="107" ht="25.5" customHeight="1" s="107">
      <c r="A107" s="180" t="inlineStr">
        <is>
          <t>3e_C7.7</t>
        </is>
      </c>
      <c r="B107" s="142" t="inlineStr">
        <is>
          <t>3e</t>
        </is>
      </c>
      <c r="C107" s="142" t="inlineStr">
        <is>
          <t>Choisir les moyens et produire la forme voulue.</t>
        </is>
      </c>
      <c r="D107" s="142" t="inlineStr">
        <is>
          <t>Thème 3</t>
        </is>
      </c>
      <c r="E107" s="142" t="inlineStr">
        <is>
          <t>D2, D3, D4</t>
        </is>
      </c>
      <c r="F107" s="142" t="inlineStr">
        <is>
          <t>Oui</t>
        </is>
      </c>
    </row>
    <row r="108" ht="25.5" customHeight="1" s="107">
      <c r="A108" s="180" t="inlineStr">
        <is>
          <t>3e_C7.8</t>
        </is>
      </c>
      <c r="B108" s="142" t="inlineStr">
        <is>
          <t>3e</t>
        </is>
      </c>
      <c r="C108" s="142" t="inlineStr">
        <is>
          <t>Interfacer deux objets techniques communicants.</t>
        </is>
      </c>
      <c r="D108" s="142" t="inlineStr">
        <is>
          <t>Thème 3</t>
        </is>
      </c>
      <c r="E108" s="142" t="inlineStr">
        <is>
          <t>D2, D3, D4</t>
        </is>
      </c>
      <c r="F108" s="142" t="inlineStr">
        <is>
          <t>Oui</t>
        </is>
      </c>
    </row>
    <row r="109" ht="30" customHeight="1" s="107">
      <c r="A109" s="179" t="inlineStr">
        <is>
          <t>C8</t>
        </is>
      </c>
      <c r="B109" s="179" t="inlineStr">
        <is>
          <t>—</t>
        </is>
      </c>
      <c r="C109" s="179" t="inlineStr">
        <is>
          <t>Valider les solutions techniques par des simulations ou par des protocoles de tests</t>
        </is>
      </c>
      <c r="D109" s="179" t="inlineStr">
        <is>
          <t>Thème 3</t>
        </is>
      </c>
      <c r="E109" s="179" t="inlineStr">
        <is>
          <t>D1.3, D2, D3, D4, D5</t>
        </is>
      </c>
      <c r="F109" s="179" t="inlineStr">
        <is>
          <t>Oui</t>
        </is>
      </c>
    </row>
    <row r="110" ht="25.5" customHeight="1" s="107">
      <c r="A110" s="180" t="inlineStr">
        <is>
          <t>5e_C8.1</t>
        </is>
      </c>
      <c r="B110" s="142" t="inlineStr">
        <is>
          <t>5e</t>
        </is>
      </c>
      <c r="C110" s="142" t="inlineStr">
        <is>
          <t>Utiliser une simulation fournie pour valider la tenue mécanique d’un matériau.</t>
        </is>
      </c>
      <c r="D110" s="142" t="inlineStr">
        <is>
          <t>Thème 3</t>
        </is>
      </c>
      <c r="E110" s="142" t="inlineStr">
        <is>
          <t>D1.3, D2, D4</t>
        </is>
      </c>
      <c r="F110" s="142" t="inlineStr">
        <is>
          <t>Oui</t>
        </is>
      </c>
    </row>
    <row r="111" ht="25.5" customHeight="1" s="107">
      <c r="A111" s="180" t="inlineStr">
        <is>
          <t>5e_C8.2</t>
        </is>
      </c>
      <c r="B111" s="142" t="inlineStr">
        <is>
          <t>5e</t>
        </is>
      </c>
      <c r="C111" s="142" t="inlineStr">
        <is>
          <t>Mettre en œuvre un protocole de test fourni pour valider la tenue mécanique d’un matériau.</t>
        </is>
      </c>
      <c r="D111" s="142" t="inlineStr">
        <is>
          <t>Thème 3</t>
        </is>
      </c>
      <c r="E111" s="142" t="inlineStr">
        <is>
          <t>D1.3, D2, D3, D4</t>
        </is>
      </c>
      <c r="F111" s="142" t="inlineStr">
        <is>
          <t>Oui</t>
        </is>
      </c>
    </row>
    <row r="112" ht="25.5" customHeight="1" s="107">
      <c r="A112" s="180" t="inlineStr">
        <is>
          <t>5e_C8.3</t>
        </is>
      </c>
      <c r="B112" s="142" t="inlineStr">
        <is>
          <t>5e</t>
        </is>
      </c>
      <c r="C112" s="142" t="inlineStr">
        <is>
          <t>Vérifier le comportement et les performances d’un objet technique en suivant un protocole fourni.</t>
        </is>
      </c>
      <c r="D112" s="142" t="inlineStr">
        <is>
          <t>Thème 3</t>
        </is>
      </c>
      <c r="E112" s="142" t="inlineStr">
        <is>
          <t>D1.3, D2, D4, D5</t>
        </is>
      </c>
      <c r="F112" s="142" t="inlineStr">
        <is>
          <t>Oui</t>
        </is>
      </c>
    </row>
    <row r="113" ht="25.5" customHeight="1" s="107">
      <c r="A113" s="180" t="inlineStr">
        <is>
          <t>4e_C8.1</t>
        </is>
      </c>
      <c r="B113" s="142" t="inlineStr">
        <is>
          <t>4e</t>
        </is>
      </c>
      <c r="C113" s="142" t="inlineStr">
        <is>
          <t>Paramétrer une simulation fournie pour valider la tenue mécanique d’un matériau.</t>
        </is>
      </c>
      <c r="D113" s="142" t="inlineStr">
        <is>
          <t>Thème 3</t>
        </is>
      </c>
      <c r="E113" s="142" t="inlineStr">
        <is>
          <t>D1.3, D2, D4</t>
        </is>
      </c>
      <c r="F113" s="142" t="inlineStr">
        <is>
          <t>Oui</t>
        </is>
      </c>
    </row>
    <row r="114" ht="25.5" customHeight="1" s="107">
      <c r="A114" s="180" t="inlineStr">
        <is>
          <t>4e_C8.2</t>
        </is>
      </c>
      <c r="B114" s="142" t="inlineStr">
        <is>
          <t>4e</t>
        </is>
      </c>
      <c r="C114" s="142" t="inlineStr">
        <is>
          <t>Proposer un protocole de test pour valider la tenue mécanique d’un matériau.</t>
        </is>
      </c>
      <c r="D114" s="142" t="inlineStr">
        <is>
          <t>Thème 3</t>
        </is>
      </c>
      <c r="E114" s="142" t="inlineStr">
        <is>
          <t>D1.3, D2, D3, D4</t>
        </is>
      </c>
      <c r="F114" s="142" t="inlineStr">
        <is>
          <t>Oui</t>
        </is>
      </c>
    </row>
    <row r="115" ht="25.5" customHeight="1" s="107">
      <c r="A115" s="180" t="inlineStr">
        <is>
          <t>4e_C8.3</t>
        </is>
      </c>
      <c r="B115" s="142" t="inlineStr">
        <is>
          <t>4e</t>
        </is>
      </c>
      <c r="C115" s="142" t="inlineStr">
        <is>
          <t>Proposer un protocole de test pour valider le comportement et les performances d’un objet technique.</t>
        </is>
      </c>
      <c r="D115" s="142" t="inlineStr">
        <is>
          <t>Thème 3</t>
        </is>
      </c>
      <c r="E115" s="142" t="inlineStr">
        <is>
          <t>D1.3, D2, D3, D4, D5</t>
        </is>
      </c>
      <c r="F115" s="142" t="inlineStr">
        <is>
          <t>Oui</t>
        </is>
      </c>
    </row>
    <row r="116" ht="25.5" customHeight="1" s="107">
      <c r="A116" s="180" t="inlineStr">
        <is>
          <t>3e_C8.1</t>
        </is>
      </c>
      <c r="B116" s="142" t="inlineStr">
        <is>
          <t>3e</t>
        </is>
      </c>
      <c r="C116" s="142" t="inlineStr">
        <is>
          <t>Mettre en œuvre une simulation pour valider la tenue mécanique d’un matériau.</t>
        </is>
      </c>
      <c r="D116" s="142" t="inlineStr">
        <is>
          <t>Thème 3</t>
        </is>
      </c>
      <c r="E116" s="142" t="inlineStr">
        <is>
          <t>D1.3, D2, D4</t>
        </is>
      </c>
      <c r="F116" s="142" t="inlineStr">
        <is>
          <t>Oui</t>
        </is>
      </c>
    </row>
    <row r="117" ht="25.5" customHeight="1" s="107">
      <c r="A117" s="180" t="inlineStr">
        <is>
          <t>3e_C8.2</t>
        </is>
      </c>
      <c r="B117" s="142" t="inlineStr">
        <is>
          <t>3e</t>
        </is>
      </c>
      <c r="C117" s="142" t="inlineStr">
        <is>
          <t>Proposer un protocole de test pour valider la tenue mécanique d’un matériau.</t>
        </is>
      </c>
      <c r="D117" s="142" t="inlineStr">
        <is>
          <t>Thème 3</t>
        </is>
      </c>
      <c r="E117" s="142" t="inlineStr">
        <is>
          <t>D1.3, D2, D3, D4</t>
        </is>
      </c>
      <c r="F117" s="142" t="inlineStr">
        <is>
          <t>Oui</t>
        </is>
      </c>
    </row>
    <row r="118" ht="25.5" customHeight="1" s="107">
      <c r="A118" s="180" t="inlineStr">
        <is>
          <t>3e_C8.3</t>
        </is>
      </c>
      <c r="B118" s="142" t="inlineStr">
        <is>
          <t>3e</t>
        </is>
      </c>
      <c r="C118" s="142" t="inlineStr">
        <is>
          <t>Proposer un protocole de test pour valider le comportement et les performances d’un objet technique.</t>
        </is>
      </c>
      <c r="D118" s="142" t="inlineStr">
        <is>
          <t>Thème 3</t>
        </is>
      </c>
      <c r="E118" s="142" t="inlineStr">
        <is>
          <t>D1.3, D2, D3, D4, D5</t>
        </is>
      </c>
      <c r="F118" s="142" t="inlineStr">
        <is>
          <t>Oui</t>
        </is>
      </c>
    </row>
    <row r="119" ht="30" customHeight="1" s="107">
      <c r="A119" s="179" t="inlineStr">
        <is>
          <t>C9</t>
        </is>
      </c>
      <c r="B119" s="179" t="inlineStr">
        <is>
          <t>—</t>
        </is>
      </c>
      <c r="C119" s="179" t="inlineStr">
        <is>
          <t>Concevoir, écrire, tester et mettre au point un programme</t>
        </is>
      </c>
      <c r="D119" s="179" t="inlineStr">
        <is>
          <t>Thème 3</t>
        </is>
      </c>
      <c r="E119" s="179" t="inlineStr">
        <is>
          <t>D1.3, D2, D4</t>
        </is>
      </c>
      <c r="F119" s="179" t="inlineStr">
        <is>
          <t>Oui</t>
        </is>
      </c>
    </row>
    <row r="120" ht="25.5" customHeight="1" s="107">
      <c r="A120" s="180" t="inlineStr">
        <is>
          <t>5e_C9.1</t>
        </is>
      </c>
      <c r="B120" s="142" t="inlineStr">
        <is>
          <t>5e</t>
        </is>
      </c>
      <c r="C120" s="142" t="inlineStr">
        <is>
          <t>Analyser un programme simple fourni et tester s’il répond au besoin ou au problème posé.</t>
        </is>
      </c>
      <c r="D120" s="142" t="inlineStr">
        <is>
          <t>Thème 3</t>
        </is>
      </c>
      <c r="E120" s="142" t="inlineStr">
        <is>
          <t>D1.3, D2, D4</t>
        </is>
      </c>
      <c r="F120" s="142" t="inlineStr">
        <is>
          <t>Oui</t>
        </is>
      </c>
    </row>
    <row r="121" ht="25.5" customHeight="1" s="107">
      <c r="A121" s="180" t="inlineStr">
        <is>
          <t>5e_C9.2</t>
        </is>
      </c>
      <c r="B121" s="142" t="inlineStr">
        <is>
          <t>5e</t>
        </is>
      </c>
      <c r="C121" s="142" t="inlineStr">
        <is>
          <t>Modifier un programme fourni pour répondre au besoin ou à un problème posé.</t>
        </is>
      </c>
      <c r="D121" s="142" t="inlineStr">
        <is>
          <t>Thème 3</t>
        </is>
      </c>
      <c r="E121" s="142" t="inlineStr">
        <is>
          <t>D1.3, D2, D4</t>
        </is>
      </c>
      <c r="F121" s="142" t="inlineStr">
        <is>
          <t>Oui</t>
        </is>
      </c>
    </row>
    <row r="122" ht="25.5" customHeight="1" s="107">
      <c r="A122" s="180" t="inlineStr">
        <is>
          <t>5e_C9.3</t>
        </is>
      </c>
      <c r="B122" s="142" t="inlineStr">
        <is>
          <t>5e</t>
        </is>
      </c>
      <c r="C122" s="142" t="inlineStr">
        <is>
          <t>Réaliser et mettre au point un programme simple commandant un OST.</t>
        </is>
      </c>
      <c r="D122" s="142" t="inlineStr">
        <is>
          <t>Thème 3</t>
        </is>
      </c>
      <c r="E122" s="142" t="inlineStr">
        <is>
          <t>D1.3, D2, D4</t>
        </is>
      </c>
      <c r="F122" s="142" t="inlineStr">
        <is>
          <t>Oui</t>
        </is>
      </c>
    </row>
    <row r="123" ht="25.5" customHeight="1" s="107">
      <c r="A123" s="180" t="inlineStr">
        <is>
          <t>4e_C9.1</t>
        </is>
      </c>
      <c r="B123" s="142" t="inlineStr">
        <is>
          <t>4e</t>
        </is>
      </c>
      <c r="C123" s="142" t="inlineStr">
        <is>
          <t>Modifier un algorithme permettant de répondre au besoin ou au problème posé.</t>
        </is>
      </c>
      <c r="D123" s="142" t="inlineStr">
        <is>
          <t>Thème 3</t>
        </is>
      </c>
      <c r="E123" s="142" t="inlineStr">
        <is>
          <t>D1.3, D2, D4</t>
        </is>
      </c>
      <c r="F123" s="142" t="inlineStr">
        <is>
          <t>Oui</t>
        </is>
      </c>
    </row>
    <row r="124" ht="25.5" customHeight="1" s="107">
      <c r="A124" s="180" t="inlineStr">
        <is>
          <t>4e_C9.2</t>
        </is>
      </c>
      <c r="B124" s="142" t="inlineStr">
        <is>
          <t>4e</t>
        </is>
      </c>
      <c r="C124" s="142" t="inlineStr">
        <is>
          <t>Traduire un algorithme permettant de répondre à un besoin ou à un problème simple en un programme.</t>
        </is>
      </c>
      <c r="D124" s="142" t="inlineStr">
        <is>
          <t>Thème 3</t>
        </is>
      </c>
      <c r="E124" s="142" t="inlineStr">
        <is>
          <t>D1.3, D2, D4</t>
        </is>
      </c>
      <c r="F124" s="142" t="inlineStr">
        <is>
          <t>Oui</t>
        </is>
      </c>
    </row>
    <row r="125" ht="25.5" customHeight="1" s="107">
      <c r="A125" s="180" t="inlineStr">
        <is>
          <t>4e_C9.3</t>
        </is>
      </c>
      <c r="B125" s="142" t="inlineStr">
        <is>
          <t>4e</t>
        </is>
      </c>
      <c r="C125" s="142" t="inlineStr">
        <is>
          <t>Réaliser et mettre au point un programme commandant un système réel incluant éventuellement une interaction entre un humain et une machine.</t>
        </is>
      </c>
      <c r="D125" s="142" t="inlineStr">
        <is>
          <t>Thème 3</t>
        </is>
      </c>
      <c r="E125" s="142" t="inlineStr">
        <is>
          <t>D1.3, D2, D4</t>
        </is>
      </c>
      <c r="F125" s="142" t="inlineStr">
        <is>
          <t>Oui</t>
        </is>
      </c>
    </row>
    <row r="126" ht="39" customHeight="1" s="107">
      <c r="A126" s="180" t="inlineStr">
        <is>
          <t>3e_C9.1</t>
        </is>
      </c>
      <c r="B126" s="142" t="inlineStr">
        <is>
          <t>3e</t>
        </is>
      </c>
      <c r="C126" s="142" t="inlineStr">
        <is>
          <t>Élaborer ou concevoir un algorithme permettant de répondre au besoin visé, puis le traduire en un programme structuré (appel de sous-programmes ou de fonctions), le tester et le mettre au point.</t>
        </is>
      </c>
      <c r="D126" s="142" t="inlineStr">
        <is>
          <t>Thème 3</t>
        </is>
      </c>
      <c r="E126" s="142" t="inlineStr">
        <is>
          <t>D1.3, D2, D4</t>
        </is>
      </c>
      <c r="F126" s="142" t="inlineStr">
        <is>
          <t>Oui</t>
        </is>
      </c>
    </row>
    <row r="127" ht="25.5" customHeight="1" s="107">
      <c r="A127" s="180" t="inlineStr">
        <is>
          <t>3e_C9.2</t>
        </is>
      </c>
      <c r="B127" s="142" t="inlineStr">
        <is>
          <t>3e</t>
        </is>
      </c>
      <c r="C127" s="142" t="inlineStr">
        <is>
          <t>Réaliser et mettre au point un programme commandant un système réel incluant une interaction entre un humain et une machine.</t>
        </is>
      </c>
      <c r="D127" s="142" t="inlineStr">
        <is>
          <t>Thème 3</t>
        </is>
      </c>
      <c r="E127" s="142" t="inlineStr">
        <is>
          <t>D1.3, D2, D4</t>
        </is>
      </c>
      <c r="F127" s="142" t="inlineStr">
        <is>
          <t>Oui</t>
        </is>
      </c>
    </row>
    <row r="129" ht="15" customHeight="1" s="107">
      <c r="A129" s="133" t="inlineStr">
        <is>
          <t>114 sous-compétences listées · Source : BO n°9 du 29/02/2024 · codes Nathan (éd. 2024).</t>
        </is>
      </c>
    </row>
  </sheetData>
  <mergeCells count="3">
    <mergeCell ref="A2:F2"/>
    <mergeCell ref="A1:F1"/>
    <mergeCell ref="A129:F129"/>
  </mergeCells>
  <hyperlinks>
    <hyperlink xmlns:r="http://schemas.openxmlformats.org/officeDocument/2006/relationships" ref="F3" location="'🏠%20Accueil'!A1" display="◀ Accueil"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7030A0"/>
    <outlinePr summaryBelow="1" summaryRight="1"/>
    <pageSetUpPr fitToPage="0"/>
  </sheetPr>
  <dimension ref="A1:F5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06" min="1" max="1"/>
    <col width="8" customWidth="1" style="106" min="2" max="2"/>
    <col width="78" customWidth="1" style="106" min="3" max="3"/>
    <col width="12" customWidth="1" style="106" min="4" max="4"/>
    <col width="16" customWidth="1" style="106" min="5" max="5"/>
    <col width="11" customWidth="1" style="106" min="6" max="6"/>
  </cols>
  <sheetData>
    <row r="1" ht="18.55" customHeight="1" s="107">
      <c r="A1" s="157" t="inlineStr">
        <is>
          <t>RÉFÉRENTIEL DE COMPÉTENCES — TECHNOLOGIE 4e</t>
        </is>
      </c>
    </row>
    <row r="2" ht="15" customHeight="1" s="107">
      <c r="A2" s="133" t="inlineStr">
        <is>
          <t>Les compétences parentes C1 → C9 et leurs déclinaisons du niveau 4e — celles travaillées dans ce classeur</t>
        </is>
      </c>
    </row>
    <row r="3" ht="15" customHeight="1" s="107">
      <c r="F3" s="136" t="inlineStr">
        <is>
          <t>◀ Accueil</t>
        </is>
      </c>
    </row>
    <row r="4" ht="15" customHeight="1" s="107">
      <c r="A4" s="137" t="inlineStr">
        <is>
          <t>Code</t>
        </is>
      </c>
      <c r="B4" s="137" t="inlineStr">
        <is>
          <t>Niveau</t>
        </is>
      </c>
      <c r="C4" s="137" t="inlineStr">
        <is>
          <t>Compétence / sous-compétence (intitulé officiel 2024)</t>
        </is>
      </c>
      <c r="D4" s="137" t="inlineStr">
        <is>
          <t>Thème</t>
        </is>
      </c>
      <c r="E4" s="137" t="inlineStr">
        <is>
          <t>Domaine(s) socle</t>
        </is>
      </c>
      <c r="F4" s="137" t="inlineStr">
        <is>
          <t>Évaluable</t>
        </is>
      </c>
    </row>
    <row r="5" ht="30" customHeight="1" s="107">
      <c r="A5" s="179" t="inlineStr">
        <is>
          <t>C1</t>
        </is>
      </c>
      <c r="B5" s="179" t="inlineStr">
        <is>
          <t>—</t>
        </is>
      </c>
      <c r="C5" s="179" t="inlineStr">
        <is>
          <t>Décrire les liens entre usages et évolutions technologiques des objets et des systèmes techniques</t>
        </is>
      </c>
      <c r="D5" s="179" t="inlineStr">
        <is>
          <t>Thème 1 : Les objets et les systèmes techniques : leurs usages et leurs interactions à découvrir et à analyser</t>
        </is>
      </c>
      <c r="E5" s="179" t="inlineStr">
        <is>
          <t>D2, D3, D4, D5</t>
        </is>
      </c>
      <c r="F5" s="179" t="inlineStr">
        <is>
          <t>Oui</t>
        </is>
      </c>
    </row>
    <row r="6" ht="25.5" customHeight="1" s="107">
      <c r="A6" s="180" t="inlineStr">
        <is>
          <t>4e_C1.1</t>
        </is>
      </c>
      <c r="B6" s="142" t="inlineStr">
        <is>
          <t>4e</t>
        </is>
      </c>
      <c r="C6" s="142" t="inlineStr">
        <is>
          <t>Mettre en relation les OST avec leurs usages.</t>
        </is>
      </c>
      <c r="D6" s="142" t="inlineStr">
        <is>
          <t>Thème 1</t>
        </is>
      </c>
      <c r="E6" s="142" t="inlineStr">
        <is>
          <t>D4, D5</t>
        </is>
      </c>
      <c r="F6" s="142" t="inlineStr">
        <is>
          <t>Oui</t>
        </is>
      </c>
    </row>
    <row r="7" ht="25.5" customHeight="1" s="107">
      <c r="A7" s="180" t="inlineStr">
        <is>
          <t>4e_C1.2</t>
        </is>
      </c>
      <c r="B7" s="142" t="inlineStr">
        <is>
          <t>4e</t>
        </is>
      </c>
      <c r="C7" s="142" t="inlineStr">
        <is>
          <t>Identifier les avantages et les inconvénients associés aux évolutions technologiques et informatiques.</t>
        </is>
      </c>
      <c r="D7" s="142" t="inlineStr">
        <is>
          <t>Thème 1</t>
        </is>
      </c>
      <c r="E7" s="142" t="inlineStr">
        <is>
          <t>D3, D4, D5</t>
        </is>
      </c>
      <c r="F7" s="142" t="inlineStr">
        <is>
          <t>Oui</t>
        </is>
      </c>
    </row>
    <row r="8" ht="25.5" customHeight="1" s="107">
      <c r="A8" s="180" t="inlineStr">
        <is>
          <t>4e_C1.3</t>
        </is>
      </c>
      <c r="B8" s="142" t="inlineStr">
        <is>
          <t>4e</t>
        </is>
      </c>
      <c r="C8" s="142" t="inlineStr">
        <is>
          <t>Justifier l’évolution d’un OST pour répondre à l’évolution des besoins.</t>
        </is>
      </c>
      <c r="D8" s="142" t="inlineStr">
        <is>
          <t>Thème 1</t>
        </is>
      </c>
      <c r="E8" s="142" t="inlineStr">
        <is>
          <t>D3, D4, D5</t>
        </is>
      </c>
      <c r="F8" s="142" t="inlineStr">
        <is>
          <t>Oui</t>
        </is>
      </c>
    </row>
    <row r="9" ht="39" customHeight="1" s="107">
      <c r="A9" s="180" t="inlineStr">
        <is>
          <t>4e_C1.4</t>
        </is>
      </c>
      <c r="B9" s="142" t="inlineStr">
        <is>
          <t>4e</t>
        </is>
      </c>
      <c r="C9" s="142" t="inlineStr">
        <is>
          <t>Identifier et appliquer les règles pour un usage raisonné des objets communicants et des environnements numériques (propriété intellectuelle, identité numérique, témoins de connexion, géolocalisation).</t>
        </is>
      </c>
      <c r="D9" s="142" t="inlineStr">
        <is>
          <t>Thème 1</t>
        </is>
      </c>
      <c r="E9" s="142" t="inlineStr">
        <is>
          <t>D1.3, D2, D3, D4</t>
        </is>
      </c>
      <c r="F9" s="142" t="inlineStr">
        <is>
          <t>Oui</t>
        </is>
      </c>
    </row>
    <row r="10" ht="30" customHeight="1" s="107">
      <c r="A10" s="179" t="inlineStr">
        <is>
          <t>C2</t>
        </is>
      </c>
      <c r="B10" s="179" t="inlineStr">
        <is>
          <t>—</t>
        </is>
      </c>
      <c r="C10" s="179" t="inlineStr">
        <is>
          <t>Décrire les interactions entre un objet ou un système technique, son environnement et les utilisateurs</t>
        </is>
      </c>
      <c r="D10" s="179" t="inlineStr">
        <is>
          <t>Thème 1</t>
        </is>
      </c>
      <c r="E10" s="179" t="inlineStr">
        <is>
          <t>D4, D5</t>
        </is>
      </c>
      <c r="F10" s="179" t="inlineStr">
        <is>
          <t>Oui</t>
        </is>
      </c>
    </row>
    <row r="11" ht="39" customHeight="1" s="107">
      <c r="A11" s="180" t="inlineStr">
        <is>
          <t>4e_C2.1</t>
        </is>
      </c>
      <c r="B11" s="142" t="inlineStr">
        <is>
          <t>4e</t>
        </is>
      </c>
      <c r="C11" s="142" t="inlineStr">
        <is>
          <t>Décrire l’expérience de l’utilisateur (ressenti et facilité d’usage) d’un OST en partant du langage naturel (texte, croquis) pour aboutir aux schémas, graphiques, algorithmes.</t>
        </is>
      </c>
      <c r="D11" s="142" t="inlineStr">
        <is>
          <t>Thème 1</t>
        </is>
      </c>
      <c r="E11" s="142" t="inlineStr">
        <is>
          <t>D1.3, D4, D5</t>
        </is>
      </c>
      <c r="F11" s="142" t="inlineStr">
        <is>
          <t>Oui</t>
        </is>
      </c>
    </row>
    <row r="12" ht="39" customHeight="1" s="107">
      <c r="A12" s="180" t="inlineStr">
        <is>
          <t>4e_C2.2</t>
        </is>
      </c>
      <c r="B12" s="142" t="inlineStr">
        <is>
          <t>4e</t>
        </is>
      </c>
      <c r="C12" s="142" t="inlineStr">
        <is>
          <t>Repérer et expliquer les contraintes, exigences prises en compte (sécurité, incidences environnementales, formes et fonctions, ergonomie, qualité, fiabilité) pour répondre aux attentes des utilisateurs.</t>
        </is>
      </c>
      <c r="D12" s="142" t="inlineStr">
        <is>
          <t>Thème 1</t>
        </is>
      </c>
      <c r="E12" s="142" t="inlineStr">
        <is>
          <t>D3, D4, D5</t>
        </is>
      </c>
      <c r="F12" s="142" t="inlineStr">
        <is>
          <t>Oui</t>
        </is>
      </c>
    </row>
    <row r="13" ht="30" customHeight="1" s="107">
      <c r="A13" s="179" t="inlineStr">
        <is>
          <t>C3</t>
        </is>
      </c>
      <c r="B13" s="179" t="inlineStr">
        <is>
          <t>—</t>
        </is>
      </c>
      <c r="C13" s="179" t="inlineStr">
        <is>
          <t>Caractériser et choisir un objet ou un système technique selon différents critères</t>
        </is>
      </c>
      <c r="D13" s="179" t="inlineStr">
        <is>
          <t>Thème 1</t>
        </is>
      </c>
      <c r="E13" s="179" t="inlineStr">
        <is>
          <t>D1.3, D2, D3, D4, D5</t>
        </is>
      </c>
      <c r="F13" s="179" t="inlineStr">
        <is>
          <t>Oui</t>
        </is>
      </c>
    </row>
    <row r="14" ht="25.5" customHeight="1" s="107">
      <c r="A14" s="180" t="inlineStr">
        <is>
          <t>4e_C3.1</t>
        </is>
      </c>
      <c r="B14" s="142" t="inlineStr">
        <is>
          <t>4e</t>
        </is>
      </c>
      <c r="C14" s="142" t="inlineStr">
        <is>
          <t>Identifier les caractéristiques à prendre en compte dans le choix d’un OST en vue de répondre à un besoin.</t>
        </is>
      </c>
      <c r="D14" s="142" t="inlineStr">
        <is>
          <t>Thème 1</t>
        </is>
      </c>
      <c r="E14" s="142" t="inlineStr">
        <is>
          <t>D3, D4, D5</t>
        </is>
      </c>
      <c r="F14" s="142" t="inlineStr">
        <is>
          <t>Oui</t>
        </is>
      </c>
    </row>
    <row r="15" ht="39" customHeight="1" s="107">
      <c r="A15" s="180" t="inlineStr">
        <is>
          <t>4e_C3.2</t>
        </is>
      </c>
      <c r="B15" s="142" t="inlineStr">
        <is>
          <t>4e</t>
        </is>
      </c>
      <c r="C15" s="142" t="inlineStr">
        <is>
          <t>Comparer qualitativement et/ou quantitativement (incidences environnementales, bilan carbone, efficacité énergétique) plusieurs OST répondant au même besoin et arrêter un choix.</t>
        </is>
      </c>
      <c r="D15" s="142" t="inlineStr">
        <is>
          <t>Thème 1</t>
        </is>
      </c>
      <c r="E15" s="142" t="inlineStr">
        <is>
          <t>D1.3, D2, D3, D4, D5</t>
        </is>
      </c>
      <c r="F15" s="142" t="inlineStr">
        <is>
          <t>Oui</t>
        </is>
      </c>
    </row>
    <row r="16" ht="25.5" customHeight="1" s="107">
      <c r="A16" s="180" t="inlineStr">
        <is>
          <t>4e_C3.3</t>
        </is>
      </c>
      <c r="B16" s="142" t="inlineStr">
        <is>
          <t>4e</t>
        </is>
      </c>
      <c r="C16" s="142" t="inlineStr">
        <is>
          <t>Choisir les appareils de mesure à utiliser pour mesurer une performance d’un OST à partir d’un protocole donné.</t>
        </is>
      </c>
      <c r="D16" s="142" t="inlineStr">
        <is>
          <t>Thème 1</t>
        </is>
      </c>
      <c r="E16" s="142" t="inlineStr">
        <is>
          <t>D1.3, D2, D4</t>
        </is>
      </c>
      <c r="F16" s="142" t="inlineStr">
        <is>
          <t>Oui</t>
        </is>
      </c>
    </row>
    <row r="17" ht="30" customHeight="1" s="107">
      <c r="A17" s="179" t="inlineStr">
        <is>
          <t>C4</t>
        </is>
      </c>
      <c r="B17" s="179" t="inlineStr">
        <is>
          <t>—</t>
        </is>
      </c>
      <c r="C17" s="179" t="inlineStr">
        <is>
          <t>Décrire et caractériser l’organisation interne d’un objet ou d’un système technique et ses échanges avec son environnement (énergies, données)</t>
        </is>
      </c>
      <c r="D17" s="179" t="inlineStr">
        <is>
          <t>Thème 2 : Structure, fonctionnement, comportement : des objets et des systèmes techniques à comprendre</t>
        </is>
      </c>
      <c r="E17" s="179" t="inlineStr">
        <is>
          <t>D1.3, D1.4, D2, D4, D5</t>
        </is>
      </c>
      <c r="F17" s="179" t="inlineStr">
        <is>
          <t>Oui</t>
        </is>
      </c>
    </row>
    <row r="18" ht="25.5" customHeight="1" s="107">
      <c r="A18" s="180" t="inlineStr">
        <is>
          <t>4e_C4.1</t>
        </is>
      </c>
      <c r="B18" s="142" t="inlineStr">
        <is>
          <t>4e</t>
        </is>
      </c>
      <c r="C18" s="142" t="inlineStr">
        <is>
          <t>Identifier les constituants d’une chaîne d’énergie et les associer à leurs fonctions.</t>
        </is>
      </c>
      <c r="D18" s="142" t="inlineStr">
        <is>
          <t>Thème 2</t>
        </is>
      </c>
      <c r="E18" s="142" t="inlineStr">
        <is>
          <t>D2, D4, D5</t>
        </is>
      </c>
      <c r="F18" s="142" t="inlineStr">
        <is>
          <t>Oui</t>
        </is>
      </c>
    </row>
    <row r="19" ht="25.5" customHeight="1" s="107">
      <c r="A19" s="180" t="inlineStr">
        <is>
          <t>4e_C4.2</t>
        </is>
      </c>
      <c r="B19" s="142" t="inlineStr">
        <is>
          <t>4e</t>
        </is>
      </c>
      <c r="C19" s="142" t="inlineStr">
        <is>
          <t>Repérer les transformations d’énergie et les flux d’énergie au sein de l’OST.</t>
        </is>
      </c>
      <c r="D19" s="142" t="inlineStr">
        <is>
          <t>Thème 2</t>
        </is>
      </c>
      <c r="E19" s="142" t="inlineStr">
        <is>
          <t>D1.3, D2, D4</t>
        </is>
      </c>
      <c r="F19" s="142" t="inlineStr">
        <is>
          <t>Oui</t>
        </is>
      </c>
    </row>
    <row r="20" ht="25.5" customHeight="1" s="107">
      <c r="A20" s="180" t="inlineStr">
        <is>
          <t>4e_C4.3</t>
        </is>
      </c>
      <c r="B20" s="142" t="inlineStr">
        <is>
          <t>4e</t>
        </is>
      </c>
      <c r="C20" s="142" t="inlineStr">
        <is>
          <t>Mettre en relation la forme d’une pièce avec le procédé de réalisation.</t>
        </is>
      </c>
      <c r="D20" s="142" t="inlineStr">
        <is>
          <t>Thème 2</t>
        </is>
      </c>
      <c r="E20" s="142" t="inlineStr">
        <is>
          <t>D3, D4, D5</t>
        </is>
      </c>
      <c r="F20" s="142" t="inlineStr">
        <is>
          <t>Oui</t>
        </is>
      </c>
    </row>
    <row r="21" ht="25.5" customHeight="1" s="107">
      <c r="A21" s="180" t="inlineStr">
        <is>
          <t>4e_C4.4</t>
        </is>
      </c>
      <c r="B21" s="142" t="inlineStr">
        <is>
          <t>4e</t>
        </is>
      </c>
      <c r="C21" s="142" t="inlineStr">
        <is>
          <t>Identifier les constituants de la chaîne d’information d’un objet réel et les associer à leur fonction.</t>
        </is>
      </c>
      <c r="D21" s="142" t="inlineStr">
        <is>
          <t>Thème 2</t>
        </is>
      </c>
      <c r="E21" s="142" t="inlineStr">
        <is>
          <t>D1.3, D2, D4</t>
        </is>
      </c>
      <c r="F21" s="142" t="inlineStr">
        <is>
          <t>Oui</t>
        </is>
      </c>
    </row>
    <row r="22" ht="25.5" customHeight="1" s="107">
      <c r="A22" s="180" t="inlineStr">
        <is>
          <t>4e_C4.5</t>
        </is>
      </c>
      <c r="B22" s="142" t="inlineStr">
        <is>
          <t>4e</t>
        </is>
      </c>
      <c r="C22" s="142" t="inlineStr">
        <is>
          <t>Décrire et analyser la transformation des données téléversées ou issues d’un OST.</t>
        </is>
      </c>
      <c r="D22" s="142" t="inlineStr">
        <is>
          <t>Thème 2</t>
        </is>
      </c>
      <c r="E22" s="142" t="inlineStr">
        <is>
          <t>D1.3, D2, D4</t>
        </is>
      </c>
      <c r="F22" s="142" t="inlineStr">
        <is>
          <t>Oui</t>
        </is>
      </c>
    </row>
    <row r="23" ht="25.5" customHeight="1" s="107">
      <c r="A23" s="180" t="inlineStr">
        <is>
          <t>4e_C4.6</t>
        </is>
      </c>
      <c r="B23" s="142" t="inlineStr">
        <is>
          <t>4e</t>
        </is>
      </c>
      <c r="C23" s="142" t="inlineStr">
        <is>
          <t>Décrire et analyser la structuration d’une table de données qui permet une exploitation et une interprétation du comportement d’un OST.</t>
        </is>
      </c>
      <c r="D23" s="142" t="inlineStr">
        <is>
          <t>Thème 2</t>
        </is>
      </c>
      <c r="E23" s="142" t="inlineStr">
        <is>
          <t>D1.3, D2, D4</t>
        </is>
      </c>
      <c r="F23" s="142" t="inlineStr">
        <is>
          <t>Oui</t>
        </is>
      </c>
    </row>
    <row r="24" ht="25.5" customHeight="1" s="107">
      <c r="A24" s="180" t="inlineStr">
        <is>
          <t>4e_C4.7</t>
        </is>
      </c>
      <c r="B24" s="142" t="inlineStr">
        <is>
          <t>4e</t>
        </is>
      </c>
      <c r="C24" s="142" t="inlineStr">
        <is>
          <t>Paramétrer une adresse IP fixe pour ajouter un objet connecté à un réseau local.</t>
        </is>
      </c>
      <c r="D24" s="142" t="inlineStr">
        <is>
          <t>Thème 2</t>
        </is>
      </c>
      <c r="E24" s="142" t="inlineStr">
        <is>
          <t>D2, D4</t>
        </is>
      </c>
      <c r="F24" s="142" t="inlineStr">
        <is>
          <t>Oui</t>
        </is>
      </c>
    </row>
    <row r="25" ht="39" customHeight="1" s="107">
      <c r="A25" s="180" t="inlineStr">
        <is>
          <t>4e_C4.8</t>
        </is>
      </c>
      <c r="B25" s="142" t="inlineStr">
        <is>
          <t>4e</t>
        </is>
      </c>
      <c r="C25" s="142" t="inlineStr">
        <is>
          <t>Résoudre des problèmes pour assurer la communication entre les différents terminaux dans un réseau informatique (simulation ou réseau local déconnecté du réseau pédagogique).</t>
        </is>
      </c>
      <c r="D25" s="142" t="inlineStr">
        <is>
          <t>Thème 2</t>
        </is>
      </c>
      <c r="E25" s="142" t="inlineStr">
        <is>
          <t>D2, D4</t>
        </is>
      </c>
      <c r="F25" s="142" t="inlineStr">
        <is>
          <t>Oui</t>
        </is>
      </c>
    </row>
    <row r="26" ht="25.5" customHeight="1" s="107">
      <c r="A26" s="180" t="inlineStr">
        <is>
          <t>4e_C4.9</t>
        </is>
      </c>
      <c r="B26" s="142" t="inlineStr">
        <is>
          <t>4e</t>
        </is>
      </c>
      <c r="C26" s="142" t="inlineStr">
        <is>
          <t>Compléter une simulation fournie pour valider le comportement d’un réseau informatique.</t>
        </is>
      </c>
      <c r="D26" s="142" t="inlineStr">
        <is>
          <t>Thème 2</t>
        </is>
      </c>
      <c r="E26" s="142" t="inlineStr">
        <is>
          <t>D2, D4</t>
        </is>
      </c>
      <c r="F26" s="142" t="inlineStr">
        <is>
          <t>Oui</t>
        </is>
      </c>
    </row>
    <row r="27" ht="30" customHeight="1" s="107">
      <c r="A27" s="179" t="inlineStr">
        <is>
          <t>C5</t>
        </is>
      </c>
      <c r="B27" s="179" t="inlineStr">
        <is>
          <t>—</t>
        </is>
      </c>
      <c r="C27" s="179" t="inlineStr">
        <is>
          <t>Identifier un dysfonctionnement d’un objet technique et y remédier</t>
        </is>
      </c>
      <c r="D27" s="179" t="inlineStr">
        <is>
          <t>Thème 2</t>
        </is>
      </c>
      <c r="E27" s="179" t="inlineStr">
        <is>
          <t>D1.3, D2, D3, D4, D5</t>
        </is>
      </c>
      <c r="F27" s="179" t="inlineStr">
        <is>
          <t>Oui</t>
        </is>
      </c>
    </row>
    <row r="28" ht="25.5" customHeight="1" s="107">
      <c r="A28" s="180" t="inlineStr">
        <is>
          <t>4e_C5.1</t>
        </is>
      </c>
      <c r="B28" s="142" t="inlineStr">
        <is>
          <t>4e</t>
        </is>
      </c>
      <c r="C28" s="142" t="inlineStr">
        <is>
          <t>Proposer un protocole permettant de vérifier l’origine d’un dysfonctionnement.</t>
        </is>
      </c>
      <c r="D28" s="142" t="inlineStr">
        <is>
          <t>Thème 2</t>
        </is>
      </c>
      <c r="E28" s="142" t="inlineStr">
        <is>
          <t>D1.3, D2, D4</t>
        </is>
      </c>
      <c r="F28" s="142" t="inlineStr">
        <is>
          <t>Oui</t>
        </is>
      </c>
    </row>
    <row r="29" ht="25.5" customHeight="1" s="107">
      <c r="A29" s="180" t="inlineStr">
        <is>
          <t>4e_C5.2</t>
        </is>
      </c>
      <c r="B29" s="142" t="inlineStr">
        <is>
          <t>4e</t>
        </is>
      </c>
      <c r="C29" s="142" t="inlineStr">
        <is>
          <t>Remplacer une pièce défectueuse sans protocole fourni (la pièce de remplacement étant fournie).</t>
        </is>
      </c>
      <c r="D29" s="142" t="inlineStr">
        <is>
          <t>Thème 2</t>
        </is>
      </c>
      <c r="E29" s="142" t="inlineStr">
        <is>
          <t>D2, D3, D4</t>
        </is>
      </c>
      <c r="F29" s="142" t="inlineStr">
        <is>
          <t>Oui</t>
        </is>
      </c>
    </row>
    <row r="30" ht="25.5" customHeight="1" s="107">
      <c r="A30" s="180" t="inlineStr">
        <is>
          <t>4e_C5.3</t>
        </is>
      </c>
      <c r="B30" s="142" t="inlineStr">
        <is>
          <t>4e</t>
        </is>
      </c>
      <c r="C30" s="142" t="inlineStr">
        <is>
          <t>Choisir les procédés de réalisation et les mettre en œuvre.</t>
        </is>
      </c>
      <c r="D30" s="142" t="inlineStr">
        <is>
          <t>Thème 2</t>
        </is>
      </c>
      <c r="E30" s="142" t="inlineStr">
        <is>
          <t>D2, D3, D4</t>
        </is>
      </c>
      <c r="F30" s="142" t="inlineStr">
        <is>
          <t>Oui</t>
        </is>
      </c>
    </row>
    <row r="31" ht="30" customHeight="1" s="107">
      <c r="A31" s="179" t="inlineStr">
        <is>
          <t>C6</t>
        </is>
      </c>
      <c r="B31" s="179" t="inlineStr">
        <is>
          <t>—</t>
        </is>
      </c>
      <c r="C31" s="179" t="inlineStr">
        <is>
          <t>Comprendre et modifier un programme associé à une fonctionnalité d’un objet ou d’un système technique</t>
        </is>
      </c>
      <c r="D31" s="179" t="inlineStr">
        <is>
          <t>Thème 2</t>
        </is>
      </c>
      <c r="E31" s="179" t="inlineStr">
        <is>
          <t>D1.3, D2, D4</t>
        </is>
      </c>
      <c r="F31" s="179" t="inlineStr">
        <is>
          <t>Oui</t>
        </is>
      </c>
    </row>
    <row r="32" ht="25.5" customHeight="1" s="107">
      <c r="A32" s="180" t="inlineStr">
        <is>
          <t>4e_C6.1</t>
        </is>
      </c>
      <c r="B32" s="142" t="inlineStr">
        <is>
          <t>4e</t>
        </is>
      </c>
      <c r="C32" s="142" t="inlineStr">
        <is>
          <t>Analyser les données et en déduire des modifications à apporter au programme.</t>
        </is>
      </c>
      <c r="D32" s="142" t="inlineStr">
        <is>
          <t>Thème 2</t>
        </is>
      </c>
      <c r="E32" s="142" t="inlineStr">
        <is>
          <t>D1.3, D2, D4</t>
        </is>
      </c>
      <c r="F32" s="142" t="inlineStr">
        <is>
          <t>Oui</t>
        </is>
      </c>
    </row>
    <row r="33" ht="25.5" customHeight="1" s="107">
      <c r="A33" s="180" t="inlineStr">
        <is>
          <t>4e_C6.2</t>
        </is>
      </c>
      <c r="B33" s="142" t="inlineStr">
        <is>
          <t>4e</t>
        </is>
      </c>
      <c r="C33" s="142" t="inlineStr">
        <is>
          <t>Compléter un programme pour répondre à une fonctionnalité d’un OST.</t>
        </is>
      </c>
      <c r="D33" s="142" t="inlineStr">
        <is>
          <t>Thème 2</t>
        </is>
      </c>
      <c r="E33" s="142" t="inlineStr">
        <is>
          <t>D1.3, D2, D4</t>
        </is>
      </c>
      <c r="F33" s="142" t="inlineStr">
        <is>
          <t>Oui</t>
        </is>
      </c>
    </row>
    <row r="34" ht="25.5" customHeight="1" s="107">
      <c r="A34" s="180" t="inlineStr">
        <is>
          <t>4e_C6.3</t>
        </is>
      </c>
      <c r="B34" s="142" t="inlineStr">
        <is>
          <t>4e</t>
        </is>
      </c>
      <c r="C34" s="142" t="inlineStr">
        <is>
          <t>Tester et valider, dans un environnement simulé ou réel, une modification du programme.</t>
        </is>
      </c>
      <c r="D34" s="142" t="inlineStr">
        <is>
          <t>Thème 2</t>
        </is>
      </c>
      <c r="E34" s="142" t="inlineStr">
        <is>
          <t>D1.3, D2, D4</t>
        </is>
      </c>
      <c r="F34" s="142" t="inlineStr">
        <is>
          <t>Oui</t>
        </is>
      </c>
    </row>
    <row r="35" ht="30" customHeight="1" s="107">
      <c r="A35" s="179" t="inlineStr">
        <is>
          <t>C7</t>
        </is>
      </c>
      <c r="B35" s="179" t="inlineStr">
        <is>
          <t>—</t>
        </is>
      </c>
      <c r="C35" s="179" t="inlineStr">
        <is>
          <t>Imaginer, concevoir et réaliser une ou des solutions en réponse à un besoin, à des exigences (de développement durable, par exemple) ou à la nécessité d’améliorations dans une démarche de créativité</t>
        </is>
      </c>
      <c r="D35" s="179" t="inlineStr">
        <is>
          <t>Thème 3 : Création, conception, réalisation, innovations : des objets à concevoir et à réaliser</t>
        </is>
      </c>
      <c r="E35" s="179" t="inlineStr">
        <is>
          <t>D2, D3, D4, D5</t>
        </is>
      </c>
      <c r="F35" s="179" t="inlineStr">
        <is>
          <t>Oui</t>
        </is>
      </c>
    </row>
    <row r="36" ht="25.5" customHeight="1" s="107">
      <c r="A36" s="180" t="inlineStr">
        <is>
          <t>4e_C7.1</t>
        </is>
      </c>
      <c r="B36" s="142" t="inlineStr">
        <is>
          <t>4e</t>
        </is>
      </c>
      <c r="C36" s="142" t="inlineStr">
        <is>
          <t>Organiser un processus de conception et de réalisation dans une durée, avec des tâches identifiées.</t>
        </is>
      </c>
      <c r="D36" s="142" t="inlineStr">
        <is>
          <t>Thème 3</t>
        </is>
      </c>
      <c r="E36" s="142" t="inlineStr">
        <is>
          <t>D2, D4, D5</t>
        </is>
      </c>
      <c r="F36" s="142" t="inlineStr">
        <is>
          <t>Oui</t>
        </is>
      </c>
    </row>
    <row r="37" ht="25.5" customHeight="1" s="107">
      <c r="A37" s="180" t="inlineStr">
        <is>
          <t>4e_C7.2</t>
        </is>
      </c>
      <c r="B37" s="142" t="inlineStr">
        <is>
          <t>4e</t>
        </is>
      </c>
      <c r="C37" s="142" t="inlineStr">
        <is>
          <t>Proposer et fabriquer une solution pour ajouter une nouvelle fonction à un OST (croquis, schéma, graphique, algorithme, modélisation).</t>
        </is>
      </c>
      <c r="D37" s="142" t="inlineStr">
        <is>
          <t>Thème 3</t>
        </is>
      </c>
      <c r="E37" s="142" t="inlineStr">
        <is>
          <t>D2, D3, D4</t>
        </is>
      </c>
      <c r="F37" s="142" t="inlineStr">
        <is>
          <t>Oui</t>
        </is>
      </c>
    </row>
    <row r="38" ht="25.5" customHeight="1" s="107">
      <c r="A38" s="180" t="inlineStr">
        <is>
          <t>4e_C7.3</t>
        </is>
      </c>
      <c r="B38" s="142" t="inlineStr">
        <is>
          <t>4e</t>
        </is>
      </c>
      <c r="C38" s="142" t="inlineStr">
        <is>
          <t>Comparer différents matériaux pour choisir le plus adapté.</t>
        </is>
      </c>
      <c r="D38" s="142" t="inlineStr">
        <is>
          <t>Thème 3</t>
        </is>
      </c>
      <c r="E38" s="142" t="inlineStr">
        <is>
          <t>D3, D4, D5</t>
        </is>
      </c>
      <c r="F38" s="142" t="inlineStr">
        <is>
          <t>Oui</t>
        </is>
      </c>
    </row>
    <row r="39" ht="25.5" customHeight="1" s="107">
      <c r="A39" s="180" t="inlineStr">
        <is>
          <t>4e_C7.4</t>
        </is>
      </c>
      <c r="B39" s="142" t="inlineStr">
        <is>
          <t>4e</t>
        </is>
      </c>
      <c r="C39" s="142" t="inlineStr">
        <is>
          <t>Comparer différentes sources d’énergie pour choisir la plus adaptée.</t>
        </is>
      </c>
      <c r="D39" s="142" t="inlineStr">
        <is>
          <t>Thème 3</t>
        </is>
      </c>
      <c r="E39" s="142" t="inlineStr">
        <is>
          <t>D3, D4, D5</t>
        </is>
      </c>
      <c r="F39" s="142" t="inlineStr">
        <is>
          <t>Oui</t>
        </is>
      </c>
    </row>
    <row r="40" ht="25.5" customHeight="1" s="107">
      <c r="A40" s="180" t="inlineStr">
        <is>
          <t>4e_C7.5</t>
        </is>
      </c>
      <c r="B40" s="142" t="inlineStr">
        <is>
          <t>4e</t>
        </is>
      </c>
      <c r="C40" s="142" t="inlineStr">
        <is>
          <t>Identifier les constituants manquants dans un prototype et le compléter.</t>
        </is>
      </c>
      <c r="D40" s="142" t="inlineStr">
        <is>
          <t>Thème 3</t>
        </is>
      </c>
      <c r="E40" s="142" t="inlineStr">
        <is>
          <t>D2, D3, D4</t>
        </is>
      </c>
      <c r="F40" s="142" t="inlineStr">
        <is>
          <t>Oui</t>
        </is>
      </c>
    </row>
    <row r="41" ht="25.5" customHeight="1" s="107">
      <c r="A41" s="180" t="inlineStr">
        <is>
          <t>4e_C7.6</t>
        </is>
      </c>
      <c r="B41" s="142" t="inlineStr">
        <is>
          <t>4e</t>
        </is>
      </c>
      <c r="C41" s="142" t="inlineStr">
        <is>
          <t>Modifier une forme à l’aide d’une modélisation.</t>
        </is>
      </c>
      <c r="D41" s="142" t="inlineStr">
        <is>
          <t>Thème 3</t>
        </is>
      </c>
      <c r="E41" s="142" t="inlineStr">
        <is>
          <t>D2, D3, D4</t>
        </is>
      </c>
      <c r="F41" s="142" t="inlineStr">
        <is>
          <t>Oui</t>
        </is>
      </c>
    </row>
    <row r="42" ht="25.5" customHeight="1" s="107">
      <c r="A42" s="180" t="inlineStr">
        <is>
          <t>4e_C7.7</t>
        </is>
      </c>
      <c r="B42" s="142" t="inlineStr">
        <is>
          <t>4e</t>
        </is>
      </c>
      <c r="C42" s="142" t="inlineStr">
        <is>
          <t>Choisir les moyens et produire la forme voulue.</t>
        </is>
      </c>
      <c r="D42" s="142" t="inlineStr">
        <is>
          <t>Thème 3</t>
        </is>
      </c>
      <c r="E42" s="142" t="inlineStr">
        <is>
          <t>D2, D3, D4</t>
        </is>
      </c>
      <c r="F42" s="142" t="inlineStr">
        <is>
          <t>Oui</t>
        </is>
      </c>
    </row>
    <row r="43" ht="25.5" customHeight="1" s="107">
      <c r="A43" s="180" t="inlineStr">
        <is>
          <t>4e_C7.8</t>
        </is>
      </c>
      <c r="B43" s="142" t="inlineStr">
        <is>
          <t>4e</t>
        </is>
      </c>
      <c r="C43" s="142" t="inlineStr">
        <is>
          <t>Interfacer un objet technique avec un réseau.</t>
        </is>
      </c>
      <c r="D43" s="142" t="inlineStr">
        <is>
          <t>Thème 3</t>
        </is>
      </c>
      <c r="E43" s="142" t="inlineStr">
        <is>
          <t>D2, D3, D4</t>
        </is>
      </c>
      <c r="F43" s="142" t="inlineStr">
        <is>
          <t>Oui</t>
        </is>
      </c>
    </row>
    <row r="44" ht="30" customHeight="1" s="107">
      <c r="A44" s="179" t="inlineStr">
        <is>
          <t>C8</t>
        </is>
      </c>
      <c r="B44" s="179" t="inlineStr">
        <is>
          <t>—</t>
        </is>
      </c>
      <c r="C44" s="179" t="inlineStr">
        <is>
          <t>Valider les solutions techniques par des simulations ou par des protocoles de tests</t>
        </is>
      </c>
      <c r="D44" s="179" t="inlineStr">
        <is>
          <t>Thème 3</t>
        </is>
      </c>
      <c r="E44" s="179" t="inlineStr">
        <is>
          <t>D1.3, D2, D3, D4, D5</t>
        </is>
      </c>
      <c r="F44" s="179" t="inlineStr">
        <is>
          <t>Oui</t>
        </is>
      </c>
    </row>
    <row r="45" ht="25.5" customHeight="1" s="107">
      <c r="A45" s="180" t="inlineStr">
        <is>
          <t>4e_C8.1</t>
        </is>
      </c>
      <c r="B45" s="142" t="inlineStr">
        <is>
          <t>4e</t>
        </is>
      </c>
      <c r="C45" s="142" t="inlineStr">
        <is>
          <t>Paramétrer une simulation fournie pour valider la tenue mécanique d’un matériau.</t>
        </is>
      </c>
      <c r="D45" s="142" t="inlineStr">
        <is>
          <t>Thème 3</t>
        </is>
      </c>
      <c r="E45" s="142" t="inlineStr">
        <is>
          <t>D1.3, D2, D4</t>
        </is>
      </c>
      <c r="F45" s="142" t="inlineStr">
        <is>
          <t>Oui</t>
        </is>
      </c>
    </row>
    <row r="46" ht="25.5" customHeight="1" s="107">
      <c r="A46" s="180" t="inlineStr">
        <is>
          <t>4e_C8.2</t>
        </is>
      </c>
      <c r="B46" s="142" t="inlineStr">
        <is>
          <t>4e</t>
        </is>
      </c>
      <c r="C46" s="142" t="inlineStr">
        <is>
          <t>Proposer un protocole de test pour valider la tenue mécanique d’un matériau.</t>
        </is>
      </c>
      <c r="D46" s="142" t="inlineStr">
        <is>
          <t>Thème 3</t>
        </is>
      </c>
      <c r="E46" s="142" t="inlineStr">
        <is>
          <t>D1.3, D2, D3, D4</t>
        </is>
      </c>
      <c r="F46" s="142" t="inlineStr">
        <is>
          <t>Oui</t>
        </is>
      </c>
    </row>
    <row r="47" ht="25.5" customHeight="1" s="107">
      <c r="A47" s="180" t="inlineStr">
        <is>
          <t>4e_C8.3</t>
        </is>
      </c>
      <c r="B47" s="142" t="inlineStr">
        <is>
          <t>4e</t>
        </is>
      </c>
      <c r="C47" s="142" t="inlineStr">
        <is>
          <t>Proposer un protocole de test pour valider le comportement et les performances d’un objet technique.</t>
        </is>
      </c>
      <c r="D47" s="142" t="inlineStr">
        <is>
          <t>Thème 3</t>
        </is>
      </c>
      <c r="E47" s="142" t="inlineStr">
        <is>
          <t>D1.3, D2, D3, D4, D5</t>
        </is>
      </c>
      <c r="F47" s="142" t="inlineStr">
        <is>
          <t>Oui</t>
        </is>
      </c>
    </row>
    <row r="48" ht="30" customHeight="1" s="107">
      <c r="A48" s="179" t="inlineStr">
        <is>
          <t>C9</t>
        </is>
      </c>
      <c r="B48" s="179" t="inlineStr">
        <is>
          <t>—</t>
        </is>
      </c>
      <c r="C48" s="179" t="inlineStr">
        <is>
          <t>Concevoir, écrire, tester et mettre au point un programme</t>
        </is>
      </c>
      <c r="D48" s="179" t="inlineStr">
        <is>
          <t>Thème 3</t>
        </is>
      </c>
      <c r="E48" s="179" t="inlineStr">
        <is>
          <t>D1.3, D2, D4</t>
        </is>
      </c>
      <c r="F48" s="179" t="inlineStr">
        <is>
          <t>Oui</t>
        </is>
      </c>
    </row>
    <row r="49" ht="25.5" customHeight="1" s="107">
      <c r="A49" s="180" t="inlineStr">
        <is>
          <t>4e_C9.1</t>
        </is>
      </c>
      <c r="B49" s="142" t="inlineStr">
        <is>
          <t>4e</t>
        </is>
      </c>
      <c r="C49" s="142" t="inlineStr">
        <is>
          <t>Modifier un algorithme permettant de répondre au besoin ou au problème posé.</t>
        </is>
      </c>
      <c r="D49" s="142" t="inlineStr">
        <is>
          <t>Thème 3</t>
        </is>
      </c>
      <c r="E49" s="142" t="inlineStr">
        <is>
          <t>D1.3, D2, D4</t>
        </is>
      </c>
      <c r="F49" s="142" t="inlineStr">
        <is>
          <t>Oui</t>
        </is>
      </c>
    </row>
    <row r="50" ht="25.5" customHeight="1" s="107">
      <c r="A50" s="180" t="inlineStr">
        <is>
          <t>4e_C9.2</t>
        </is>
      </c>
      <c r="B50" s="142" t="inlineStr">
        <is>
          <t>4e</t>
        </is>
      </c>
      <c r="C50" s="142" t="inlineStr">
        <is>
          <t>Traduire un algorithme permettant de répondre à un besoin ou à un problème simple en un programme.</t>
        </is>
      </c>
      <c r="D50" s="142" t="inlineStr">
        <is>
          <t>Thème 3</t>
        </is>
      </c>
      <c r="E50" s="142" t="inlineStr">
        <is>
          <t>D1.3, D2, D4</t>
        </is>
      </c>
      <c r="F50" s="142" t="inlineStr">
        <is>
          <t>Oui</t>
        </is>
      </c>
    </row>
    <row r="51" ht="25.5" customHeight="1" s="107">
      <c r="A51" s="180" t="inlineStr">
        <is>
          <t>4e_C9.3</t>
        </is>
      </c>
      <c r="B51" s="142" t="inlineStr">
        <is>
          <t>4e</t>
        </is>
      </c>
      <c r="C51" s="142" t="inlineStr">
        <is>
          <t>Réaliser et mettre au point un programme commandant un système réel incluant éventuellement une interaction entre un humain et une machine.</t>
        </is>
      </c>
      <c r="D51" s="142" t="inlineStr">
        <is>
          <t>Thème 3</t>
        </is>
      </c>
      <c r="E51" s="142" t="inlineStr">
        <is>
          <t>D1.3, D2, D4</t>
        </is>
      </c>
      <c r="F51" s="142" t="inlineStr">
        <is>
          <t>Oui</t>
        </is>
      </c>
    </row>
    <row r="53" ht="15" customHeight="1" s="107">
      <c r="A53" s="133" t="inlineStr">
        <is>
          <t>38 sous-compétences listées · Source : BO n°9 du 29/02/2024 · codes Nathan (éd. 2024).</t>
        </is>
      </c>
    </row>
  </sheetData>
  <mergeCells count="3">
    <mergeCell ref="A2:F2"/>
    <mergeCell ref="A53:F53"/>
    <mergeCell ref="A1:F1"/>
  </mergeCells>
  <hyperlinks>
    <hyperlink xmlns:r="http://schemas.openxmlformats.org/officeDocument/2006/relationships" ref="F3" location="'🏠%20Accueil'!A1" display="◀ Accueil"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BF8F00"/>
    <outlinePr summaryBelow="1" summaryRight="1"/>
    <pageSetUpPr fitToPage="0"/>
  </sheetPr>
  <dimension ref="A1:M11"/>
  <sheetViews>
    <sheetView showFormulas="0" showGridLines="0"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4" customWidth="1" style="106" min="1" max="1"/>
    <col width="8" customWidth="1" style="106" min="2" max="2"/>
    <col width="30" customWidth="1" style="106" min="3" max="3"/>
    <col width="34" customWidth="1" style="106" min="4" max="4"/>
    <col width="9" customWidth="1" style="106" min="5" max="5"/>
    <col width="28" customWidth="1" style="106" min="6" max="6"/>
    <col width="8" customWidth="1" style="106" min="7" max="7"/>
    <col width="30" customWidth="1" style="106" min="8" max="8"/>
    <col width="34" customWidth="1" style="106" min="9" max="9"/>
    <col width="30" customWidth="1" style="106" min="10" max="10"/>
    <col width="16" customWidth="1" style="106" min="11" max="11"/>
    <col width="20" customWidth="1" style="106" min="12" max="13"/>
  </cols>
  <sheetData>
    <row r="1" ht="19.7" customHeight="1" s="107">
      <c r="A1" s="134" t="inlineStr">
        <is>
          <t>PROGRESSION ANNUELLE 4e — 2026-2027 · 7 séquences · base : Référentiel 2024 (+ correctif C4.3)</t>
        </is>
      </c>
    </row>
    <row r="2" ht="15" customHeight="1" s="107">
      <c r="K2" s="136" t="inlineStr">
        <is>
          <t>◀ Accueil</t>
        </is>
      </c>
    </row>
    <row r="3" ht="15" customHeight="1" s="107">
      <c r="A3" s="137" t="inlineStr">
        <is>
          <t>N°</t>
        </is>
      </c>
      <c r="B3" s="137" t="inlineStr">
        <is>
          <t>Période</t>
        </is>
      </c>
      <c r="C3" s="137" t="inlineStr">
        <is>
          <t>Titre</t>
        </is>
      </c>
      <c r="D3" s="137" t="inlineStr">
        <is>
          <t>Problématique</t>
        </is>
      </c>
      <c r="E3" s="137" t="inlineStr">
        <is>
          <t>Thème</t>
        </is>
      </c>
      <c r="F3" s="137" t="inlineStr">
        <is>
          <t>Codes 2024</t>
        </is>
      </c>
      <c r="G3" s="137" t="inlineStr">
        <is>
          <t>Séances</t>
        </is>
      </c>
      <c r="H3" s="137" t="inlineStr">
        <is>
          <t>Répartition 🏫 / 🏠 / 🔁</t>
        </is>
      </c>
      <c r="I3" s="137" t="inlineStr">
        <is>
          <t>Ressources en ligne (dépôt)</t>
        </is>
      </c>
      <c r="J3" s="137" t="inlineStr">
        <is>
          <t>Cahier Nathan 4e (repères)</t>
        </is>
      </c>
      <c r="K3" s="137" t="inlineStr">
        <is>
          <t>IA responsable</t>
        </is>
      </c>
      <c r="L3" s="138" t="inlineStr">
        <is>
          <t>Début (AUTO)</t>
        </is>
      </c>
      <c r="M3" s="138" t="inlineStr">
        <is>
          <t>Fin (AUTO)</t>
        </is>
      </c>
    </row>
    <row r="4" ht="78" customHeight="1" s="107">
      <c r="A4" s="181" t="n">
        <v>1</v>
      </c>
      <c r="B4" s="181" t="inlineStr">
        <is>
          <t>P1</t>
        </is>
      </c>
      <c r="C4" s="182" t="inlineStr">
        <is>
          <t>Des objets qui évoluent : usages, avantages, limites</t>
        </is>
      </c>
      <c r="D4" s="183" t="inlineStr">
        <is>
          <t>Pourquoi et comment les objets techniques évoluent-ils dans le temps ?</t>
        </is>
      </c>
      <c r="E4" s="181" t="inlineStr">
        <is>
          <t>Thème 1</t>
        </is>
      </c>
      <c r="F4" s="183" t="inlineStr">
        <is>
          <t>4e_C1.1, C1.2, C1.3</t>
        </is>
      </c>
      <c r="G4" s="181" t="n">
        <v>3</v>
      </c>
      <c r="H4" s="183" t="inlineStr">
        <is>
          <t>Séances 1-2 🏫 (frises, familles/lignées) · 3 🔁 (recherche doc à la maison, argumentaire en classe)</t>
        </is>
      </c>
      <c r="I4" s="183" t="inlineStr">
        <is>
          <t>🔜 À produire (Thème 1)</t>
        </is>
      </c>
      <c r="J4" s="183" t="inlineStr">
        <is>
          <t>Prob. 1 p.7-12 (évolution d'un objet : aspirateurs, avions, conservation des aliments)</t>
        </is>
      </c>
      <c r="K4" s="183" t="inlineStr">
        <is>
          <t>IA Thème 1</t>
        </is>
      </c>
      <c r="L4" s="184">
        <f>IFERROR(INDEX('📅 Calendrier'!$A$4:$A$54,MATCH("S1 · séance 1",'📅 Calendrier'!$D$4:$D$54,0))&amp;" ("&amp;INDEX('📅 Calendrier'!$B$4:$B$54,MATCH("S1 · séance 1",'📅 Calendrier'!$D$4:$D$54,0))&amp;")","⚠ hors année !")</f>
        <v/>
      </c>
      <c r="M4" s="184">
        <f>IFERROR(INDEX('📅 Calendrier'!$A$4:$A$54,MATCH("S1 · séance 3",'📅 Calendrier'!$D$4:$D$54,0))&amp;" ("&amp;INDEX('📅 Calendrier'!$B$4:$B$54,MATCH("S1 · séance 3",'📅 Calendrier'!$D$4:$D$54,0))&amp;")","⚠ hors année !")</f>
        <v/>
      </c>
    </row>
    <row r="5" ht="78" customHeight="1" s="107">
      <c r="A5" s="181" t="n">
        <v>2</v>
      </c>
      <c r="B5" s="181" t="inlineStr">
        <is>
          <t>P1</t>
        </is>
      </c>
      <c r="C5" s="182" t="inlineStr">
        <is>
          <t>Naviguer en sécurité : identité numérique et usage raisonné</t>
        </is>
      </c>
      <c r="D5" s="183" t="inlineStr">
        <is>
          <t>Quelles traces je laisse en ligne, et comment les maîtriser ?</t>
        </is>
      </c>
      <c r="E5" s="181" t="inlineStr">
        <is>
          <t>Thème 1</t>
        </is>
      </c>
      <c r="F5" s="183" t="inlineStr">
        <is>
          <t>4e_C1.4</t>
        </is>
      </c>
      <c r="G5" s="181" t="n">
        <v>2</v>
      </c>
      <c r="H5" s="183" t="inlineStr">
        <is>
          <t>Séance 1 🏫 (étude de cas) · 2 🔁 (audit de ses propres réglages à la maison, bilan en classe)</t>
        </is>
      </c>
      <c r="I5" s="183" t="inlineStr">
        <is>
          <t>🔜 À produire (Thème 1)</t>
        </is>
      </c>
      <c r="J5" s="183" t="inlineStr">
        <is>
          <t>Vers Pix — Domaine 4 Protection et sécurité (fin du cahier) · rappels Prob. 1</t>
        </is>
      </c>
      <c r="K5" s="183" t="inlineStr">
        <is>
          <t>IA Thème 1</t>
        </is>
      </c>
      <c r="L5" s="184">
        <f>IFERROR(INDEX('📅 Calendrier'!$A$4:$A$54,MATCH("S2 · séance 1",'📅 Calendrier'!$D$4:$D$54,0))&amp;" ("&amp;INDEX('📅 Calendrier'!$B$4:$B$54,MATCH("S2 · séance 1",'📅 Calendrier'!$D$4:$D$54,0))&amp;")","⚠ hors année !")</f>
        <v/>
      </c>
      <c r="M5" s="184">
        <f>IFERROR(INDEX('📅 Calendrier'!$A$4:$A$54,MATCH("S2 · séance 2",'📅 Calendrier'!$D$4:$D$54,0))&amp;" ("&amp;INDEX('📅 Calendrier'!$B$4:$B$54,MATCH("S2 · séance 2",'📅 Calendrier'!$D$4:$D$54,0))&amp;")","⚠ hors année !")</f>
        <v/>
      </c>
    </row>
    <row r="6" ht="78" customHeight="1" s="107">
      <c r="A6" s="181" t="n">
        <v>3</v>
      </c>
      <c r="B6" s="181" t="inlineStr">
        <is>
          <t>P1/P2</t>
        </is>
      </c>
      <c r="C6" s="182" t="inlineStr">
        <is>
          <t>Concevoir pour l'utilisateur : ergonomie et choix argumenté</t>
        </is>
      </c>
      <c r="D6" s="183" t="inlineStr">
        <is>
          <t>Comment choisir un objet technique en croisant plusieurs critères (usage, mesure, environnement) ?</t>
        </is>
      </c>
      <c r="E6" s="181" t="inlineStr">
        <is>
          <t>Thème 1</t>
        </is>
      </c>
      <c r="F6" s="183" t="inlineStr">
        <is>
          <t>4e_C2.1, C2.2, C3.1, C3.2, C3.3</t>
        </is>
      </c>
      <c r="G6" s="181" t="n">
        <v>4</v>
      </c>
      <c r="H6" s="183" t="inlineStr">
        <is>
          <t>Séances 1-2 🏫 (expérience utilisateur, protocole de mesure au multimètre) · 3 🔁 (comparatif à finir) · 4 🏫 (choix argumenté + éval.)</t>
        </is>
      </c>
      <c r="I6" s="183" t="inlineStr">
        <is>
          <t>🔜 À produire (Thème 1)</t>
        </is>
      </c>
      <c r="J6" s="183" t="inlineStr">
        <is>
          <t>Prob. 11 p.79-84 (mesurer les performances) · Prob. 10 p.73-78 (impact environnemental)</t>
        </is>
      </c>
      <c r="K6" s="183" t="inlineStr">
        <is>
          <t>IA Thème 1</t>
        </is>
      </c>
      <c r="L6" s="184">
        <f>IFERROR(INDEX('📅 Calendrier'!$A$4:$A$54,MATCH("S3 · séance 1",'📅 Calendrier'!$D$4:$D$54,0))&amp;" ("&amp;INDEX('📅 Calendrier'!$B$4:$B$54,MATCH("S3 · séance 1",'📅 Calendrier'!$D$4:$D$54,0))&amp;")","⚠ hors année !")</f>
        <v/>
      </c>
      <c r="M6" s="184">
        <f>IFERROR(INDEX('📅 Calendrier'!$A$4:$A$54,MATCH("S3 · séance 4",'📅 Calendrier'!$D$4:$D$54,0))&amp;" ("&amp;INDEX('📅 Calendrier'!$B$4:$B$54,MATCH("S3 · séance 4",'📅 Calendrier'!$D$4:$D$54,0))&amp;")","⚠ hors année !")</f>
        <v/>
      </c>
    </row>
    <row r="7" ht="78" customHeight="1" s="107">
      <c r="A7" s="185" t="n">
        <v>4</v>
      </c>
      <c r="B7" s="185" t="inlineStr">
        <is>
          <t>P2/P3</t>
        </is>
      </c>
      <c r="C7" s="186" t="inlineStr">
        <is>
          <t>Automatiser le jardin connecté : chaîne d'énergie et d'information</t>
        </is>
      </c>
      <c r="D7" s="187" t="inlineStr">
        <is>
          <t>Comment un système automatisé peut-il réguler l'arrosage d'un jardin ?</t>
        </is>
      </c>
      <c r="E7" s="185" t="inlineStr">
        <is>
          <t>Thème 2</t>
        </is>
      </c>
      <c r="F7" s="187" t="inlineStr">
        <is>
          <t>4e_C4.1, C4.2, C4.4, C4.5, C4.6</t>
        </is>
      </c>
      <c r="G7" s="185" t="n">
        <v>5</v>
      </c>
      <c r="H7" s="187" t="inlineStr">
        <is>
          <t>Séance 1 🏫 (analyse du système) · 2-3 🏫 (chaînes, transformations, capteurs Arduino) · 4 🔁 (données CSV maison) · 5 🏠 QCM + 🏫 éval.</t>
        </is>
      </c>
      <c r="I7" s="187" t="inlineStr">
        <is>
          <t>✅ Partiel : QCM « Jardin connecté », « Automatisation », « eCall » (existants) · 🔜 séquence îlot 4e_C4 (Fable)</t>
        </is>
      </c>
      <c r="J7" s="187" t="inlineStr">
        <is>
          <t>Prob. 5 p.37-44 (chaîne d'énergie) · Prob. 3 p.21-28 (fonctionnement) · Prob. 7 p.53-58 (automatiser)</t>
        </is>
      </c>
      <c r="K7" s="187" t="inlineStr">
        <is>
          <t>Fable (Th. 2)</t>
        </is>
      </c>
      <c r="L7" s="188">
        <f>IFERROR(INDEX('📅 Calendrier'!$A$4:$A$54,MATCH("S4 · séance 1",'📅 Calendrier'!$D$4:$D$54,0))&amp;" ("&amp;INDEX('📅 Calendrier'!$B$4:$B$54,MATCH("S4 · séance 1",'📅 Calendrier'!$D$4:$D$54,0))&amp;")","⚠ hors année !")</f>
        <v/>
      </c>
      <c r="M7" s="188">
        <f>IFERROR(INDEX('📅 Calendrier'!$A$4:$A$54,MATCH("S4 · séance 5",'📅 Calendrier'!$D$4:$D$54,0))&amp;" ("&amp;INDEX('📅 Calendrier'!$B$4:$B$54,MATCH("S4 · séance 5",'📅 Calendrier'!$D$4:$D$54,0))&amp;")","⚠ hors année !")</f>
        <v/>
      </c>
    </row>
    <row r="8" ht="78" customHeight="1" s="107">
      <c r="A8" s="185" t="n">
        <v>5</v>
      </c>
      <c r="B8" s="185" t="inlineStr">
        <is>
          <t>P3/P4</t>
        </is>
      </c>
      <c r="C8" s="186" t="inlineStr">
        <is>
          <t>Objets connectés en réseau : adresse IP et communication</t>
        </is>
      </c>
      <c r="D8" s="187" t="inlineStr">
        <is>
          <t>Comment ajouter un objet connecté à un réseau local et le faire dialoguer ?</t>
        </is>
      </c>
      <c r="E8" s="185" t="inlineStr">
        <is>
          <t>Thème 2</t>
        </is>
      </c>
      <c r="F8" s="187" t="inlineStr">
        <is>
          <t>4e_C4.7, C4.8, C4.9</t>
        </is>
      </c>
      <c r="G8" s="185" t="n">
        <v>4</v>
      </c>
      <c r="H8" s="187" t="inlineStr">
        <is>
          <t>Séance 1 🏫 (rappels 5e + adresse IP) · 2 🏫 (simulateur de réseau) · 3 🔁 (IoT VittaScience) · 4 🏠 QCM + 🏫 bilan</t>
        </is>
      </c>
      <c r="I8" s="187" t="inlineStr">
        <is>
          <t>✅ Partiel : QCM réseaux existant (40 q IP/NFC/RFID/Zigbee) · 🔜 séquence (Fable)</t>
        </is>
      </c>
      <c r="J8" s="187" t="inlineStr">
        <is>
          <t>Prob. 2 p.13-20 (connecter un objet à un réseau) · Point méthode adresse IP</t>
        </is>
      </c>
      <c r="K8" s="187" t="inlineStr">
        <is>
          <t>Fable (Th. 2)</t>
        </is>
      </c>
      <c r="L8" s="188">
        <f>IFERROR(INDEX('📅 Calendrier'!$A$4:$A$54,MATCH("S5 · séance 1",'📅 Calendrier'!$D$4:$D$54,0))&amp;" ("&amp;INDEX('📅 Calendrier'!$B$4:$B$54,MATCH("S5 · séance 1",'📅 Calendrier'!$D$4:$D$54,0))&amp;")","⚠ hors année !")</f>
        <v/>
      </c>
      <c r="M8" s="188">
        <f>IFERROR(INDEX('📅 Calendrier'!$A$4:$A$54,MATCH("S5 · séance 4",'📅 Calendrier'!$D$4:$D$54,0))&amp;" ("&amp;INDEX('📅 Calendrier'!$B$4:$B$54,MATCH("S5 · séance 4",'📅 Calendrier'!$D$4:$D$54,0))&amp;")","⚠ hors année !")</f>
        <v/>
      </c>
    </row>
    <row r="9" ht="78" customHeight="1" s="107">
      <c r="A9" s="185" t="n">
        <v>6</v>
      </c>
      <c r="B9" s="185" t="inlineStr">
        <is>
          <t>P4</t>
        </is>
      </c>
      <c r="C9" s="186" t="inlineStr">
        <is>
          <t>Réparer sans notice : diagnostic, pièce et programme</t>
        </is>
      </c>
      <c r="D9" s="187" t="inlineStr">
        <is>
          <t>Comment diagnostiquer une panne sans protocole fourni, remplacer la pièce et corriger le programme ?</t>
        </is>
      </c>
      <c r="E9" s="185" t="inlineStr">
        <is>
          <t>Thème 2</t>
        </is>
      </c>
      <c r="F9" s="187" t="inlineStr">
        <is>
          <t>4e_C5.1, C5.2, C5.3 + 4e_C6.1, C6.2, C6.3 + 4e_C4.3 (rattaché ici — correctif)</t>
        </is>
      </c>
      <c r="G9" s="185" t="n">
        <v>4</v>
      </c>
      <c r="H9" s="187" t="inlineStr">
        <is>
          <t>Séances 1-2 🏫 (diagnostic, hypothèses, remplacement — forme de la pièce ↔ procédé) · 3 🏫 (programme : compléter/corriger) · 4 🔁 (rapport + QCM maison)</t>
        </is>
      </c>
      <c r="I9" s="187" t="inlineStr">
        <is>
          <t>✅ Partiel : QCM « Éclairage automatique », « Algorigrammes domotique » (existants) · 🔜 séquence (Fable, sur le modèle 3e « SOS station »)</t>
        </is>
      </c>
      <c r="J9" s="187" t="inlineStr">
        <is>
          <t>Prob. 8 p.61-66 (prolonger la durée de vie) · Prob. 6 p.45-52 (programmer) · Prob. 4 p.29-36 (matériaux et formes → C4.3)</t>
        </is>
      </c>
      <c r="K9" s="187" t="inlineStr">
        <is>
          <t>Fable (Th. 2)</t>
        </is>
      </c>
      <c r="L9" s="188">
        <f>IFERROR(INDEX('📅 Calendrier'!$A$4:$A$54,MATCH("S6 · séance 1",'📅 Calendrier'!$D$4:$D$54,0))&amp;" ("&amp;INDEX('📅 Calendrier'!$B$4:$B$54,MATCH("S6 · séance 1",'📅 Calendrier'!$D$4:$D$54,0))&amp;")","⚠ hors année !")</f>
        <v/>
      </c>
      <c r="M9" s="188">
        <f>IFERROR(INDEX('📅 Calendrier'!$A$4:$A$54,MATCH("S6 · séance 4",'📅 Calendrier'!$D$4:$D$54,0))&amp;" ("&amp;INDEX('📅 Calendrier'!$B$4:$B$54,MATCH("S6 · séance 4",'📅 Calendrier'!$D$4:$D$54,0))&amp;")","⚠ hors année !")</f>
        <v/>
      </c>
    </row>
    <row r="10" ht="78" customHeight="1" s="107">
      <c r="A10" s="189" t="n">
        <v>7</v>
      </c>
      <c r="B10" s="189" t="inlineStr">
        <is>
          <t>P4/P5</t>
        </is>
      </c>
      <c r="C10" s="190" t="inlineStr">
        <is>
          <t>Projet : ajouter une nouvelle fonction à un objet connecté</t>
        </is>
      </c>
      <c r="D10" s="191" t="inlineStr">
        <is>
          <t>Comment concevoir, réaliser et programmer une nouvelle fonctionnalité ?</t>
        </is>
      </c>
      <c r="E10" s="189" t="inlineStr">
        <is>
          <t>Thème 3</t>
        </is>
      </c>
      <c r="F10" s="191" t="inlineStr">
        <is>
          <t>4e_C7.1→C7.8, C8.1→C8.3, C9.1→C9.3</t>
        </is>
      </c>
      <c r="G10" s="189" t="n">
        <v>6</v>
      </c>
      <c r="H10" s="191" t="inlineStr">
        <is>
          <t>Séances 1-5 🏫 (démarche de projet : cahier des charges → prototype → tests) · entre séances 🏠 (croquis, recherches) · 6 🏫 revue de projet</t>
        </is>
      </c>
      <c r="I10" s="191" t="inlineStr">
        <is>
          <t>🔜 À produire (Thème 3)</t>
        </is>
      </c>
      <c r="J10" s="191" t="inlineStr">
        <is>
          <t>Prob. 9 p.67-72 (réaliser/modifier un prototype) · Prob. 10 p.73-78 · Prob. 6 p.45-52</t>
        </is>
      </c>
      <c r="K10" s="191" t="inlineStr">
        <is>
          <t>IA Thème 3</t>
        </is>
      </c>
      <c r="L10" s="192">
        <f>IFERROR(INDEX('📅 Calendrier'!$A$4:$A$54,MATCH("S7 · séance 1",'📅 Calendrier'!$D$4:$D$54,0))&amp;" ("&amp;INDEX('📅 Calendrier'!$B$4:$B$54,MATCH("S7 · séance 1",'📅 Calendrier'!$D$4:$D$54,0))&amp;")","⚠ hors année !")</f>
        <v/>
      </c>
      <c r="M10" s="192">
        <f>IFERROR(INDEX('📅 Calendrier'!$A$4:$A$54,MATCH("S7 · séance 6",'📅 Calendrier'!$D$4:$D$54,0))&amp;" ("&amp;INDEX('📅 Calendrier'!$B$4:$B$54,MATCH("S7 · séance 6",'📅 Calendrier'!$D$4:$D$54,0))&amp;")","⚠ hors année !")</f>
        <v/>
      </c>
    </row>
    <row r="11" ht="15" customHeight="1" s="107">
      <c r="F11" s="193" t="inlineStr">
        <is>
          <t>Total séances planifiées :</t>
        </is>
      </c>
      <c r="G11" s="194">
        <f>SUM(G4:G10)</f>
        <v/>
      </c>
      <c r="H11" s="133" t="inlineStr">
        <is>
          <t>+ 9 semaines tampon = 37 semaines (voir Calendrier) · colonnes AUTO recalculées selon les imprévus</t>
        </is>
      </c>
    </row>
  </sheetData>
  <hyperlinks>
    <hyperlink xmlns:r="http://schemas.openxmlformats.org/officeDocument/2006/relationships" ref="K2" location="'🏠%20Accueil'!A1" display="◀ Accueil"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C55A11"/>
    <outlinePr summaryBelow="1" summaryRight="1"/>
    <pageSetUpPr fitToPage="0"/>
  </sheetPr>
  <dimension ref="A1:F4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06" min="1" max="1"/>
    <col width="40" customWidth="1" style="106" min="2" max="4"/>
    <col width="30" customWidth="1" style="106" min="5" max="5"/>
    <col width="22" customWidth="1" style="106" min="6" max="6"/>
  </cols>
  <sheetData>
    <row r="1" ht="17.35" customHeight="1" s="107">
      <c r="A1" s="195" t="inlineStr">
        <is>
          <t>GÉNÉRATEUR DE SÉQUENCE 2024 — S1 · Des objets qui évoluent : usages, avantages, limites</t>
        </is>
      </c>
    </row>
    <row r="2" ht="15" customHeight="1" s="107">
      <c r="A2" s="133" t="inlineStr">
        <is>
          <t>Thème 1 · P1 · 3 séances de 1 h 30 · Responsable : IA Thème 1 · CANEVAS À REMPLIR par IA Thème 1 (règle : l'IA du thème est seule à modifier)</t>
        </is>
      </c>
    </row>
    <row r="3" ht="15" customHeight="1" s="107">
      <c r="E3" s="163" t="inlineStr">
        <is>
          <t>◀ Progression</t>
        </is>
      </c>
      <c r="F3" s="136" t="inlineStr">
        <is>
          <t>◀ Accueil</t>
        </is>
      </c>
    </row>
    <row r="4" ht="27.75" customHeight="1" s="107">
      <c r="A4" s="182" t="inlineStr">
        <is>
          <t>Problématique</t>
        </is>
      </c>
      <c r="B4" s="196" t="inlineStr">
        <is>
          <t>Pourquoi et comment les objets techniques évoluent-ils dans le temps ?</t>
        </is>
      </c>
      <c r="C4" s="132" t="n"/>
      <c r="D4" s="132" t="n"/>
      <c r="E4" s="132" t="n"/>
      <c r="F4" s="132" t="n"/>
    </row>
    <row r="5" ht="27.75" customHeight="1" s="107">
      <c r="A5" s="182" t="inlineStr">
        <is>
          <t>Situation déclenchante</t>
        </is>
      </c>
      <c r="B5" s="196" t="inlineStr">
        <is>
          <t>⚠ À compléter par IA Thème 1 (canevas pré-rempli par Fable — codes, problématique et repères Nathan posés).</t>
        </is>
      </c>
      <c r="C5" s="132" t="n"/>
      <c r="D5" s="132" t="n"/>
      <c r="E5" s="132" t="n"/>
      <c r="F5" s="132" t="n"/>
    </row>
    <row r="6" ht="27.75" customHeight="1" s="107">
      <c r="A6" s="182" t="inlineStr">
        <is>
          <t>Prérequis</t>
        </is>
      </c>
      <c r="B6" s="196" t="inlineStr">
        <is>
          <t>—</t>
        </is>
      </c>
      <c r="C6" s="132" t="n"/>
      <c r="D6" s="132" t="n"/>
      <c r="E6" s="132" t="n"/>
      <c r="F6" s="132" t="n"/>
    </row>
    <row r="7" ht="27.75" customHeight="1" s="107">
      <c r="A7" s="182" t="inlineStr">
        <is>
          <t>Éléments pour la synthèse (objectifs)</t>
        </is>
      </c>
      <c r="B7" s="196" t="inlineStr">
        <is>
          <t>⚠ À compléter par IA Thème 1 (canevas pré-rempli par Fable — codes, problématique et repères Nathan posés).</t>
        </is>
      </c>
      <c r="C7" s="132" t="n"/>
      <c r="D7" s="132" t="n"/>
      <c r="E7" s="132" t="n"/>
      <c r="F7" s="132" t="n"/>
    </row>
    <row r="8" ht="27.75" customHeight="1" s="107">
      <c r="A8" s="182" t="inlineStr">
        <is>
          <t>Piste d'évaluation</t>
        </is>
      </c>
      <c r="B8" s="196" t="inlineStr">
        <is>
          <t>Frise/argumentaire sur l'évolution d'un objet</t>
        </is>
      </c>
      <c r="C8" s="132" t="n"/>
      <c r="D8" s="132" t="n"/>
      <c r="E8" s="132" t="n"/>
      <c r="F8" s="132" t="n"/>
    </row>
    <row r="9" ht="27.75" customHeight="1" s="107">
      <c r="A9" s="182" t="inlineStr">
        <is>
          <t>Domaines du socle mobilisés</t>
        </is>
      </c>
      <c r="B9" s="196" t="inlineStr">
        <is>
          <t>D3, D4, D5  (détail par code ci-dessous)</t>
        </is>
      </c>
      <c r="C9" s="132" t="n"/>
      <c r="D9" s="132" t="n"/>
      <c r="E9" s="132" t="n"/>
      <c r="F9" s="132" t="n"/>
    </row>
    <row r="10" ht="27.75" customHeight="1" s="107">
      <c r="A10" s="182" t="inlineStr">
        <is>
          <t>CRCN — compétences numériques (Pix)</t>
        </is>
      </c>
      <c r="B10" s="196" t="inlineStr">
        <is>
          <t>1.1 Mener une recherche (Niv. 2-3) · 1.3 Traiter des données (Niv. 2)</t>
        </is>
      </c>
      <c r="C10" s="132" t="n"/>
      <c r="D10" s="132" t="n"/>
      <c r="E10" s="132" t="n"/>
      <c r="F10" s="132" t="n"/>
    </row>
    <row r="11" ht="27.75" customHeight="1" s="107">
      <c r="A11" s="182" t="inlineStr">
        <is>
          <t>Versions 🅰 / 🅱 / 🅲</t>
        </is>
      </c>
      <c r="B11" s="196" t="inlineStr">
        <is>
          <t>⚠ À compléter par IA Thème 1 (canevas pré-rempli par Fable — codes, problématique et repères Nathan posés).</t>
        </is>
      </c>
      <c r="C11" s="132" t="n"/>
      <c r="D11" s="132" t="n"/>
      <c r="E11" s="132" t="n"/>
      <c r="F11" s="132" t="n"/>
    </row>
    <row r="12" ht="27.75" customHeight="1" s="107">
      <c r="A12" s="182" t="inlineStr">
        <is>
          <t>Liens EPI / parcours</t>
        </is>
      </c>
      <c r="B12" s="196" t="inlineStr">
        <is>
          <t>⚠ À compléter par IA Thème 1 (canevas pré-rempli par Fable — codes, problématique et repères Nathan posés).</t>
        </is>
      </c>
      <c r="C12" s="132" t="n"/>
      <c r="D12" s="132" t="n"/>
      <c r="E12" s="132" t="n"/>
      <c r="F12" s="132" t="n"/>
    </row>
    <row r="13" ht="27.75" customHeight="1" s="107">
      <c r="A13" s="182" t="inlineStr">
        <is>
          <t>Cahier Nathan 4e</t>
        </is>
      </c>
      <c r="B13" s="196" t="inlineStr">
        <is>
          <t>Prob. 1 p.7-12 (évolution d'un objet : aspirateurs, avions, conservation des aliments)</t>
        </is>
      </c>
      <c r="C13" s="132" t="n"/>
      <c r="D13" s="132" t="n"/>
      <c r="E13" s="132" t="n"/>
      <c r="F13" s="132" t="n"/>
    </row>
    <row r="14" ht="27.75" customHeight="1" s="107">
      <c r="A14" s="182" t="inlineStr">
        <is>
          <t>Ressources en ligne</t>
        </is>
      </c>
      <c r="B14" s="196" t="inlineStr">
        <is>
          <t>🔜 À produire (Thème 1)</t>
        </is>
      </c>
      <c r="C14" s="132" t="n"/>
      <c r="D14" s="132" t="n"/>
      <c r="E14" s="132" t="n"/>
      <c r="F14" s="132" t="n"/>
    </row>
    <row r="16" ht="15" customHeight="1" s="107">
      <c r="A16" s="155" t="inlineStr">
        <is>
          <t>Compétences du programme 2024</t>
        </is>
      </c>
    </row>
    <row r="17" ht="15" customHeight="1" s="107">
      <c r="A17" s="137" t="inlineStr">
        <is>
          <t>Code</t>
        </is>
      </c>
      <c r="B17" s="137" t="inlineStr">
        <is>
          <t>Intitulé officiel</t>
        </is>
      </c>
      <c r="C17" s="137" t="inlineStr">
        <is>
          <t>Domaines du socle</t>
        </is>
      </c>
      <c r="D17" s="137" t="inlineStr">
        <is>
          <t>Travaillée en</t>
        </is>
      </c>
      <c r="E17" s="137" t="inlineStr">
        <is>
          <t>Évaluation LSU</t>
        </is>
      </c>
    </row>
    <row r="18" ht="30" customHeight="1" s="107">
      <c r="A18" s="180" t="inlineStr">
        <is>
          <t>4e_C1.1</t>
        </is>
      </c>
      <c r="B18" s="142" t="inlineStr">
        <is>
          <t>Mettre en relation les OST avec leurs usages.</t>
        </is>
      </c>
      <c r="C18" s="142" t="inlineStr">
        <is>
          <t>D4, D5</t>
        </is>
      </c>
      <c r="D18" s="142" t="inlineStr">
        <is>
          <t>—</t>
        </is>
      </c>
      <c r="E18" s="142" t="inlineStr">
        <is>
          <t>→ LSU</t>
        </is>
      </c>
    </row>
    <row r="19" ht="30" customHeight="1" s="107">
      <c r="A19" s="180" t="inlineStr">
        <is>
          <t>4e_C1.2</t>
        </is>
      </c>
      <c r="B19" s="142" t="inlineStr">
        <is>
          <t>Identifier les avantages et les inconvénients associés aux évolutions technologiques et informatiques.</t>
        </is>
      </c>
      <c r="C19" s="142" t="inlineStr">
        <is>
          <t>D3, D4, D5</t>
        </is>
      </c>
      <c r="D19" s="142" t="inlineStr">
        <is>
          <t>—</t>
        </is>
      </c>
      <c r="E19" s="142" t="inlineStr">
        <is>
          <t>→ LSU</t>
        </is>
      </c>
    </row>
    <row r="20" ht="30" customHeight="1" s="107">
      <c r="A20" s="180" t="inlineStr">
        <is>
          <t>4e_C1.3</t>
        </is>
      </c>
      <c r="B20" s="142" t="inlineStr">
        <is>
          <t>Justifier l’évolution d’un OST pour répondre à l’évolution des besoins.</t>
        </is>
      </c>
      <c r="C20" s="142" t="inlineStr">
        <is>
          <t>D3, D4, D5</t>
        </is>
      </c>
      <c r="D20" s="142" t="inlineStr">
        <is>
          <t>—</t>
        </is>
      </c>
      <c r="E20" s="142" t="inlineStr">
        <is>
          <t>→ LSU</t>
        </is>
      </c>
    </row>
    <row r="22" ht="15" customHeight="1" s="107">
      <c r="A22" s="155" t="inlineStr">
        <is>
          <t>Déroulé, séance par séance — avec cahier de texte Pronote prêt à coller</t>
        </is>
      </c>
    </row>
    <row r="23" ht="15" customHeight="1" s="107">
      <c r="A23" s="197" t="inlineStr">
        <is>
          <t>■ Séance 1 — semaine S01 — — — [titre de la séance 1 — à compléter]</t>
        </is>
      </c>
    </row>
    <row r="24" ht="27.75" customHeight="1" s="107">
      <c r="A24" s="182" t="inlineStr">
        <is>
          <t>Question directrice</t>
        </is>
      </c>
      <c r="B24" s="196" t="inlineStr">
        <is>
          <t>[question directrice]</t>
        </is>
      </c>
      <c r="C24" s="132" t="n"/>
      <c r="D24" s="132" t="n"/>
      <c r="E24" s="132" t="n"/>
      <c r="F24" s="132" t="n"/>
    </row>
    <row r="25" ht="27.75" customHeight="1" s="107">
      <c r="A25" s="182" t="inlineStr">
        <is>
          <t>Activités &amp; supports</t>
        </is>
      </c>
      <c r="B25" s="196" t="inlineStr">
        <is>
          <t>[activités — repères Nathan : Prob. 1 p.7-12 (évolution d'un objet : aspirateurs, avions, conservation des aliments)]</t>
        </is>
      </c>
      <c r="C25" s="132" t="n"/>
      <c r="D25" s="132" t="n"/>
      <c r="E25" s="132" t="n"/>
      <c r="F25" s="132" t="n"/>
    </row>
    <row r="26" ht="27.75" customHeight="1" s="107">
      <c r="A26" s="182" t="inlineStr">
        <is>
          <t>Démarche / organisation</t>
        </is>
      </c>
      <c r="B26" s="196" t="inlineStr">
        <is>
          <t>[démarche]</t>
        </is>
      </c>
      <c r="C26" s="132" t="n"/>
      <c r="D26" s="132" t="n"/>
      <c r="E26" s="132" t="n"/>
      <c r="F26" s="132" t="n"/>
    </row>
    <row r="27" ht="27.75" customHeight="1" s="107">
      <c r="A27" s="182" t="inlineStr">
        <is>
          <t>Bilan / trace écrite</t>
        </is>
      </c>
      <c r="B27" s="196" t="inlineStr">
        <is>
          <t>[trace écrite]</t>
        </is>
      </c>
      <c r="C27" s="132" t="n"/>
      <c r="D27" s="132" t="n"/>
      <c r="E27" s="132" t="n"/>
      <c r="F27" s="132" t="n"/>
    </row>
    <row r="28" ht="39.75" customHeight="1" s="107">
      <c r="A28" s="198" t="inlineStr">
        <is>
          <t>📋 CAHIER DE TEXTE
Contenu de la séance
👆 CLIC = copier pour Pronote</t>
        </is>
      </c>
      <c r="B28" s="199" t="inlineStr">
        <is>
          <t>[Cahier de texte — contenu de la séance 1 : à rédiger par IA Thème 1 — phrase(s) prêtes à coller dans Pronote.]</t>
        </is>
      </c>
      <c r="C28" s="132" t="n"/>
      <c r="D28" s="132" t="n"/>
      <c r="E28" s="132" t="n"/>
      <c r="F28" s="132" t="n"/>
    </row>
    <row r="29" ht="39.75" customHeight="1" s="107">
      <c r="A29" s="198" t="inlineStr">
        <is>
          <t>📋 CAHIER DE TEXTE
Travail à faire
👆 CLIC = copier pour Pronote</t>
        </is>
      </c>
      <c r="B29" s="199" t="inlineStr">
        <is>
          <t>[Cahier de texte — travail à faire : à rédiger — support (lien ou pages Nathan), durée estimée, « faisable sur téléphone » si c'est le cas.]</t>
        </is>
      </c>
      <c r="C29" s="132" t="n"/>
      <c r="D29" s="132" t="n"/>
      <c r="E29" s="132" t="n"/>
      <c r="F29" s="132" t="n"/>
    </row>
    <row r="30" ht="15" customHeight="1" s="107">
      <c r="A30" s="200" t="inlineStr">
        <is>
          <t>Suivi enseignant</t>
        </is>
      </c>
      <c r="B30" s="201" t="inlineStr">
        <is>
          <t>Fait le : ____________</t>
        </is>
      </c>
      <c r="C30" s="202" t="inlineStr">
        <is>
          <t xml:space="preserve">Report / aléa / remarques : </t>
        </is>
      </c>
      <c r="D30" s="132" t="n"/>
      <c r="E30" s="132" t="n"/>
      <c r="F30" s="132" t="n"/>
    </row>
    <row r="32" ht="15" customHeight="1" s="107">
      <c r="A32" s="197" t="inlineStr">
        <is>
          <t>■ Séance 2 — semaine S02 — — — [titre de la séance 2 — à compléter]</t>
        </is>
      </c>
    </row>
    <row r="33" ht="27.75" customHeight="1" s="107">
      <c r="A33" s="182" t="inlineStr">
        <is>
          <t>Question directrice</t>
        </is>
      </c>
      <c r="B33" s="196" t="inlineStr">
        <is>
          <t>[question directrice]</t>
        </is>
      </c>
      <c r="C33" s="132" t="n"/>
      <c r="D33" s="132" t="n"/>
      <c r="E33" s="132" t="n"/>
      <c r="F33" s="132" t="n"/>
    </row>
    <row r="34" ht="27.75" customHeight="1" s="107">
      <c r="A34" s="182" t="inlineStr">
        <is>
          <t>Activités &amp; supports</t>
        </is>
      </c>
      <c r="B34" s="196" t="inlineStr">
        <is>
          <t>[activités — repères Nathan : Prob. 1 p.7-12 (évolution d'un objet : aspirateurs, avions, conservation des aliments)]</t>
        </is>
      </c>
      <c r="C34" s="132" t="n"/>
      <c r="D34" s="132" t="n"/>
      <c r="E34" s="132" t="n"/>
      <c r="F34" s="132" t="n"/>
    </row>
    <row r="35" ht="27.75" customHeight="1" s="107">
      <c r="A35" s="182" t="inlineStr">
        <is>
          <t>Démarche / organisation</t>
        </is>
      </c>
      <c r="B35" s="196" t="inlineStr">
        <is>
          <t>[démarche]</t>
        </is>
      </c>
      <c r="C35" s="132" t="n"/>
      <c r="D35" s="132" t="n"/>
      <c r="E35" s="132" t="n"/>
      <c r="F35" s="132" t="n"/>
    </row>
    <row r="36" ht="27.75" customHeight="1" s="107">
      <c r="A36" s="182" t="inlineStr">
        <is>
          <t>Bilan / trace écrite</t>
        </is>
      </c>
      <c r="B36" s="196" t="inlineStr">
        <is>
          <t>[trace écrite]</t>
        </is>
      </c>
      <c r="C36" s="132" t="n"/>
      <c r="D36" s="132" t="n"/>
      <c r="E36" s="132" t="n"/>
      <c r="F36" s="132" t="n"/>
    </row>
    <row r="37" ht="39.75" customHeight="1" s="107">
      <c r="A37" s="198" t="inlineStr">
        <is>
          <t>📋 CAHIER DE TEXTE
Contenu de la séance
👆 CLIC = copier pour Pronote</t>
        </is>
      </c>
      <c r="B37" s="199" t="inlineStr">
        <is>
          <t>[Cahier de texte — contenu de la séance 2 : à rédiger par IA Thème 1 — phrase(s) prêtes à coller dans Pronote.]</t>
        </is>
      </c>
      <c r="C37" s="132" t="n"/>
      <c r="D37" s="132" t="n"/>
      <c r="E37" s="132" t="n"/>
      <c r="F37" s="132" t="n"/>
    </row>
    <row r="38" ht="39.75" customHeight="1" s="107">
      <c r="A38" s="198" t="inlineStr">
        <is>
          <t>📋 CAHIER DE TEXTE
Travail à faire
👆 CLIC = copier pour Pronote</t>
        </is>
      </c>
      <c r="B38" s="199" t="inlineStr">
        <is>
          <t>[Cahier de texte — travail à faire : à rédiger — support (lien ou pages Nathan), durée estimée, « faisable sur téléphone » si c'est le cas.]</t>
        </is>
      </c>
      <c r="C38" s="132" t="n"/>
      <c r="D38" s="132" t="n"/>
      <c r="E38" s="132" t="n"/>
      <c r="F38" s="132" t="n"/>
    </row>
    <row r="39" ht="15" customHeight="1" s="107">
      <c r="A39" s="200" t="inlineStr">
        <is>
          <t>Suivi enseignant</t>
        </is>
      </c>
      <c r="B39" s="201" t="inlineStr">
        <is>
          <t>Fait le : ____________</t>
        </is>
      </c>
      <c r="C39" s="202" t="inlineStr">
        <is>
          <t xml:space="preserve">Report / aléa / remarques : </t>
        </is>
      </c>
      <c r="D39" s="132" t="n"/>
      <c r="E39" s="132" t="n"/>
      <c r="F39" s="132" t="n"/>
    </row>
    <row r="41" ht="15" customHeight="1" s="107">
      <c r="A41" s="197" t="inlineStr">
        <is>
          <t>■ Séance 3 — semaine S03 — — — [titre de la séance 3 — à compléter]</t>
        </is>
      </c>
    </row>
    <row r="42" ht="27.75" customHeight="1" s="107">
      <c r="A42" s="182" t="inlineStr">
        <is>
          <t>Question directrice</t>
        </is>
      </c>
      <c r="B42" s="196" t="inlineStr">
        <is>
          <t>[question directrice]</t>
        </is>
      </c>
      <c r="C42" s="132" t="n"/>
      <c r="D42" s="132" t="n"/>
      <c r="E42" s="132" t="n"/>
      <c r="F42" s="132" t="n"/>
    </row>
    <row r="43" ht="27.75" customHeight="1" s="107">
      <c r="A43" s="182" t="inlineStr">
        <is>
          <t>Activités &amp; supports</t>
        </is>
      </c>
      <c r="B43" s="196" t="inlineStr">
        <is>
          <t>[activités — repères Nathan : Prob. 1 p.7-12 (évolution d'un objet : aspirateurs, avions, conservation des aliments)]</t>
        </is>
      </c>
      <c r="C43" s="132" t="n"/>
      <c r="D43" s="132" t="n"/>
      <c r="E43" s="132" t="n"/>
      <c r="F43" s="132" t="n"/>
    </row>
    <row r="44" ht="27.75" customHeight="1" s="107">
      <c r="A44" s="182" t="inlineStr">
        <is>
          <t>Démarche / organisation</t>
        </is>
      </c>
      <c r="B44" s="196" t="inlineStr">
        <is>
          <t>[démarche]</t>
        </is>
      </c>
      <c r="C44" s="132" t="n"/>
      <c r="D44" s="132" t="n"/>
      <c r="E44" s="132" t="n"/>
      <c r="F44" s="132" t="n"/>
    </row>
    <row r="45" ht="27.75" customHeight="1" s="107">
      <c r="A45" s="182" t="inlineStr">
        <is>
          <t>Bilan / trace écrite</t>
        </is>
      </c>
      <c r="B45" s="196" t="inlineStr">
        <is>
          <t>[trace écrite]</t>
        </is>
      </c>
      <c r="C45" s="132" t="n"/>
      <c r="D45" s="132" t="n"/>
      <c r="E45" s="132" t="n"/>
      <c r="F45" s="132" t="n"/>
    </row>
    <row r="46" ht="39.75" customHeight="1" s="107">
      <c r="A46" s="198" t="inlineStr">
        <is>
          <t>📋 CAHIER DE TEXTE
Contenu de la séance
👆 CLIC = copier pour Pronote</t>
        </is>
      </c>
      <c r="B46" s="199" t="inlineStr">
        <is>
          <t>[Cahier de texte — contenu de la séance 3 : à rédiger par IA Thème 1 — phrase(s) prêtes à coller dans Pronote.]</t>
        </is>
      </c>
      <c r="C46" s="132" t="n"/>
      <c r="D46" s="132" t="n"/>
      <c r="E46" s="132" t="n"/>
      <c r="F46" s="132" t="n"/>
    </row>
    <row r="47" ht="39.75" customHeight="1" s="107">
      <c r="A47" s="198" t="inlineStr">
        <is>
          <t>📋 CAHIER DE TEXTE
Travail à faire
👆 CLIC = copier pour Pronote</t>
        </is>
      </c>
      <c r="B47" s="199" t="inlineStr">
        <is>
          <t>[Cahier de texte — travail à faire : à rédiger — support (lien ou pages Nathan), durée estimée, « faisable sur téléphone » si c'est le cas.]</t>
        </is>
      </c>
      <c r="C47" s="132" t="n"/>
      <c r="D47" s="132" t="n"/>
      <c r="E47" s="132" t="n"/>
      <c r="F47" s="132" t="n"/>
    </row>
    <row r="48" ht="15" customHeight="1" s="107">
      <c r="A48" s="200" t="inlineStr">
        <is>
          <t>Suivi enseignant</t>
        </is>
      </c>
      <c r="B48" s="201" t="inlineStr">
        <is>
          <t>Fait le : ____________</t>
        </is>
      </c>
      <c r="C48" s="202" t="inlineStr">
        <is>
          <t xml:space="preserve">Report / aléa / remarques : </t>
        </is>
      </c>
      <c r="D48" s="132" t="n"/>
      <c r="E48" s="132" t="n"/>
      <c r="F48" s="132" t="n"/>
    </row>
  </sheetData>
  <mergeCells count="37">
    <mergeCell ref="B4:F4"/>
    <mergeCell ref="A41:F41"/>
    <mergeCell ref="C48:F48"/>
    <mergeCell ref="B7:F7"/>
    <mergeCell ref="C39:F39"/>
    <mergeCell ref="B47:F47"/>
    <mergeCell ref="B25:F25"/>
    <mergeCell ref="B46:F46"/>
    <mergeCell ref="B27:F27"/>
    <mergeCell ref="A2:F2"/>
    <mergeCell ref="B43:F43"/>
    <mergeCell ref="B12:F12"/>
    <mergeCell ref="B11:F11"/>
    <mergeCell ref="A23:F23"/>
    <mergeCell ref="A32:F32"/>
    <mergeCell ref="B42:F42"/>
    <mergeCell ref="C30:F30"/>
    <mergeCell ref="B14:F14"/>
    <mergeCell ref="B8:F8"/>
    <mergeCell ref="B13:F13"/>
    <mergeCell ref="B44:F44"/>
    <mergeCell ref="B29:F29"/>
    <mergeCell ref="B38:F38"/>
    <mergeCell ref="B34:F34"/>
    <mergeCell ref="B10:F10"/>
    <mergeCell ref="B28:F28"/>
    <mergeCell ref="B37:F37"/>
    <mergeCell ref="B9:F9"/>
    <mergeCell ref="B6:F6"/>
    <mergeCell ref="B24:F24"/>
    <mergeCell ref="B33:F33"/>
    <mergeCell ref="A1:F1"/>
    <mergeCell ref="B5:F5"/>
    <mergeCell ref="B45:F45"/>
    <mergeCell ref="B36:F36"/>
    <mergeCell ref="B26:F26"/>
    <mergeCell ref="B35:F35"/>
  </mergeCells>
  <hyperlinks>
    <hyperlink xmlns:r="http://schemas.openxmlformats.org/officeDocument/2006/relationships" ref="E3" location="'🧭%20Progression'!A1" display="◀ Progression" r:id="rId1"/>
    <hyperlink xmlns:r="http://schemas.openxmlformats.org/officeDocument/2006/relationships" ref="F3" location="'🏠%20Accueil'!A1" display="◀ Accueil" r:id="rId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C55A11"/>
    <outlinePr summaryBelow="1" summaryRight="1"/>
    <pageSetUpPr fitToPage="0"/>
  </sheetPr>
  <dimension ref="A1:F3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06" min="1" max="1"/>
    <col width="40" customWidth="1" style="106" min="2" max="4"/>
    <col width="30" customWidth="1" style="106" min="5" max="5"/>
    <col width="22" customWidth="1" style="106" min="6" max="6"/>
  </cols>
  <sheetData>
    <row r="1" ht="17.35" customHeight="1" s="107">
      <c r="A1" s="195" t="inlineStr">
        <is>
          <t>GÉNÉRATEUR DE SÉQUENCE 2024 — S2 · Naviguer en sécurité : identité numérique et usage raisonné</t>
        </is>
      </c>
    </row>
    <row r="2" ht="15" customHeight="1" s="107">
      <c r="A2" s="133" t="inlineStr">
        <is>
          <t>Thème 1 · P1 · 2 séances de 1 h 30 · Responsable : IA Thème 1 · CANEVAS À REMPLIR par IA Thème 1 (règle : l'IA du thème est seule à modifier)</t>
        </is>
      </c>
    </row>
    <row r="3" ht="15" customHeight="1" s="107">
      <c r="E3" s="163" t="inlineStr">
        <is>
          <t>◀ Progression</t>
        </is>
      </c>
      <c r="F3" s="136" t="inlineStr">
        <is>
          <t>◀ Accueil</t>
        </is>
      </c>
    </row>
    <row r="4" ht="27.75" customHeight="1" s="107">
      <c r="A4" s="182" t="inlineStr">
        <is>
          <t>Problématique</t>
        </is>
      </c>
      <c r="B4" s="196" t="inlineStr">
        <is>
          <t>Quelles traces je laisse en ligne, et comment les maîtriser ?</t>
        </is>
      </c>
      <c r="C4" s="132" t="n"/>
      <c r="D4" s="132" t="n"/>
      <c r="E4" s="132" t="n"/>
      <c r="F4" s="132" t="n"/>
    </row>
    <row r="5" ht="27.75" customHeight="1" s="107">
      <c r="A5" s="182" t="inlineStr">
        <is>
          <t>Situation déclenchante</t>
        </is>
      </c>
      <c r="B5" s="196" t="inlineStr">
        <is>
          <t>⚠ À compléter par IA Thème 1 (canevas pré-rempli par Fable — codes, problématique et repères Nathan posés).</t>
        </is>
      </c>
      <c r="C5" s="132" t="n"/>
      <c r="D5" s="132" t="n"/>
      <c r="E5" s="132" t="n"/>
      <c r="F5" s="132" t="n"/>
    </row>
    <row r="6" ht="27.75" customHeight="1" s="107">
      <c r="A6" s="182" t="inlineStr">
        <is>
          <t>Prérequis</t>
        </is>
      </c>
      <c r="B6" s="196" t="inlineStr">
        <is>
          <t>—</t>
        </is>
      </c>
      <c r="C6" s="132" t="n"/>
      <c r="D6" s="132" t="n"/>
      <c r="E6" s="132" t="n"/>
      <c r="F6" s="132" t="n"/>
    </row>
    <row r="7" ht="27.75" customHeight="1" s="107">
      <c r="A7" s="182" t="inlineStr">
        <is>
          <t>Éléments pour la synthèse (objectifs)</t>
        </is>
      </c>
      <c r="B7" s="196" t="inlineStr">
        <is>
          <t>⚠ À compléter par IA Thème 1 (canevas pré-rempli par Fable — codes, problématique et repères Nathan posés).</t>
        </is>
      </c>
      <c r="C7" s="132" t="n"/>
      <c r="D7" s="132" t="n"/>
      <c r="E7" s="132" t="n"/>
      <c r="F7" s="132" t="n"/>
    </row>
    <row r="8" ht="27.75" customHeight="1" s="107">
      <c r="A8" s="182" t="inlineStr">
        <is>
          <t>Piste d'évaluation</t>
        </is>
      </c>
      <c r="B8" s="196" t="inlineStr">
        <is>
          <t>Étude de cas commentée</t>
        </is>
      </c>
      <c r="C8" s="132" t="n"/>
      <c r="D8" s="132" t="n"/>
      <c r="E8" s="132" t="n"/>
      <c r="F8" s="132" t="n"/>
    </row>
    <row r="9" ht="27.75" customHeight="1" s="107">
      <c r="A9" s="182" t="inlineStr">
        <is>
          <t>Domaines du socle mobilisés</t>
        </is>
      </c>
      <c r="B9" s="196" t="inlineStr">
        <is>
          <t>D1.3, D2, D3, D4  (détail par code ci-dessous)</t>
        </is>
      </c>
      <c r="C9" s="132" t="n"/>
      <c r="D9" s="132" t="n"/>
      <c r="E9" s="132" t="n"/>
      <c r="F9" s="132" t="n"/>
    </row>
    <row r="10" ht="27.75" customHeight="1" s="107">
      <c r="A10" s="182" t="inlineStr">
        <is>
          <t>CRCN — compétences numériques (Pix)</t>
        </is>
      </c>
      <c r="B10" s="196" t="inlineStr">
        <is>
          <t>4.1 Sécuriser (Niv. 2-3) · 4.2 Protéger les données personnelles (Niv. 2-3) · 2.4 S'insérer dans le monde numérique (Niv. 2)</t>
        </is>
      </c>
      <c r="C10" s="132" t="n"/>
      <c r="D10" s="132" t="n"/>
      <c r="E10" s="132" t="n"/>
      <c r="F10" s="132" t="n"/>
    </row>
    <row r="11" ht="27.75" customHeight="1" s="107">
      <c r="A11" s="182" t="inlineStr">
        <is>
          <t>Versions 🅰 / 🅱 / 🅲</t>
        </is>
      </c>
      <c r="B11" s="196" t="inlineStr">
        <is>
          <t>⚠ À compléter par IA Thème 1 (canevas pré-rempli par Fable — codes, problématique et repères Nathan posés).</t>
        </is>
      </c>
      <c r="C11" s="132" t="n"/>
      <c r="D11" s="132" t="n"/>
      <c r="E11" s="132" t="n"/>
      <c r="F11" s="132" t="n"/>
    </row>
    <row r="12" ht="27.75" customHeight="1" s="107">
      <c r="A12" s="182" t="inlineStr">
        <is>
          <t>Liens EPI / parcours</t>
        </is>
      </c>
      <c r="B12" s="196" t="inlineStr">
        <is>
          <t>⚠ À compléter par IA Thème 1 (canevas pré-rempli par Fable — codes, problématique et repères Nathan posés).</t>
        </is>
      </c>
      <c r="C12" s="132" t="n"/>
      <c r="D12" s="132" t="n"/>
      <c r="E12" s="132" t="n"/>
      <c r="F12" s="132" t="n"/>
    </row>
    <row r="13" ht="27.75" customHeight="1" s="107">
      <c r="A13" s="182" t="inlineStr">
        <is>
          <t>Cahier Nathan 4e</t>
        </is>
      </c>
      <c r="B13" s="196" t="inlineStr">
        <is>
          <t>Vers Pix — Domaine 4 Protection et sécurité (fin du cahier) · rappels Prob. 1</t>
        </is>
      </c>
      <c r="C13" s="132" t="n"/>
      <c r="D13" s="132" t="n"/>
      <c r="E13" s="132" t="n"/>
      <c r="F13" s="132" t="n"/>
    </row>
    <row r="14" ht="27.75" customHeight="1" s="107">
      <c r="A14" s="182" t="inlineStr">
        <is>
          <t>Ressources en ligne</t>
        </is>
      </c>
      <c r="B14" s="196" t="inlineStr">
        <is>
          <t>🔜 À produire (Thème 1)</t>
        </is>
      </c>
      <c r="C14" s="132" t="n"/>
      <c r="D14" s="132" t="n"/>
      <c r="E14" s="132" t="n"/>
      <c r="F14" s="132" t="n"/>
    </row>
    <row r="16" ht="15" customHeight="1" s="107">
      <c r="A16" s="155" t="inlineStr">
        <is>
          <t>Compétences du programme 2024</t>
        </is>
      </c>
    </row>
    <row r="17" ht="15" customHeight="1" s="107">
      <c r="A17" s="137" t="inlineStr">
        <is>
          <t>Code</t>
        </is>
      </c>
      <c r="B17" s="137" t="inlineStr">
        <is>
          <t>Intitulé officiel</t>
        </is>
      </c>
      <c r="C17" s="137" t="inlineStr">
        <is>
          <t>Domaines du socle</t>
        </is>
      </c>
      <c r="D17" s="137" t="inlineStr">
        <is>
          <t>Travaillée en</t>
        </is>
      </c>
      <c r="E17" s="137" t="inlineStr">
        <is>
          <t>Évaluation LSU</t>
        </is>
      </c>
    </row>
    <row r="18" ht="30" customHeight="1" s="107">
      <c r="A18" s="180" t="inlineStr">
        <is>
          <t>4e_C1.4</t>
        </is>
      </c>
      <c r="B18" s="142" t="inlineStr">
        <is>
          <t>Identifier et appliquer les règles pour un usage raisonné des objets communicants et des environnements numériques (propriété intellectuelle, identité numérique, témoins de connexion, géolocalisation).</t>
        </is>
      </c>
      <c r="C18" s="142" t="inlineStr">
        <is>
          <t>D1.3, D2, D3, D4</t>
        </is>
      </c>
      <c r="D18" s="142" t="inlineStr">
        <is>
          <t>—</t>
        </is>
      </c>
      <c r="E18" s="142" t="inlineStr">
        <is>
          <t>→ LSU</t>
        </is>
      </c>
    </row>
    <row r="20" ht="15" customHeight="1" s="107">
      <c r="A20" s="155" t="inlineStr">
        <is>
          <t>Déroulé, séance par séance — avec cahier de texte Pronote prêt à coller</t>
        </is>
      </c>
    </row>
    <row r="21" ht="15" customHeight="1" s="107">
      <c r="A21" s="197" t="inlineStr">
        <is>
          <t>■ Séance 1 — semaine S04 — — — [titre de la séance 1 — à compléter]</t>
        </is>
      </c>
    </row>
    <row r="22" ht="27.75" customHeight="1" s="107">
      <c r="A22" s="182" t="inlineStr">
        <is>
          <t>Question directrice</t>
        </is>
      </c>
      <c r="B22" s="196" t="inlineStr">
        <is>
          <t>[question directrice]</t>
        </is>
      </c>
      <c r="C22" s="132" t="n"/>
      <c r="D22" s="132" t="n"/>
      <c r="E22" s="132" t="n"/>
      <c r="F22" s="132" t="n"/>
    </row>
    <row r="23" ht="27.75" customHeight="1" s="107">
      <c r="A23" s="182" t="inlineStr">
        <is>
          <t>Activités &amp; supports</t>
        </is>
      </c>
      <c r="B23" s="196" t="inlineStr">
        <is>
          <t>[activités — repères Nathan : Vers Pix — Domaine 4 Protection et sécurité (fin du cahier) · rappels Prob. 1]</t>
        </is>
      </c>
      <c r="C23" s="132" t="n"/>
      <c r="D23" s="132" t="n"/>
      <c r="E23" s="132" t="n"/>
      <c r="F23" s="132" t="n"/>
    </row>
    <row r="24" ht="27.75" customHeight="1" s="107">
      <c r="A24" s="182" t="inlineStr">
        <is>
          <t>Démarche / organisation</t>
        </is>
      </c>
      <c r="B24" s="196" t="inlineStr">
        <is>
          <t>[démarche]</t>
        </is>
      </c>
      <c r="C24" s="132" t="n"/>
      <c r="D24" s="132" t="n"/>
      <c r="E24" s="132" t="n"/>
      <c r="F24" s="132" t="n"/>
    </row>
    <row r="25" ht="27.75" customHeight="1" s="107">
      <c r="A25" s="182" t="inlineStr">
        <is>
          <t>Bilan / trace écrite</t>
        </is>
      </c>
      <c r="B25" s="196" t="inlineStr">
        <is>
          <t>[trace écrite]</t>
        </is>
      </c>
      <c r="C25" s="132" t="n"/>
      <c r="D25" s="132" t="n"/>
      <c r="E25" s="132" t="n"/>
      <c r="F25" s="132" t="n"/>
    </row>
    <row r="26" ht="39.75" customHeight="1" s="107">
      <c r="A26" s="198" t="inlineStr">
        <is>
          <t>📋 CAHIER DE TEXTE
Contenu de la séance
👆 CLIC = copier pour Pronote</t>
        </is>
      </c>
      <c r="B26" s="199" t="inlineStr">
        <is>
          <t>[Cahier de texte — contenu de la séance 1 : à rédiger par IA Thème 1 — phrase(s) prêtes à coller dans Pronote.]</t>
        </is>
      </c>
      <c r="C26" s="132" t="n"/>
      <c r="D26" s="132" t="n"/>
      <c r="E26" s="132" t="n"/>
      <c r="F26" s="132" t="n"/>
    </row>
    <row r="27" ht="39.75" customHeight="1" s="107">
      <c r="A27" s="198" t="inlineStr">
        <is>
          <t>📋 CAHIER DE TEXTE
Travail à faire
👆 CLIC = copier pour Pronote</t>
        </is>
      </c>
      <c r="B27" s="199" t="inlineStr">
        <is>
          <t>[Cahier de texte — travail à faire : à rédiger — support (lien ou pages Nathan), durée estimée, « faisable sur téléphone » si c'est le cas.]</t>
        </is>
      </c>
      <c r="C27" s="132" t="n"/>
      <c r="D27" s="132" t="n"/>
      <c r="E27" s="132" t="n"/>
      <c r="F27" s="132" t="n"/>
    </row>
    <row r="28" ht="15" customHeight="1" s="107">
      <c r="A28" s="200" t="inlineStr">
        <is>
          <t>Suivi enseignant</t>
        </is>
      </c>
      <c r="B28" s="201" t="inlineStr">
        <is>
          <t>Fait le : ____________</t>
        </is>
      </c>
      <c r="C28" s="202" t="inlineStr">
        <is>
          <t xml:space="preserve">Report / aléa / remarques : </t>
        </is>
      </c>
      <c r="D28" s="132" t="n"/>
      <c r="E28" s="132" t="n"/>
      <c r="F28" s="132" t="n"/>
    </row>
    <row r="30" ht="15" customHeight="1" s="107">
      <c r="A30" s="197" t="inlineStr">
        <is>
          <t>■ Séance 2 — semaine S05 — — — [titre de la séance 2 — à compléter]</t>
        </is>
      </c>
    </row>
    <row r="31" ht="27.75" customHeight="1" s="107">
      <c r="A31" s="182" t="inlineStr">
        <is>
          <t>Question directrice</t>
        </is>
      </c>
      <c r="B31" s="196" t="inlineStr">
        <is>
          <t>[question directrice]</t>
        </is>
      </c>
      <c r="C31" s="132" t="n"/>
      <c r="D31" s="132" t="n"/>
      <c r="E31" s="132" t="n"/>
      <c r="F31" s="132" t="n"/>
    </row>
    <row r="32" ht="27.75" customHeight="1" s="107">
      <c r="A32" s="182" t="inlineStr">
        <is>
          <t>Activités &amp; supports</t>
        </is>
      </c>
      <c r="B32" s="196" t="inlineStr">
        <is>
          <t>[activités — repères Nathan : Vers Pix — Domaine 4 Protection et sécurité (fin du cahier) · rappels Prob. 1]</t>
        </is>
      </c>
      <c r="C32" s="132" t="n"/>
      <c r="D32" s="132" t="n"/>
      <c r="E32" s="132" t="n"/>
      <c r="F32" s="132" t="n"/>
    </row>
    <row r="33" ht="27.75" customHeight="1" s="107">
      <c r="A33" s="182" t="inlineStr">
        <is>
          <t>Démarche / organisation</t>
        </is>
      </c>
      <c r="B33" s="196" t="inlineStr">
        <is>
          <t>[démarche]</t>
        </is>
      </c>
      <c r="C33" s="132" t="n"/>
      <c r="D33" s="132" t="n"/>
      <c r="E33" s="132" t="n"/>
      <c r="F33" s="132" t="n"/>
    </row>
    <row r="34" ht="27.75" customHeight="1" s="107">
      <c r="A34" s="182" t="inlineStr">
        <is>
          <t>Bilan / trace écrite</t>
        </is>
      </c>
      <c r="B34" s="196" t="inlineStr">
        <is>
          <t>[trace écrite]</t>
        </is>
      </c>
      <c r="C34" s="132" t="n"/>
      <c r="D34" s="132" t="n"/>
      <c r="E34" s="132" t="n"/>
      <c r="F34" s="132" t="n"/>
    </row>
    <row r="35" ht="39.75" customHeight="1" s="107">
      <c r="A35" s="198" t="inlineStr">
        <is>
          <t>📋 CAHIER DE TEXTE
Contenu de la séance
👆 CLIC = copier pour Pronote</t>
        </is>
      </c>
      <c r="B35" s="199" t="inlineStr">
        <is>
          <t>[Cahier de texte — contenu de la séance 2 : à rédiger par IA Thème 1 — phrase(s) prêtes à coller dans Pronote.]</t>
        </is>
      </c>
      <c r="C35" s="132" t="n"/>
      <c r="D35" s="132" t="n"/>
      <c r="E35" s="132" t="n"/>
      <c r="F35" s="132" t="n"/>
    </row>
    <row r="36" ht="39.75" customHeight="1" s="107">
      <c r="A36" s="198" t="inlineStr">
        <is>
          <t>📋 CAHIER DE TEXTE
Travail à faire
👆 CLIC = copier pour Pronote</t>
        </is>
      </c>
      <c r="B36" s="199" t="inlineStr">
        <is>
          <t>[Cahier de texte — travail à faire : à rédiger — support (lien ou pages Nathan), durée estimée, « faisable sur téléphone » si c'est le cas.]</t>
        </is>
      </c>
      <c r="C36" s="132" t="n"/>
      <c r="D36" s="132" t="n"/>
      <c r="E36" s="132" t="n"/>
      <c r="F36" s="132" t="n"/>
    </row>
    <row r="37" ht="15" customHeight="1" s="107">
      <c r="A37" s="200" t="inlineStr">
        <is>
          <t>Suivi enseignant</t>
        </is>
      </c>
      <c r="B37" s="201" t="inlineStr">
        <is>
          <t>Fait le : ____________</t>
        </is>
      </c>
      <c r="C37" s="202" t="inlineStr">
        <is>
          <t xml:space="preserve">Report / aléa / remarques : </t>
        </is>
      </c>
      <c r="D37" s="132" t="n"/>
      <c r="E37" s="132" t="n"/>
      <c r="F37" s="132" t="n"/>
    </row>
  </sheetData>
  <mergeCells count="29">
    <mergeCell ref="B4:F4"/>
    <mergeCell ref="B7:F7"/>
    <mergeCell ref="B25:F25"/>
    <mergeCell ref="B31:F31"/>
    <mergeCell ref="B22:F22"/>
    <mergeCell ref="A21:F21"/>
    <mergeCell ref="C37:F37"/>
    <mergeCell ref="B27:F27"/>
    <mergeCell ref="C28:F28"/>
    <mergeCell ref="A2:F2"/>
    <mergeCell ref="B12:F12"/>
    <mergeCell ref="B11:F11"/>
    <mergeCell ref="B23:F23"/>
    <mergeCell ref="B14:F14"/>
    <mergeCell ref="B8:F8"/>
    <mergeCell ref="B13:F13"/>
    <mergeCell ref="B34:F34"/>
    <mergeCell ref="B10:F10"/>
    <mergeCell ref="A30:F30"/>
    <mergeCell ref="B9:F9"/>
    <mergeCell ref="B6:F6"/>
    <mergeCell ref="B24:F24"/>
    <mergeCell ref="B33:F33"/>
    <mergeCell ref="A1:F1"/>
    <mergeCell ref="B5:F5"/>
    <mergeCell ref="B36:F36"/>
    <mergeCell ref="B32:F32"/>
    <mergeCell ref="B26:F26"/>
    <mergeCell ref="B35:F35"/>
  </mergeCells>
  <hyperlinks>
    <hyperlink xmlns:r="http://schemas.openxmlformats.org/officeDocument/2006/relationships" ref="E3" location="'🧭%20Progression'!A1" display="◀ Progression" r:id="rId1"/>
    <hyperlink xmlns:r="http://schemas.openxmlformats.org/officeDocument/2006/relationships" ref="F3" location="'🏠%20Accueil'!A1" display="◀ Accueil" r:id="rId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C55A11"/>
    <outlinePr summaryBelow="1" summaryRight="1"/>
    <pageSetUpPr fitToPage="0"/>
  </sheetPr>
  <dimension ref="A1:F5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06" min="1" max="1"/>
    <col width="40" customWidth="1" style="106" min="2" max="4"/>
    <col width="30" customWidth="1" style="106" min="5" max="5"/>
    <col width="22" customWidth="1" style="106" min="6" max="6"/>
  </cols>
  <sheetData>
    <row r="1" ht="17.35" customHeight="1" s="107">
      <c r="A1" s="195" t="inlineStr">
        <is>
          <t>GÉNÉRATEUR DE SÉQUENCE 2024 — S3 · Concevoir pour l'utilisateur : ergonomie et choix argumenté</t>
        </is>
      </c>
    </row>
    <row r="2" ht="15" customHeight="1" s="107">
      <c r="A2" s="133" t="inlineStr">
        <is>
          <t>Thème 1 · P1/P2 · 4 séances de 1 h 30 · Responsable : IA Thème 1 · CANEVAS À REMPLIR par IA Thème 1 (règle : l'IA du thème est seule à modifier)</t>
        </is>
      </c>
    </row>
    <row r="3" ht="15" customHeight="1" s="107">
      <c r="E3" s="163" t="inlineStr">
        <is>
          <t>◀ Progression</t>
        </is>
      </c>
      <c r="F3" s="136" t="inlineStr">
        <is>
          <t>◀ Accueil</t>
        </is>
      </c>
    </row>
    <row r="4" ht="27.75" customHeight="1" s="107">
      <c r="A4" s="182" t="inlineStr">
        <is>
          <t>Problématique</t>
        </is>
      </c>
      <c r="B4" s="196" t="inlineStr">
        <is>
          <t>Comment choisir un objet technique en croisant plusieurs critères (usage, mesure, environnement) ?</t>
        </is>
      </c>
      <c r="C4" s="132" t="n"/>
      <c r="D4" s="132" t="n"/>
      <c r="E4" s="132" t="n"/>
      <c r="F4" s="132" t="n"/>
    </row>
    <row r="5" ht="27.75" customHeight="1" s="107">
      <c r="A5" s="182" t="inlineStr">
        <is>
          <t>Situation déclenchante</t>
        </is>
      </c>
      <c r="B5" s="196" t="inlineStr">
        <is>
          <t>⚠ À compléter par IA Thème 1 (canevas pré-rempli par Fable — codes, problématique et repères Nathan posés).</t>
        </is>
      </c>
      <c r="C5" s="132" t="n"/>
      <c r="D5" s="132" t="n"/>
      <c r="E5" s="132" t="n"/>
      <c r="F5" s="132" t="n"/>
    </row>
    <row r="6" ht="27.75" customHeight="1" s="107">
      <c r="A6" s="182" t="inlineStr">
        <is>
          <t>Prérequis</t>
        </is>
      </c>
      <c r="B6" s="196" t="inlineStr">
        <is>
          <t>—</t>
        </is>
      </c>
      <c r="C6" s="132" t="n"/>
      <c r="D6" s="132" t="n"/>
      <c r="E6" s="132" t="n"/>
      <c r="F6" s="132" t="n"/>
    </row>
    <row r="7" ht="27.75" customHeight="1" s="107">
      <c r="A7" s="182" t="inlineStr">
        <is>
          <t>Éléments pour la synthèse (objectifs)</t>
        </is>
      </c>
      <c r="B7" s="196" t="inlineStr">
        <is>
          <t>⚠ À compléter par IA Thème 1 (canevas pré-rempli par Fable — codes, problématique et repères Nathan posés).</t>
        </is>
      </c>
      <c r="C7" s="132" t="n"/>
      <c r="D7" s="132" t="n"/>
      <c r="E7" s="132" t="n"/>
      <c r="F7" s="132" t="n"/>
    </row>
    <row r="8" ht="27.75" customHeight="1" s="107">
      <c r="A8" s="182" t="inlineStr">
        <is>
          <t>Piste d'évaluation</t>
        </is>
      </c>
      <c r="B8" s="196" t="inlineStr">
        <is>
          <t>Comparatif multicritère + protocole de mesure</t>
        </is>
      </c>
      <c r="C8" s="132" t="n"/>
      <c r="D8" s="132" t="n"/>
      <c r="E8" s="132" t="n"/>
      <c r="F8" s="132" t="n"/>
    </row>
    <row r="9" ht="27.75" customHeight="1" s="107">
      <c r="A9" s="182" t="inlineStr">
        <is>
          <t>Domaines du socle mobilisés</t>
        </is>
      </c>
      <c r="B9" s="196" t="inlineStr">
        <is>
          <t>D1.3, D2, D3, D4, D5  (détail par code ci-dessous)</t>
        </is>
      </c>
      <c r="C9" s="132" t="n"/>
      <c r="D9" s="132" t="n"/>
      <c r="E9" s="132" t="n"/>
      <c r="F9" s="132" t="n"/>
    </row>
    <row r="10" ht="27.75" customHeight="1" s="107">
      <c r="A10" s="182" t="inlineStr">
        <is>
          <t>CRCN — compétences numériques (Pix)</t>
        </is>
      </c>
      <c r="B10" s="196" t="inlineStr">
        <is>
          <t>1.3 Traiter des données (Niv. 2 : comparatif au tableur)</t>
        </is>
      </c>
      <c r="C10" s="132" t="n"/>
      <c r="D10" s="132" t="n"/>
      <c r="E10" s="132" t="n"/>
      <c r="F10" s="132" t="n"/>
    </row>
    <row r="11" ht="27.75" customHeight="1" s="107">
      <c r="A11" s="182" t="inlineStr">
        <is>
          <t>Versions 🅰 / 🅱 / 🅲</t>
        </is>
      </c>
      <c r="B11" s="196" t="inlineStr">
        <is>
          <t>⚠ À compléter par IA Thème 1 (canevas pré-rempli par Fable — codes, problématique et repères Nathan posés).</t>
        </is>
      </c>
      <c r="C11" s="132" t="n"/>
      <c r="D11" s="132" t="n"/>
      <c r="E11" s="132" t="n"/>
      <c r="F11" s="132" t="n"/>
    </row>
    <row r="12" ht="27.75" customHeight="1" s="107">
      <c r="A12" s="182" t="inlineStr">
        <is>
          <t>Liens EPI / parcours</t>
        </is>
      </c>
      <c r="B12" s="196" t="inlineStr">
        <is>
          <t>⚠ À compléter par IA Thème 1 (canevas pré-rempli par Fable — codes, problématique et repères Nathan posés).</t>
        </is>
      </c>
      <c r="C12" s="132" t="n"/>
      <c r="D12" s="132" t="n"/>
      <c r="E12" s="132" t="n"/>
      <c r="F12" s="132" t="n"/>
    </row>
    <row r="13" ht="27.75" customHeight="1" s="107">
      <c r="A13" s="182" t="inlineStr">
        <is>
          <t>Cahier Nathan 4e</t>
        </is>
      </c>
      <c r="B13" s="196" t="inlineStr">
        <is>
          <t>Prob. 11 p.79-84 (mesurer les performances) · Prob. 10 p.73-78 (impact environnemental)</t>
        </is>
      </c>
      <c r="C13" s="132" t="n"/>
      <c r="D13" s="132" t="n"/>
      <c r="E13" s="132" t="n"/>
      <c r="F13" s="132" t="n"/>
    </row>
    <row r="14" ht="27.75" customHeight="1" s="107">
      <c r="A14" s="182" t="inlineStr">
        <is>
          <t>Ressources en ligne</t>
        </is>
      </c>
      <c r="B14" s="196" t="inlineStr">
        <is>
          <t>🔜 À produire (Thème 1)</t>
        </is>
      </c>
      <c r="C14" s="132" t="n"/>
      <c r="D14" s="132" t="n"/>
      <c r="E14" s="132" t="n"/>
      <c r="F14" s="132" t="n"/>
    </row>
    <row r="16" ht="15" customHeight="1" s="107">
      <c r="A16" s="155" t="inlineStr">
        <is>
          <t>Compétences du programme 2024</t>
        </is>
      </c>
    </row>
    <row r="17" ht="15" customHeight="1" s="107">
      <c r="A17" s="137" t="inlineStr">
        <is>
          <t>Code</t>
        </is>
      </c>
      <c r="B17" s="137" t="inlineStr">
        <is>
          <t>Intitulé officiel</t>
        </is>
      </c>
      <c r="C17" s="137" t="inlineStr">
        <is>
          <t>Domaines du socle</t>
        </is>
      </c>
      <c r="D17" s="137" t="inlineStr">
        <is>
          <t>Travaillée en</t>
        </is>
      </c>
      <c r="E17" s="137" t="inlineStr">
        <is>
          <t>Évaluation LSU</t>
        </is>
      </c>
    </row>
    <row r="18" ht="30" customHeight="1" s="107">
      <c r="A18" s="180" t="inlineStr">
        <is>
          <t>4e_C2.1</t>
        </is>
      </c>
      <c r="B18" s="142" t="inlineStr">
        <is>
          <t>Décrire l’expérience de l’utilisateur (ressenti et facilité d’usage) d’un OST en partant du langage naturel (texte, croquis) pour aboutir aux schémas, graphiques, algorithmes.</t>
        </is>
      </c>
      <c r="C18" s="142" t="inlineStr">
        <is>
          <t>D1.3, D4, D5</t>
        </is>
      </c>
      <c r="D18" s="142" t="inlineStr">
        <is>
          <t>—</t>
        </is>
      </c>
      <c r="E18" s="142" t="inlineStr">
        <is>
          <t>→ LSU</t>
        </is>
      </c>
    </row>
    <row r="19" ht="30" customHeight="1" s="107">
      <c r="A19" s="180" t="inlineStr">
        <is>
          <t>4e_C2.2</t>
        </is>
      </c>
      <c r="B19" s="142" t="inlineStr">
        <is>
          <t>Repérer et expliquer les contraintes, exigences prises en compte (sécurité, incidences environnementales, formes et fonctions, ergonomie, qualité, fiabilité) pour répondre aux attentes des utilisateurs.</t>
        </is>
      </c>
      <c r="C19" s="142" t="inlineStr">
        <is>
          <t>D3, D4, D5</t>
        </is>
      </c>
      <c r="D19" s="142" t="inlineStr">
        <is>
          <t>—</t>
        </is>
      </c>
      <c r="E19" s="142" t="inlineStr">
        <is>
          <t>→ LSU</t>
        </is>
      </c>
    </row>
    <row r="20" ht="30" customHeight="1" s="107">
      <c r="A20" s="180" t="inlineStr">
        <is>
          <t>4e_C3.1</t>
        </is>
      </c>
      <c r="B20" s="142" t="inlineStr">
        <is>
          <t>Identifier les caractéristiques à prendre en compte dans le choix d’un OST en vue de répondre à un besoin.</t>
        </is>
      </c>
      <c r="C20" s="142" t="inlineStr">
        <is>
          <t>D3, D4, D5</t>
        </is>
      </c>
      <c r="D20" s="142" t="inlineStr">
        <is>
          <t>—</t>
        </is>
      </c>
      <c r="E20" s="142" t="inlineStr">
        <is>
          <t>→ LSU</t>
        </is>
      </c>
    </row>
    <row r="21" ht="30" customHeight="1" s="107">
      <c r="A21" s="180" t="inlineStr">
        <is>
          <t>4e_C3.2</t>
        </is>
      </c>
      <c r="B21" s="142" t="inlineStr">
        <is>
          <t>Comparer qualitativement et/ou quantitativement (incidences environnementales, bilan carbone, efficacité énergétique) plusieurs OST répondant au même besoin et arrêter un choix.</t>
        </is>
      </c>
      <c r="C21" s="142" t="inlineStr">
        <is>
          <t>D1.3, D2, D3, D4, D5</t>
        </is>
      </c>
      <c r="D21" s="142" t="inlineStr">
        <is>
          <t>—</t>
        </is>
      </c>
      <c r="E21" s="142" t="inlineStr">
        <is>
          <t>→ LSU</t>
        </is>
      </c>
    </row>
    <row r="22" ht="30" customHeight="1" s="107">
      <c r="A22" s="180" t="inlineStr">
        <is>
          <t>4e_C3.3</t>
        </is>
      </c>
      <c r="B22" s="142" t="inlineStr">
        <is>
          <t>Choisir les appareils de mesure à utiliser pour mesurer une performance d’un OST à partir d’un protocole donné.</t>
        </is>
      </c>
      <c r="C22" s="142" t="inlineStr">
        <is>
          <t>D1.3, D2, D4</t>
        </is>
      </c>
      <c r="D22" s="142" t="inlineStr">
        <is>
          <t>—</t>
        </is>
      </c>
      <c r="E22" s="142" t="inlineStr">
        <is>
          <t>→ LSU</t>
        </is>
      </c>
    </row>
    <row r="24" ht="15" customHeight="1" s="107">
      <c r="A24" s="155" t="inlineStr">
        <is>
          <t>Déroulé, séance par séance — avec cahier de texte Pronote prêt à coller</t>
        </is>
      </c>
    </row>
    <row r="25" ht="15" customHeight="1" s="107">
      <c r="A25" s="197" t="inlineStr">
        <is>
          <t>■ Séance 1 — semaine S06 — — — [titre de la séance 1 — à compléter]</t>
        </is>
      </c>
    </row>
    <row r="26" ht="27.75" customHeight="1" s="107">
      <c r="A26" s="182" t="inlineStr">
        <is>
          <t>Question directrice</t>
        </is>
      </c>
      <c r="B26" s="196" t="inlineStr">
        <is>
          <t>[question directrice]</t>
        </is>
      </c>
      <c r="C26" s="132" t="n"/>
      <c r="D26" s="132" t="n"/>
      <c r="E26" s="132" t="n"/>
      <c r="F26" s="132" t="n"/>
    </row>
    <row r="27" ht="27.75" customHeight="1" s="107">
      <c r="A27" s="182" t="inlineStr">
        <is>
          <t>Activités &amp; supports</t>
        </is>
      </c>
      <c r="B27" s="196" t="inlineStr">
        <is>
          <t>[activités — repères Nathan : Prob. 11 p.79-84 (mesurer les performances) · Prob. 10 p.73-78 (impact environnemental)]</t>
        </is>
      </c>
      <c r="C27" s="132" t="n"/>
      <c r="D27" s="132" t="n"/>
      <c r="E27" s="132" t="n"/>
      <c r="F27" s="132" t="n"/>
    </row>
    <row r="28" ht="27.75" customHeight="1" s="107">
      <c r="A28" s="182" t="inlineStr">
        <is>
          <t>Démarche / organisation</t>
        </is>
      </c>
      <c r="B28" s="196" t="inlineStr">
        <is>
          <t>[démarche]</t>
        </is>
      </c>
      <c r="C28" s="132" t="n"/>
      <c r="D28" s="132" t="n"/>
      <c r="E28" s="132" t="n"/>
      <c r="F28" s="132" t="n"/>
    </row>
    <row r="29" ht="27.75" customHeight="1" s="107">
      <c r="A29" s="182" t="inlineStr">
        <is>
          <t>Bilan / trace écrite</t>
        </is>
      </c>
      <c r="B29" s="196" t="inlineStr">
        <is>
          <t>[trace écrite]</t>
        </is>
      </c>
      <c r="C29" s="132" t="n"/>
      <c r="D29" s="132" t="n"/>
      <c r="E29" s="132" t="n"/>
      <c r="F29" s="132" t="n"/>
    </row>
    <row r="30" ht="39.75" customHeight="1" s="107">
      <c r="A30" s="198" t="inlineStr">
        <is>
          <t>📋 CAHIER DE TEXTE
Contenu de la séance
👆 CLIC = copier pour Pronote</t>
        </is>
      </c>
      <c r="B30" s="199" t="inlineStr">
        <is>
          <t>[Cahier de texte — contenu de la séance 1 : à rédiger par IA Thème 1 — phrase(s) prêtes à coller dans Pronote.]</t>
        </is>
      </c>
      <c r="C30" s="132" t="n"/>
      <c r="D30" s="132" t="n"/>
      <c r="E30" s="132" t="n"/>
      <c r="F30" s="132" t="n"/>
    </row>
    <row r="31" ht="39.75" customHeight="1" s="107">
      <c r="A31" s="198" t="inlineStr">
        <is>
          <t>📋 CAHIER DE TEXTE
Travail à faire
👆 CLIC = copier pour Pronote</t>
        </is>
      </c>
      <c r="B31" s="199" t="inlineStr">
        <is>
          <t>[Cahier de texte — travail à faire : à rédiger — support (lien ou pages Nathan), durée estimée, « faisable sur téléphone » si c'est le cas.]</t>
        </is>
      </c>
      <c r="C31" s="132" t="n"/>
      <c r="D31" s="132" t="n"/>
      <c r="E31" s="132" t="n"/>
      <c r="F31" s="132" t="n"/>
    </row>
    <row r="32" ht="15" customHeight="1" s="107">
      <c r="A32" s="200" t="inlineStr">
        <is>
          <t>Suivi enseignant</t>
        </is>
      </c>
      <c r="B32" s="201" t="inlineStr">
        <is>
          <t>Fait le : ____________</t>
        </is>
      </c>
      <c r="C32" s="202" t="inlineStr">
        <is>
          <t xml:space="preserve">Report / aléa / remarques : </t>
        </is>
      </c>
      <c r="D32" s="132" t="n"/>
      <c r="E32" s="132" t="n"/>
      <c r="F32" s="132" t="n"/>
    </row>
    <row r="34" ht="15" customHeight="1" s="107">
      <c r="A34" s="197" t="inlineStr">
        <is>
          <t>■ Séance 2 — semaine S07 — — — [titre de la séance 2 — à compléter]</t>
        </is>
      </c>
    </row>
    <row r="35" ht="27.75" customHeight="1" s="107">
      <c r="A35" s="182" t="inlineStr">
        <is>
          <t>Question directrice</t>
        </is>
      </c>
      <c r="B35" s="196" t="inlineStr">
        <is>
          <t>[question directrice]</t>
        </is>
      </c>
      <c r="C35" s="132" t="n"/>
      <c r="D35" s="132" t="n"/>
      <c r="E35" s="132" t="n"/>
      <c r="F35" s="132" t="n"/>
    </row>
    <row r="36" ht="27.75" customHeight="1" s="107">
      <c r="A36" s="182" t="inlineStr">
        <is>
          <t>Activités &amp; supports</t>
        </is>
      </c>
      <c r="B36" s="196" t="inlineStr">
        <is>
          <t>[activités — repères Nathan : Prob. 11 p.79-84 (mesurer les performances) · Prob. 10 p.73-78 (impact environnemental)]</t>
        </is>
      </c>
      <c r="C36" s="132" t="n"/>
      <c r="D36" s="132" t="n"/>
      <c r="E36" s="132" t="n"/>
      <c r="F36" s="132" t="n"/>
    </row>
    <row r="37" ht="27.75" customHeight="1" s="107">
      <c r="A37" s="182" t="inlineStr">
        <is>
          <t>Démarche / organisation</t>
        </is>
      </c>
      <c r="B37" s="196" t="inlineStr">
        <is>
          <t>[démarche]</t>
        </is>
      </c>
      <c r="C37" s="132" t="n"/>
      <c r="D37" s="132" t="n"/>
      <c r="E37" s="132" t="n"/>
      <c r="F37" s="132" t="n"/>
    </row>
    <row r="38" ht="27.75" customHeight="1" s="107">
      <c r="A38" s="182" t="inlineStr">
        <is>
          <t>Bilan / trace écrite</t>
        </is>
      </c>
      <c r="B38" s="196" t="inlineStr">
        <is>
          <t>[trace écrite]</t>
        </is>
      </c>
      <c r="C38" s="132" t="n"/>
      <c r="D38" s="132" t="n"/>
      <c r="E38" s="132" t="n"/>
      <c r="F38" s="132" t="n"/>
    </row>
    <row r="39" ht="39.75" customHeight="1" s="107">
      <c r="A39" s="198" t="inlineStr">
        <is>
          <t>📋 CAHIER DE TEXTE
Contenu de la séance
👆 CLIC = copier pour Pronote</t>
        </is>
      </c>
      <c r="B39" s="199" t="inlineStr">
        <is>
          <t>[Cahier de texte — contenu de la séance 2 : à rédiger par IA Thème 1 — phrase(s) prêtes à coller dans Pronote.]</t>
        </is>
      </c>
      <c r="C39" s="132" t="n"/>
      <c r="D39" s="132" t="n"/>
      <c r="E39" s="132" t="n"/>
      <c r="F39" s="132" t="n"/>
    </row>
    <row r="40" ht="39.75" customHeight="1" s="107">
      <c r="A40" s="198" t="inlineStr">
        <is>
          <t>📋 CAHIER DE TEXTE
Travail à faire
👆 CLIC = copier pour Pronote</t>
        </is>
      </c>
      <c r="B40" s="199" t="inlineStr">
        <is>
          <t>[Cahier de texte — travail à faire : à rédiger — support (lien ou pages Nathan), durée estimée, « faisable sur téléphone » si c'est le cas.]</t>
        </is>
      </c>
      <c r="C40" s="132" t="n"/>
      <c r="D40" s="132" t="n"/>
      <c r="E40" s="132" t="n"/>
      <c r="F40" s="132" t="n"/>
    </row>
    <row r="41" ht="15" customHeight="1" s="107">
      <c r="A41" s="200" t="inlineStr">
        <is>
          <t>Suivi enseignant</t>
        </is>
      </c>
      <c r="B41" s="201" t="inlineStr">
        <is>
          <t>Fait le : ____________</t>
        </is>
      </c>
      <c r="C41" s="202" t="inlineStr">
        <is>
          <t xml:space="preserve">Report / aléa / remarques : </t>
        </is>
      </c>
      <c r="D41" s="132" t="n"/>
      <c r="E41" s="132" t="n"/>
      <c r="F41" s="132" t="n"/>
    </row>
    <row r="43" ht="15" customHeight="1" s="107">
      <c r="A43" s="197" t="inlineStr">
        <is>
          <t>■ Séance 3 — semaine S09 — — — [titre de la séance 3 — à compléter]</t>
        </is>
      </c>
    </row>
    <row r="44" ht="27.75" customHeight="1" s="107">
      <c r="A44" s="182" t="inlineStr">
        <is>
          <t>Question directrice</t>
        </is>
      </c>
      <c r="B44" s="196" t="inlineStr">
        <is>
          <t>[question directrice]</t>
        </is>
      </c>
      <c r="C44" s="132" t="n"/>
      <c r="D44" s="132" t="n"/>
      <c r="E44" s="132" t="n"/>
      <c r="F44" s="132" t="n"/>
    </row>
    <row r="45" ht="27.75" customHeight="1" s="107">
      <c r="A45" s="182" t="inlineStr">
        <is>
          <t>Activités &amp; supports</t>
        </is>
      </c>
      <c r="B45" s="196" t="inlineStr">
        <is>
          <t>[activités — repères Nathan : Prob. 11 p.79-84 (mesurer les performances) · Prob. 10 p.73-78 (impact environnemental)]</t>
        </is>
      </c>
      <c r="C45" s="132" t="n"/>
      <c r="D45" s="132" t="n"/>
      <c r="E45" s="132" t="n"/>
      <c r="F45" s="132" t="n"/>
    </row>
    <row r="46" ht="27.75" customHeight="1" s="107">
      <c r="A46" s="182" t="inlineStr">
        <is>
          <t>Démarche / organisation</t>
        </is>
      </c>
      <c r="B46" s="196" t="inlineStr">
        <is>
          <t>[démarche]</t>
        </is>
      </c>
      <c r="C46" s="132" t="n"/>
      <c r="D46" s="132" t="n"/>
      <c r="E46" s="132" t="n"/>
      <c r="F46" s="132" t="n"/>
    </row>
    <row r="47" ht="27.75" customHeight="1" s="107">
      <c r="A47" s="182" t="inlineStr">
        <is>
          <t>Bilan / trace écrite</t>
        </is>
      </c>
      <c r="B47" s="196" t="inlineStr">
        <is>
          <t>[trace écrite]</t>
        </is>
      </c>
      <c r="C47" s="132" t="n"/>
      <c r="D47" s="132" t="n"/>
      <c r="E47" s="132" t="n"/>
      <c r="F47" s="132" t="n"/>
    </row>
    <row r="48" ht="39.75" customHeight="1" s="107">
      <c r="A48" s="198" t="inlineStr">
        <is>
          <t>📋 CAHIER DE TEXTE
Contenu de la séance
👆 CLIC = copier pour Pronote</t>
        </is>
      </c>
      <c r="B48" s="199" t="inlineStr">
        <is>
          <t>[Cahier de texte — contenu de la séance 3 : à rédiger par IA Thème 1 — phrase(s) prêtes à coller dans Pronote.]</t>
        </is>
      </c>
      <c r="C48" s="132" t="n"/>
      <c r="D48" s="132" t="n"/>
      <c r="E48" s="132" t="n"/>
      <c r="F48" s="132" t="n"/>
    </row>
    <row r="49" ht="39.75" customHeight="1" s="107">
      <c r="A49" s="198" t="inlineStr">
        <is>
          <t>📋 CAHIER DE TEXTE
Travail à faire
👆 CLIC = copier pour Pronote</t>
        </is>
      </c>
      <c r="B49" s="199" t="inlineStr">
        <is>
          <t>[Cahier de texte — travail à faire : à rédiger — support (lien ou pages Nathan), durée estimée, « faisable sur téléphone » si c'est le cas.]</t>
        </is>
      </c>
      <c r="C49" s="132" t="n"/>
      <c r="D49" s="132" t="n"/>
      <c r="E49" s="132" t="n"/>
      <c r="F49" s="132" t="n"/>
    </row>
    <row r="50" ht="15" customHeight="1" s="107">
      <c r="A50" s="200" t="inlineStr">
        <is>
          <t>Suivi enseignant</t>
        </is>
      </c>
      <c r="B50" s="201" t="inlineStr">
        <is>
          <t>Fait le : ____________</t>
        </is>
      </c>
      <c r="C50" s="202" t="inlineStr">
        <is>
          <t xml:space="preserve">Report / aléa / remarques : </t>
        </is>
      </c>
      <c r="D50" s="132" t="n"/>
      <c r="E50" s="132" t="n"/>
      <c r="F50" s="132" t="n"/>
    </row>
    <row r="52" ht="15" customHeight="1" s="107">
      <c r="A52" s="197" t="inlineStr">
        <is>
          <t>■ Séance 4 — semaine S10 — — — [titre de la séance 4 — à compléter]</t>
        </is>
      </c>
    </row>
    <row r="53" ht="27.75" customHeight="1" s="107">
      <c r="A53" s="182" t="inlineStr">
        <is>
          <t>Question directrice</t>
        </is>
      </c>
      <c r="B53" s="196" t="inlineStr">
        <is>
          <t>[question directrice]</t>
        </is>
      </c>
      <c r="C53" s="132" t="n"/>
      <c r="D53" s="132" t="n"/>
      <c r="E53" s="132" t="n"/>
      <c r="F53" s="132" t="n"/>
    </row>
    <row r="54" ht="27.75" customHeight="1" s="107">
      <c r="A54" s="182" t="inlineStr">
        <is>
          <t>Activités &amp; supports</t>
        </is>
      </c>
      <c r="B54" s="196" t="inlineStr">
        <is>
          <t>[activités — repères Nathan : Prob. 11 p.79-84 (mesurer les performances) · Prob. 10 p.73-78 (impact environnemental)]</t>
        </is>
      </c>
      <c r="C54" s="132" t="n"/>
      <c r="D54" s="132" t="n"/>
      <c r="E54" s="132" t="n"/>
      <c r="F54" s="132" t="n"/>
    </row>
    <row r="55" ht="27.75" customHeight="1" s="107">
      <c r="A55" s="182" t="inlineStr">
        <is>
          <t>Démarche / organisation</t>
        </is>
      </c>
      <c r="B55" s="196" t="inlineStr">
        <is>
          <t>[démarche]</t>
        </is>
      </c>
      <c r="C55" s="132" t="n"/>
      <c r="D55" s="132" t="n"/>
      <c r="E55" s="132" t="n"/>
      <c r="F55" s="132" t="n"/>
    </row>
    <row r="56" ht="27.75" customHeight="1" s="107">
      <c r="A56" s="182" t="inlineStr">
        <is>
          <t>Bilan / trace écrite</t>
        </is>
      </c>
      <c r="B56" s="196" t="inlineStr">
        <is>
          <t>[trace écrite]</t>
        </is>
      </c>
      <c r="C56" s="132" t="n"/>
      <c r="D56" s="132" t="n"/>
      <c r="E56" s="132" t="n"/>
      <c r="F56" s="132" t="n"/>
    </row>
    <row r="57" ht="39.75" customHeight="1" s="107">
      <c r="A57" s="198" t="inlineStr">
        <is>
          <t>📋 CAHIER DE TEXTE
Contenu de la séance
👆 CLIC = copier pour Pronote</t>
        </is>
      </c>
      <c r="B57" s="199" t="inlineStr">
        <is>
          <t>[Cahier de texte — contenu de la séance 4 : à rédiger par IA Thème 1 — phrase(s) prêtes à coller dans Pronote.]</t>
        </is>
      </c>
      <c r="C57" s="132" t="n"/>
      <c r="D57" s="132" t="n"/>
      <c r="E57" s="132" t="n"/>
      <c r="F57" s="132" t="n"/>
    </row>
    <row r="58" ht="39.75" customHeight="1" s="107">
      <c r="A58" s="198" t="inlineStr">
        <is>
          <t>📋 CAHIER DE TEXTE
Travail à faire
👆 CLIC = copier pour Pronote</t>
        </is>
      </c>
      <c r="B58" s="199" t="inlineStr">
        <is>
          <t>[Cahier de texte — travail à faire : à rédiger — support (lien ou pages Nathan), durée estimée, « faisable sur téléphone » si c'est le cas.]</t>
        </is>
      </c>
      <c r="C58" s="132" t="n"/>
      <c r="D58" s="132" t="n"/>
      <c r="E58" s="132" t="n"/>
      <c r="F58" s="132" t="n"/>
    </row>
    <row r="59" ht="15" customHeight="1" s="107">
      <c r="A59" s="200" t="inlineStr">
        <is>
          <t>Suivi enseignant</t>
        </is>
      </c>
      <c r="B59" s="201" t="inlineStr">
        <is>
          <t>Fait le : ____________</t>
        </is>
      </c>
      <c r="C59" s="202" t="inlineStr">
        <is>
          <t xml:space="preserve">Report / aléa / remarques : </t>
        </is>
      </c>
      <c r="D59" s="132" t="n"/>
      <c r="E59" s="132" t="n"/>
      <c r="F59" s="132" t="n"/>
    </row>
  </sheetData>
  <mergeCells count="45">
    <mergeCell ref="B4:F4"/>
    <mergeCell ref="B7:F7"/>
    <mergeCell ref="B47:F47"/>
    <mergeCell ref="B54:F54"/>
    <mergeCell ref="B31:F31"/>
    <mergeCell ref="B46:F46"/>
    <mergeCell ref="C32:F32"/>
    <mergeCell ref="B56:F56"/>
    <mergeCell ref="B58:F58"/>
    <mergeCell ref="B27:F27"/>
    <mergeCell ref="A2:F2"/>
    <mergeCell ref="B12:F12"/>
    <mergeCell ref="B39:F39"/>
    <mergeCell ref="B48:F48"/>
    <mergeCell ref="B11:F11"/>
    <mergeCell ref="B14:F14"/>
    <mergeCell ref="B8:F8"/>
    <mergeCell ref="B57:F57"/>
    <mergeCell ref="B13:F13"/>
    <mergeCell ref="A43:F43"/>
    <mergeCell ref="B44:F44"/>
    <mergeCell ref="B53:F53"/>
    <mergeCell ref="B29:F29"/>
    <mergeCell ref="A52:F52"/>
    <mergeCell ref="B38:F38"/>
    <mergeCell ref="B10:F10"/>
    <mergeCell ref="B28:F28"/>
    <mergeCell ref="B37:F37"/>
    <mergeCell ref="A34:F34"/>
    <mergeCell ref="C41:F41"/>
    <mergeCell ref="B40:F40"/>
    <mergeCell ref="B9:F9"/>
    <mergeCell ref="C50:F50"/>
    <mergeCell ref="B49:F49"/>
    <mergeCell ref="B30:F30"/>
    <mergeCell ref="B55:F55"/>
    <mergeCell ref="B6:F6"/>
    <mergeCell ref="A1:F1"/>
    <mergeCell ref="B5:F5"/>
    <mergeCell ref="C59:F59"/>
    <mergeCell ref="B45:F45"/>
    <mergeCell ref="B36:F36"/>
    <mergeCell ref="B26:F26"/>
    <mergeCell ref="A25:F25"/>
    <mergeCell ref="B35:F35"/>
  </mergeCells>
  <hyperlinks>
    <hyperlink xmlns:r="http://schemas.openxmlformats.org/officeDocument/2006/relationships" ref="E3" location="'🧭%20Progression'!A1" display="◀ Progression" r:id="rId1"/>
    <hyperlink xmlns:r="http://schemas.openxmlformats.org/officeDocument/2006/relationships" ref="F3" location="'🏠%20Accueil'!A1" display="◀ Accueil" r:id="rId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2E75B6"/>
    <outlinePr summaryBelow="1" summaryRight="1"/>
    <pageSetUpPr fitToPage="0"/>
  </sheetPr>
  <dimension ref="A1:F6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06" min="1" max="1"/>
    <col width="40" customWidth="1" style="106" min="2" max="4"/>
    <col width="30" customWidth="1" style="106" min="5" max="5"/>
    <col width="22" customWidth="1" style="106" min="6" max="6"/>
  </cols>
  <sheetData>
    <row r="1" ht="17.35" customHeight="1" s="107">
      <c r="A1" s="203" t="inlineStr">
        <is>
          <t>GÉNÉRATEUR DE SÉQUENCE 2024 — S4 · Automatiser le jardin connecté : chaîne d'énergie et d'information</t>
        </is>
      </c>
    </row>
    <row r="2" ht="15" customHeight="1" s="107">
      <c r="A2" s="133" t="inlineStr">
        <is>
          <t>Thème 2 · P2/P3 · 5 séances de 1 h 30 · Responsable : Fable (Th. 2) · Pré-rempli par Fable — QCM ✅ en ligne, séquence îlot 4e_C4 🔜</t>
        </is>
      </c>
    </row>
    <row r="3" ht="15" customHeight="1" s="107">
      <c r="E3" s="163" t="inlineStr">
        <is>
          <t>◀ Progression</t>
        </is>
      </c>
      <c r="F3" s="136" t="inlineStr">
        <is>
          <t>◀ Accueil</t>
        </is>
      </c>
    </row>
    <row r="4" ht="27.75" customHeight="1" s="107">
      <c r="A4" s="186" t="inlineStr">
        <is>
          <t>Problématique</t>
        </is>
      </c>
      <c r="B4" s="196" t="inlineStr">
        <is>
          <t>Comment un système automatisé peut-il réguler l'arrosage d'un jardin ?</t>
        </is>
      </c>
      <c r="C4" s="132" t="n"/>
      <c r="D4" s="132" t="n"/>
      <c r="E4" s="132" t="n"/>
      <c r="F4" s="132" t="n"/>
    </row>
    <row r="5" ht="39" customHeight="1" s="107">
      <c r="A5" s="186" t="inlineStr">
        <is>
          <t>Situation déclenchante</t>
        </is>
      </c>
      <c r="B5" s="196" t="inlineStr">
        <is>
          <t>Le potager pédagogique du collège meurt à chaque période de vacances : personne pour l'arroser. Le club techno doit concevoir la régulation automatique de l'arrosage — et prouver qu'elle fonctionne avec des données.</t>
        </is>
      </c>
      <c r="C5" s="132" t="n"/>
      <c r="D5" s="132" t="n"/>
      <c r="E5" s="132" t="n"/>
      <c r="F5" s="132" t="n"/>
    </row>
    <row r="6" ht="27.75" customHeight="1" s="107">
      <c r="A6" s="186" t="inlineStr">
        <is>
          <t>Prérequis</t>
        </is>
      </c>
      <c r="B6" s="196" t="inlineStr">
        <is>
          <t>5e : chaînes d'énergie/information sur objet simple (lampadaire). Rappels intégrés en séance 1.</t>
        </is>
      </c>
      <c r="C6" s="132" t="n"/>
      <c r="D6" s="132" t="n"/>
      <c r="E6" s="132" t="n"/>
      <c r="F6" s="132" t="n"/>
    </row>
    <row r="7" ht="39" customHeight="1" s="107">
      <c r="A7" s="186" t="inlineStr">
        <is>
          <t>Éléments pour la synthèse (objectifs)</t>
        </is>
      </c>
      <c r="B7" s="196" t="inlineStr">
        <is>
          <t>Constituants d'une chaîne d'énergie ET d'information complètes · transformations et flux d'énergie · capteur = grandeur physique → donnée · structurer des données (CSV) pour les exploiter (graphique).</t>
        </is>
      </c>
      <c r="C7" s="132" t="n"/>
      <c r="D7" s="132" t="n"/>
      <c r="E7" s="132" t="n"/>
      <c r="F7" s="132" t="n"/>
    </row>
    <row r="8" ht="39" customHeight="1" s="107">
      <c r="A8" s="186" t="inlineStr">
        <is>
          <t>Piste d'évaluation</t>
        </is>
      </c>
      <c r="B8" s="196" t="inlineStr">
        <is>
          <t>Formative : vérificateurs + QCM existants (Jardin connecté, Automatisation, eCall). Repère du référentiel : table de données exportée en CSV + graphique. Sommative en séance 5 (corrigé non publié).</t>
        </is>
      </c>
      <c r="C8" s="132" t="n"/>
      <c r="D8" s="132" t="n"/>
      <c r="E8" s="132" t="n"/>
      <c r="F8" s="132" t="n"/>
    </row>
    <row r="9" ht="27.75" customHeight="1" s="107">
      <c r="A9" s="186" t="inlineStr">
        <is>
          <t>Domaines du socle mobilisés</t>
        </is>
      </c>
      <c r="B9" s="196" t="inlineStr">
        <is>
          <t>D1.3, D2, D4, D5  (détail par code ci-dessous)</t>
        </is>
      </c>
      <c r="C9" s="132" t="n"/>
      <c r="D9" s="132" t="n"/>
      <c r="E9" s="132" t="n"/>
      <c r="F9" s="132" t="n"/>
    </row>
    <row r="10" ht="27.75" customHeight="1" s="107">
      <c r="A10" s="186" t="inlineStr">
        <is>
          <t>CRCN — compétences numériques (Pix)</t>
        </is>
      </c>
      <c r="B10" s="196" t="inlineStr">
        <is>
          <t>1.3 Traiter des données (Niv. 3 : structurer en CSV, produire un graphique) · 3.4 Programmer (Niv. 2)</t>
        </is>
      </c>
      <c r="C10" s="132" t="n"/>
      <c r="D10" s="132" t="n"/>
      <c r="E10" s="132" t="n"/>
      <c r="F10" s="132" t="n"/>
    </row>
    <row r="11" ht="27.75" customHeight="1" s="107">
      <c r="A11" s="186" t="inlineStr">
        <is>
          <t>Versions 🅰 / 🅱 / 🅲</t>
        </is>
      </c>
      <c r="B11" s="196" t="inlineStr">
        <is>
          <t>🅰 maquette Arduino + capteurs humidité/luminosité (TBT) · 🅱 VittaScience simulation · 🅲 fiches papier + jeux de données imprimés.</t>
        </is>
      </c>
      <c r="C11" s="132" t="n"/>
      <c r="D11" s="132" t="n"/>
      <c r="E11" s="132" t="n"/>
      <c r="F11" s="132" t="n"/>
    </row>
    <row r="12" ht="27.75" customHeight="1" s="107">
      <c r="A12" s="186" t="inlineStr">
        <is>
          <t>Liens EPI / parcours</t>
        </is>
      </c>
      <c r="B12" s="196" t="inlineStr">
        <is>
          <t>EDD (gestion de l'eau) · SVT (besoins des plantes) · mathématiques (graphiques).</t>
        </is>
      </c>
      <c r="C12" s="132" t="n"/>
      <c r="D12" s="132" t="n"/>
      <c r="E12" s="132" t="n"/>
      <c r="F12" s="132" t="n"/>
    </row>
    <row r="13" ht="27.75" customHeight="1" s="107">
      <c r="A13" s="186" t="inlineStr">
        <is>
          <t>Cahier Nathan 4e</t>
        </is>
      </c>
      <c r="B13" s="196" t="inlineStr">
        <is>
          <t>Prob. 5 p.37-44 (chaîne d'énergie) · Prob. 3 p.21-28 (fonctionnement) · Prob. 7 p.53-58 (automatiser)</t>
        </is>
      </c>
      <c r="C13" s="132" t="n"/>
      <c r="D13" s="132" t="n"/>
      <c r="E13" s="132" t="n"/>
      <c r="F13" s="132" t="n"/>
    </row>
    <row r="14" ht="27.75" customHeight="1" s="107">
      <c r="A14" s="186" t="inlineStr">
        <is>
          <t>Ressources en ligne</t>
        </is>
      </c>
      <c r="B14" s="196" t="inlineStr">
        <is>
          <t>✅ Partiel : QCM « Jardin connecté », « Automatisation », « eCall » (existants) · 🔜 séquence îlot 4e_C4 (Fable)</t>
        </is>
      </c>
      <c r="C14" s="132" t="n"/>
      <c r="D14" s="132" t="n"/>
      <c r="E14" s="132" t="n"/>
      <c r="F14" s="132" t="n"/>
    </row>
    <row r="16" ht="15" customHeight="1" s="107">
      <c r="A16" s="155" t="inlineStr">
        <is>
          <t>Compétences du programme 2024</t>
        </is>
      </c>
    </row>
    <row r="17" ht="15" customHeight="1" s="107">
      <c r="A17" s="137" t="inlineStr">
        <is>
          <t>Code</t>
        </is>
      </c>
      <c r="B17" s="137" t="inlineStr">
        <is>
          <t>Intitulé officiel</t>
        </is>
      </c>
      <c r="C17" s="137" t="inlineStr">
        <is>
          <t>Domaines du socle</t>
        </is>
      </c>
      <c r="D17" s="137" t="inlineStr">
        <is>
          <t>Travaillée en</t>
        </is>
      </c>
      <c r="E17" s="137" t="inlineStr">
        <is>
          <t>Évaluation LSU</t>
        </is>
      </c>
    </row>
    <row r="18" ht="30" customHeight="1" s="107">
      <c r="A18" s="180" t="inlineStr">
        <is>
          <t>4e_C4.1</t>
        </is>
      </c>
      <c r="B18" s="142" t="inlineStr">
        <is>
          <t>Identifier les constituants d’une chaîne d’énergie et les associer à leurs fonctions.</t>
        </is>
      </c>
      <c r="C18" s="142" t="inlineStr">
        <is>
          <t>D2, D4, D5</t>
        </is>
      </c>
      <c r="D18" s="142" t="inlineStr">
        <is>
          <t>Séances 1-2</t>
        </is>
      </c>
      <c r="E18" s="142" t="inlineStr">
        <is>
          <t>Formative + QCM ciblé → LSU</t>
        </is>
      </c>
    </row>
    <row r="19" ht="30" customHeight="1" s="107">
      <c r="A19" s="180" t="inlineStr">
        <is>
          <t>4e_C4.2</t>
        </is>
      </c>
      <c r="B19" s="142" t="inlineStr">
        <is>
          <t>Repérer les transformations d’énergie et les flux d’énergie au sein de l’OST.</t>
        </is>
      </c>
      <c r="C19" s="142" t="inlineStr">
        <is>
          <t>D1.3, D2, D4</t>
        </is>
      </c>
      <c r="D19" s="142" t="inlineStr">
        <is>
          <t>Séance 2</t>
        </is>
      </c>
      <c r="E19" s="142" t="inlineStr">
        <is>
          <t>Formative → LSU</t>
        </is>
      </c>
    </row>
    <row r="20" ht="30" customHeight="1" s="107">
      <c r="A20" s="180" t="inlineStr">
        <is>
          <t>4e_C4.4</t>
        </is>
      </c>
      <c r="B20" s="142" t="inlineStr">
        <is>
          <t>Identifier les constituants de la chaîne d’information d’un objet réel et les associer à leur fonction.</t>
        </is>
      </c>
      <c r="C20" s="142" t="inlineStr">
        <is>
          <t>D1.3, D2, D4</t>
        </is>
      </c>
      <c r="D20" s="142" t="inlineStr">
        <is>
          <t>Séance 3</t>
        </is>
      </c>
      <c r="E20" s="142" t="inlineStr">
        <is>
          <t>Formative + QCM eCall → LSU</t>
        </is>
      </c>
    </row>
    <row r="21" ht="30" customHeight="1" s="107">
      <c r="A21" s="180" t="inlineStr">
        <is>
          <t>4e_C4.5</t>
        </is>
      </c>
      <c r="B21" s="142" t="inlineStr">
        <is>
          <t>Décrire et analyser la transformation des données téléversées ou issues d’un OST.</t>
        </is>
      </c>
      <c r="C21" s="142" t="inlineStr">
        <is>
          <t>D1.3, D2, D4</t>
        </is>
      </c>
      <c r="D21" s="142" t="inlineStr">
        <is>
          <t>Séance 3</t>
        </is>
      </c>
      <c r="E21" s="142" t="inlineStr">
        <is>
          <t>Formative → LSU</t>
        </is>
      </c>
    </row>
    <row r="22" ht="30" customHeight="1" s="107">
      <c r="A22" s="180" t="inlineStr">
        <is>
          <t>4e_C4.6</t>
        </is>
      </c>
      <c r="B22" s="142" t="inlineStr">
        <is>
          <t>Décrire et analyser la structuration d’une table de données qui permet une exploitation et une interprétation du comportement d’un OST.</t>
        </is>
      </c>
      <c r="C22" s="142" t="inlineStr">
        <is>
          <t>D1.3, D2, D4</t>
        </is>
      </c>
      <c r="D22" s="142" t="inlineStr">
        <is>
          <t>Séances 4-5</t>
        </is>
      </c>
      <c r="E22" s="142" t="inlineStr">
        <is>
          <t>Table CSV + graphique → LSU</t>
        </is>
      </c>
    </row>
    <row r="24" ht="15" customHeight="1" s="107">
      <c r="A24" s="155" t="inlineStr">
        <is>
          <t>Déroulé, séance par séance — avec cahier de texte Pronote prêt à coller</t>
        </is>
      </c>
    </row>
    <row r="25" ht="15" customHeight="1" s="107">
      <c r="A25" s="204" t="inlineStr">
        <is>
          <t>■ Séance 1 — semaine S11 — 🏫 En classe — Analyser le système d'arrosage automatique</t>
        </is>
      </c>
    </row>
    <row r="26" ht="27.75" customHeight="1" s="107">
      <c r="A26" s="186" t="inlineStr">
        <is>
          <t>Question directrice</t>
        </is>
      </c>
      <c r="B26" s="196" t="inlineStr">
        <is>
          <t>De quoi le jardin connecté est-il fait — et qui décide d'arroser ?</t>
        </is>
      </c>
      <c r="C26" s="132" t="n"/>
      <c r="D26" s="132" t="n"/>
      <c r="E26" s="132" t="n"/>
      <c r="F26" s="132" t="n"/>
    </row>
    <row r="27" ht="51.75" customHeight="1" s="107">
      <c r="A27" s="186" t="inlineStr">
        <is>
          <t>Activités &amp; supports</t>
        </is>
      </c>
      <c r="B27" s="196" t="inlineStr">
        <is>
          <t>Analyse du système réel/maquette : constituants, frontière énergie/information. QCM de découverte « Automatisation » : https://pll-process.github.io/en-ligne-pour-le-cycle-4/theme-2-structure-fonctionnement-comportement/C4-decrire-et-caracteriser-lorganisation/4e/4e_C4.1/qcm_automatisation_premium.html</t>
        </is>
      </c>
      <c r="C27" s="132" t="n"/>
      <c r="D27" s="132" t="n"/>
      <c r="E27" s="132" t="n"/>
      <c r="F27" s="132" t="n"/>
    </row>
    <row r="28" ht="27.75" customHeight="1" s="107">
      <c r="A28" s="186" t="inlineStr">
        <is>
          <t>Démarche / organisation</t>
        </is>
      </c>
      <c r="B28" s="196" t="inlineStr">
        <is>
          <t>Investigation en îlots ; schéma de l'objet complet.</t>
        </is>
      </c>
      <c r="C28" s="132" t="n"/>
      <c r="D28" s="132" t="n"/>
      <c r="E28" s="132" t="n"/>
      <c r="F28" s="132" t="n"/>
    </row>
    <row r="29" ht="27.75" customHeight="1" s="107">
      <c r="A29" s="186" t="inlineStr">
        <is>
          <t>Bilan / trace écrite</t>
        </is>
      </c>
      <c r="B29" s="196" t="inlineStr">
        <is>
          <t>Les DEUX chaînes complètes de l'objet (rappel 5e, montée 4e : transformations).</t>
        </is>
      </c>
      <c r="C29" s="132" t="n"/>
      <c r="D29" s="132" t="n"/>
      <c r="E29" s="132" t="n"/>
      <c r="F29" s="132" t="n"/>
    </row>
    <row r="30" ht="39.75" customHeight="1" s="107">
      <c r="A30" s="198" t="inlineStr">
        <is>
          <t>📋 CAHIER DE TEXTE
Contenu de la séance
👆 CLIC = copier pour Pronote</t>
        </is>
      </c>
      <c r="B30" s="199" t="inlineStr">
        <is>
          <t>Séquence « Le jardin connecté » — Séance 1 : analyse du système d'arrosage automatique, constituants des chaînes d'énergie et d'information.</t>
        </is>
      </c>
      <c r="C30" s="132" t="n"/>
      <c r="D30" s="132" t="n"/>
      <c r="E30" s="132" t="n"/>
      <c r="F30" s="132" t="n"/>
    </row>
    <row r="31" ht="51.75" customHeight="1" s="107">
      <c r="A31" s="198" t="inlineStr">
        <is>
          <t>📋 CAHIER DE TEXTE
Travail à faire
👆 CLIC = copier pour Pronote</t>
        </is>
      </c>
      <c r="B31" s="199" t="inlineStr">
        <is>
          <t>QCM « Automatisation » en ligne (mode découverte, corrections incluses) : https://pll-process.github.io/en-ligne-pour-le-cycle-4/theme-2-structure-fonctionnement-comportement/C4-decrire-et-caracteriser-lorganisation/4e/4e_C4.1/qcm_automatisation_premium.html ≈ 15 min, faisable sur téléphone.</t>
        </is>
      </c>
      <c r="C31" s="132" t="n"/>
      <c r="D31" s="132" t="n"/>
      <c r="E31" s="132" t="n"/>
      <c r="F31" s="132" t="n"/>
    </row>
    <row r="32" ht="15" customHeight="1" s="107">
      <c r="A32" s="200" t="inlineStr">
        <is>
          <t>Suivi enseignant</t>
        </is>
      </c>
      <c r="B32" s="201" t="inlineStr">
        <is>
          <t>Fait le : ____________</t>
        </is>
      </c>
      <c r="C32" s="202" t="inlineStr">
        <is>
          <t xml:space="preserve">Report / aléa / remarques : </t>
        </is>
      </c>
      <c r="D32" s="132" t="n"/>
      <c r="E32" s="132" t="n"/>
      <c r="F32" s="132" t="n"/>
    </row>
    <row r="34" ht="15" customHeight="1" s="107">
      <c r="A34" s="204" t="inlineStr">
        <is>
          <t>■ Séance 2 — semaine S12 — 🏫 En classe — Transformations et flux d'énergie (C4.1, C4.2)</t>
        </is>
      </c>
    </row>
    <row r="35" ht="27.75" customHeight="1" s="107">
      <c r="A35" s="186" t="inlineStr">
        <is>
          <t>Question directrice</t>
        </is>
      </c>
      <c r="B35" s="196" t="inlineStr">
        <is>
          <t>Quel chemin l'énergie suit-elle, et sous quelles formes ?</t>
        </is>
      </c>
      <c r="C35" s="132" t="n"/>
      <c r="D35" s="132" t="n"/>
      <c r="E35" s="132" t="n"/>
      <c r="F35" s="132" t="n"/>
    </row>
    <row r="36" ht="27.75" customHeight="1" s="107">
      <c r="A36" s="186" t="inlineStr">
        <is>
          <t>Activités &amp; supports</t>
        </is>
      </c>
      <c r="B36" s="196" t="inlineStr">
        <is>
          <t>Chaîne d'énergie complète de la pompe : repérer les transformations et les flux ; schéma-bloc. Nathan Prob. 5 p.37-44.</t>
        </is>
      </c>
      <c r="C36" s="132" t="n"/>
      <c r="D36" s="132" t="n"/>
      <c r="E36" s="132" t="n"/>
      <c r="F36" s="132" t="n"/>
    </row>
    <row r="37" ht="27.75" customHeight="1" s="107">
      <c r="A37" s="186" t="inlineStr">
        <is>
          <t>Démarche / organisation</t>
        </is>
      </c>
      <c r="B37" s="196" t="inlineStr">
        <is>
          <t>Résolution de problème en binômes ; correction vidéoprojetée.</t>
        </is>
      </c>
      <c r="C37" s="132" t="n"/>
      <c r="D37" s="132" t="n"/>
      <c r="E37" s="132" t="n"/>
      <c r="F37" s="132" t="n"/>
    </row>
    <row r="38" ht="27.75" customHeight="1" s="107">
      <c r="A38" s="186" t="inlineStr">
        <is>
          <t>Bilan / trace écrite</t>
        </is>
      </c>
      <c r="B38" s="196" t="inlineStr">
        <is>
          <t>Transformation = changement de forme d'énergie ; flux = son chemin.</t>
        </is>
      </c>
      <c r="C38" s="132" t="n"/>
      <c r="D38" s="132" t="n"/>
      <c r="E38" s="132" t="n"/>
      <c r="F38" s="132" t="n"/>
    </row>
    <row r="39" ht="39.75" customHeight="1" s="107">
      <c r="A39" s="198" t="inlineStr">
        <is>
          <t>📋 CAHIER DE TEXTE
Contenu de la séance
👆 CLIC = copier pour Pronote</t>
        </is>
      </c>
      <c r="B39" s="199" t="inlineStr">
        <is>
          <t>Séance 2 : transformations et flux d'énergie dans le système d'arrosage (schéma-bloc complété). Cahier Nathan p.37-44.</t>
        </is>
      </c>
      <c r="C39" s="132" t="n"/>
      <c r="D39" s="132" t="n"/>
      <c r="E39" s="132" t="n"/>
      <c r="F39" s="132" t="n"/>
    </row>
    <row r="40" ht="39.75" customHeight="1" s="107">
      <c r="A40" s="198" t="inlineStr">
        <is>
          <t>📋 CAHIER DE TEXTE
Travail à faire
👆 CLIC = copier pour Pronote</t>
        </is>
      </c>
      <c r="B40" s="199" t="inlineStr">
        <is>
          <t>Terminer le schéma-bloc du cahier Nathan (p.40-41) ; relire la trace écrite. ≈ 15 min.</t>
        </is>
      </c>
      <c r="C40" s="132" t="n"/>
      <c r="D40" s="132" t="n"/>
      <c r="E40" s="132" t="n"/>
      <c r="F40" s="132" t="n"/>
    </row>
    <row r="41" ht="15" customHeight="1" s="107">
      <c r="A41" s="200" t="inlineStr">
        <is>
          <t>Suivi enseignant</t>
        </is>
      </c>
      <c r="B41" s="201" t="inlineStr">
        <is>
          <t>Fait le : ____________</t>
        </is>
      </c>
      <c r="C41" s="202" t="inlineStr">
        <is>
          <t xml:space="preserve">Report / aléa / remarques : </t>
        </is>
      </c>
      <c r="D41" s="132" t="n"/>
      <c r="E41" s="132" t="n"/>
      <c r="F41" s="132" t="n"/>
    </row>
    <row r="43" ht="15" customHeight="1" s="107">
      <c r="A43" s="204" t="inlineStr">
        <is>
          <t>■ Séance 3 — semaine S13 — 🏫 En classe — Capteurs et chaîne d'information (C4.4, C4.5)</t>
        </is>
      </c>
    </row>
    <row r="44" ht="27.75" customHeight="1" s="107">
      <c r="A44" s="186" t="inlineStr">
        <is>
          <t>Question directrice</t>
        </is>
      </c>
      <c r="B44" s="196" t="inlineStr">
        <is>
          <t>Comment l'humidité du sol devient-elle une décision d'arrosage ?</t>
        </is>
      </c>
      <c r="C44" s="132" t="n"/>
      <c r="D44" s="132" t="n"/>
      <c r="E44" s="132" t="n"/>
      <c r="F44" s="132" t="n"/>
    </row>
    <row r="45" ht="51.75" customHeight="1" s="107">
      <c r="A45" s="186" t="inlineStr">
        <is>
          <t>Activités &amp; supports</t>
        </is>
      </c>
      <c r="B45" s="196" t="inlineStr">
        <is>
          <t>Capteurs humidité/luminosité (Arduino réel ou VittaScience) : grandeur physique → signal → donnée → décision. QCM « eCall » (chaîne d'information contextualisée) : https://pll-process.github.io/en-ligne-pour-le-cycle-4/theme-2-structure-fonctionnement-comportement/C4-decrire-et-caracteriser-lorganisation/4e/4e_C4.4/qcm_ecall_chaine_information.html</t>
        </is>
      </c>
      <c r="C45" s="132" t="n"/>
      <c r="D45" s="132" t="n"/>
      <c r="E45" s="132" t="n"/>
      <c r="F45" s="132" t="n"/>
    </row>
    <row r="46" ht="27.75" customHeight="1" s="107">
      <c r="A46" s="186" t="inlineStr">
        <is>
          <t>Démarche / organisation</t>
        </is>
      </c>
      <c r="B46" s="196" t="inlineStr">
        <is>
          <t>Manipulation guidée en binômes (version 🅰) ou simulation (🅱).</t>
        </is>
      </c>
      <c r="C46" s="132" t="n"/>
      <c r="D46" s="132" t="n"/>
      <c r="E46" s="132" t="n"/>
      <c r="F46" s="132" t="n"/>
    </row>
    <row r="47" ht="27.75" customHeight="1" s="107">
      <c r="A47" s="186" t="inlineStr">
        <is>
          <t>Bilan / trace écrite</t>
        </is>
      </c>
      <c r="B47" s="196" t="inlineStr">
        <is>
          <t>ACQUÉRIR (capteur) → TRAITER (carte) → COMMANDER (électrovanne) ; nature des signaux.</t>
        </is>
      </c>
      <c r="C47" s="132" t="n"/>
      <c r="D47" s="132" t="n"/>
      <c r="E47" s="132" t="n"/>
      <c r="F47" s="132" t="n"/>
    </row>
    <row r="48" ht="39.75" customHeight="1" s="107">
      <c r="A48" s="198" t="inlineStr">
        <is>
          <t>📋 CAHIER DE TEXTE
Contenu de la séance
👆 CLIC = copier pour Pronote</t>
        </is>
      </c>
      <c r="B48" s="199" t="inlineStr">
        <is>
          <t>Séance 3 : du capteur à la décision — la chaîne d'information de l'arrosage automatique (manipulation capteurs).</t>
        </is>
      </c>
      <c r="C48" s="132" t="n"/>
      <c r="D48" s="132" t="n"/>
      <c r="E48" s="132" t="n"/>
      <c r="F48" s="132" t="n"/>
    </row>
    <row r="49" ht="39.75" customHeight="1" s="107">
      <c r="A49" s="198" t="inlineStr">
        <is>
          <t>📋 CAHIER DE TEXTE
Travail à faire
👆 CLIC = copier pour Pronote</t>
        </is>
      </c>
      <c r="B49" s="199" t="inlineStr">
        <is>
          <t>QCM « eCall — chaîne d'information » : https://pll-process.github.io/en-ligne-pour-le-cycle-4/theme-2-structure-fonctionnement-comportement/C4-decrire-et-caracteriser-lorganisation/4e/4e_C4.4/qcm_ecall_chaine_information.html ≈ 15 min. Corrections détaillées incluses.</t>
        </is>
      </c>
      <c r="C49" s="132" t="n"/>
      <c r="D49" s="132" t="n"/>
      <c r="E49" s="132" t="n"/>
      <c r="F49" s="132" t="n"/>
    </row>
    <row r="50" ht="15" customHeight="1" s="107">
      <c r="A50" s="200" t="inlineStr">
        <is>
          <t>Suivi enseignant</t>
        </is>
      </c>
      <c r="B50" s="201" t="inlineStr">
        <is>
          <t>Fait le : ____________</t>
        </is>
      </c>
      <c r="C50" s="202" t="inlineStr">
        <is>
          <t xml:space="preserve">Report / aléa / remarques : </t>
        </is>
      </c>
      <c r="D50" s="132" t="n"/>
      <c r="E50" s="132" t="n"/>
      <c r="F50" s="132" t="n"/>
    </row>
    <row r="52" ht="15" customHeight="1" s="107">
      <c r="A52" s="204" t="inlineStr">
        <is>
          <t>■ Séance 4 — semaine S14 — 🔁 Hybride — Structurer les données du jardin (C4.6)</t>
        </is>
      </c>
    </row>
    <row r="53" ht="27.75" customHeight="1" s="107">
      <c r="A53" s="186" t="inlineStr">
        <is>
          <t>Question directrice</t>
        </is>
      </c>
      <c r="B53" s="196" t="inlineStr">
        <is>
          <t>Comment garder la trace de ce que mesure le jardin — et la lire ?</t>
        </is>
      </c>
      <c r="C53" s="132" t="n"/>
      <c r="D53" s="132" t="n"/>
      <c r="E53" s="132" t="n"/>
      <c r="F53" s="132" t="n"/>
    </row>
    <row r="54" ht="27.75" customHeight="1" s="107">
      <c r="A54" s="186" t="inlineStr">
        <is>
          <t>Activités &amp; supports</t>
        </is>
      </c>
      <c r="B54" s="196" t="inlineStr">
        <is>
          <t>Relevés des capteurs → table structurée (colonnes nommées, types, formats — rappel 5e descripteurs) → export CSV → graphique au tableur. Début en classe, poursuite à la maison.</t>
        </is>
      </c>
      <c r="C54" s="132" t="n"/>
      <c r="D54" s="132" t="n"/>
      <c r="E54" s="132" t="n"/>
      <c r="F54" s="132" t="n"/>
    </row>
    <row r="55" ht="27.75" customHeight="1" s="107">
      <c r="A55" s="186" t="inlineStr">
        <is>
          <t>Démarche / organisation</t>
        </is>
      </c>
      <c r="B55" s="196" t="inlineStr">
        <is>
          <t>Travail au poste ; gabarit de tableur fourni.</t>
        </is>
      </c>
      <c r="C55" s="132" t="n"/>
      <c r="D55" s="132" t="n"/>
      <c r="E55" s="132" t="n"/>
      <c r="F55" s="132" t="n"/>
    </row>
    <row r="56" ht="27.75" customHeight="1" s="107">
      <c r="A56" s="186" t="inlineStr">
        <is>
          <t>Bilan / trace écrite</t>
        </is>
      </c>
      <c r="B56" s="196" t="inlineStr">
        <is>
          <t>CSV = données séparées par des virgules, lisibles par toutes les machines ; un graphique révèle ce que la table cache.</t>
        </is>
      </c>
      <c r="C56" s="132" t="n"/>
      <c r="D56" s="132" t="n"/>
      <c r="E56" s="132" t="n"/>
      <c r="F56" s="132" t="n"/>
    </row>
    <row r="57" ht="39.75" customHeight="1" s="107">
      <c r="A57" s="198" t="inlineStr">
        <is>
          <t>📋 CAHIER DE TEXTE
Contenu de la séance
👆 CLIC = copier pour Pronote</t>
        </is>
      </c>
      <c r="B57" s="199" t="inlineStr">
        <is>
          <t>Séance 4 : structurer les données du jardin (table → CSV → graphique). Début du travail au tableur.</t>
        </is>
      </c>
      <c r="C57" s="132" t="n"/>
      <c r="D57" s="132" t="n"/>
      <c r="E57" s="132" t="n"/>
      <c r="F57" s="132" t="n"/>
    </row>
    <row r="58" ht="39.75" customHeight="1" s="107">
      <c r="A58" s="198" t="inlineStr">
        <is>
          <t>📋 CAHIER DE TEXTE
Travail à faire
👆 CLIC = copier pour Pronote</t>
        </is>
      </c>
      <c r="B58" s="199" t="inlineStr">
        <is>
          <t>Terminer la table et le graphique au tableur (gabarit distribué / ENT) ; exporter en CSV. ≈ 25 min. En cas de blocage : noter la question, on corrige en séance 5.</t>
        </is>
      </c>
      <c r="C58" s="132" t="n"/>
      <c r="D58" s="132" t="n"/>
      <c r="E58" s="132" t="n"/>
      <c r="F58" s="132" t="n"/>
    </row>
    <row r="59" ht="15" customHeight="1" s="107">
      <c r="A59" s="200" t="inlineStr">
        <is>
          <t>Suivi enseignant</t>
        </is>
      </c>
      <c r="B59" s="201" t="inlineStr">
        <is>
          <t>Fait le : ____________</t>
        </is>
      </c>
      <c r="C59" s="202" t="inlineStr">
        <is>
          <t xml:space="preserve">Report / aléa / remarques : </t>
        </is>
      </c>
      <c r="D59" s="132" t="n"/>
      <c r="E59" s="132" t="n"/>
      <c r="F59" s="132" t="n"/>
    </row>
    <row r="61" ht="15" customHeight="1" s="107">
      <c r="A61" s="204" t="inlineStr">
        <is>
          <t>■ Séance 5 — semaine S16 — 🏠 puis 🏫 — Bilan et évaluation</t>
        </is>
      </c>
    </row>
    <row r="62" ht="27.75" customHeight="1" s="107">
      <c r="A62" s="186" t="inlineStr">
        <is>
          <t>Question directrice</t>
        </is>
      </c>
      <c r="B62" s="196" t="inlineStr">
        <is>
          <t>Que sait faire notre jardin — et moi, où en suis-je ?</t>
        </is>
      </c>
      <c r="C62" s="132" t="n"/>
      <c r="D62" s="132" t="n"/>
      <c r="E62" s="132" t="n"/>
      <c r="F62" s="132" t="n"/>
    </row>
    <row r="63" ht="51.75" customHeight="1" s="107">
      <c r="A63" s="186" t="inlineStr">
        <is>
          <t>Activités &amp; supports</t>
        </is>
      </c>
      <c r="B63" s="196" t="inlineStr">
        <is>
          <t>Correction des graphiques ; bilan des deux chaînes ; évaluation sommative (corrigé non publié). Révision : QCM « Jardin connecté » : https://pll-process.github.io/en-ligne-pour-le-cycle-4/theme-2-structure-fonctionnement-comportement/C6-comprendre-et-modifier-un-programme-associe/4e/4e_C6.2/qcm_jardin_connecte.html</t>
        </is>
      </c>
      <c r="C63" s="132" t="n"/>
      <c r="D63" s="132" t="n"/>
      <c r="E63" s="132" t="n"/>
      <c r="F63" s="132" t="n"/>
    </row>
    <row r="64" ht="27.75" customHeight="1" s="107">
      <c r="A64" s="186" t="inlineStr">
        <is>
          <t>Démarche / organisation</t>
        </is>
      </c>
      <c r="B64" s="196" t="inlineStr">
        <is>
          <t>Bilan collectif 30 min + évaluation 45 min.</t>
        </is>
      </c>
      <c r="C64" s="132" t="n"/>
      <c r="D64" s="132" t="n"/>
      <c r="E64" s="132" t="n"/>
      <c r="F64" s="132" t="n"/>
    </row>
    <row r="65" ht="27.75" customHeight="1" s="107">
      <c r="A65" s="186" t="inlineStr">
        <is>
          <t>Bilan / trace écrite</t>
        </is>
      </c>
      <c r="B65" s="196" t="inlineStr">
        <is>
          <t>Synthèse distribuée.</t>
        </is>
      </c>
      <c r="C65" s="132" t="n"/>
      <c r="D65" s="132" t="n"/>
      <c r="E65" s="132" t="n"/>
      <c r="F65" s="132" t="n"/>
    </row>
    <row r="66" ht="39.75" customHeight="1" s="107">
      <c r="A66" s="198" t="inlineStr">
        <is>
          <t>📋 CAHIER DE TEXTE
Contenu de la séance
👆 CLIC = copier pour Pronote</t>
        </is>
      </c>
      <c r="B66" s="199" t="inlineStr">
        <is>
          <t>Séance 5 : bilan de la séquence « Jardin connecté » et évaluation (chaînes complètes, capteurs, données).</t>
        </is>
      </c>
      <c r="C66" s="132" t="n"/>
      <c r="D66" s="132" t="n"/>
      <c r="E66" s="132" t="n"/>
      <c r="F66" s="132" t="n"/>
    </row>
    <row r="67" ht="51.75" customHeight="1" s="107">
      <c r="A67" s="198" t="inlineStr">
        <is>
          <t>📋 CAHIER DE TEXTE
Travail à faire
👆 CLIC = copier pour Pronote</t>
        </is>
      </c>
      <c r="B67" s="199" t="inlineStr">
        <is>
          <t>Fait avant la séance : QCM « Jardin connecté » complet : https://pll-process.github.io/en-ligne-pour-le-cycle-4/theme-2-structure-fonctionnement-comportement/C6-comprendre-et-modifier-un-programme-associe/4e/4e_C6.2/qcm_jardin_connecte.html ≈ 20 min. Après : rien — mode « Uniquement mes erreurs » pour réviser plus tard.</t>
        </is>
      </c>
      <c r="C67" s="132" t="n"/>
      <c r="D67" s="132" t="n"/>
      <c r="E67" s="132" t="n"/>
      <c r="F67" s="132" t="n"/>
    </row>
    <row r="68" ht="15" customHeight="1" s="107">
      <c r="A68" s="200" t="inlineStr">
        <is>
          <t>Suivi enseignant</t>
        </is>
      </c>
      <c r="B68" s="201" t="inlineStr">
        <is>
          <t>Fait le : ____________</t>
        </is>
      </c>
      <c r="C68" s="202" t="inlineStr">
        <is>
          <t xml:space="preserve">Report / aléa / remarques : </t>
        </is>
      </c>
      <c r="D68" s="132" t="n"/>
      <c r="E68" s="132" t="n"/>
      <c r="F68" s="132" t="n"/>
    </row>
  </sheetData>
  <mergeCells count="53">
    <mergeCell ref="B4:F4"/>
    <mergeCell ref="B7:F7"/>
    <mergeCell ref="B47:F47"/>
    <mergeCell ref="B62:F62"/>
    <mergeCell ref="B54:F54"/>
    <mergeCell ref="B66:F66"/>
    <mergeCell ref="B31:F31"/>
    <mergeCell ref="B46:F46"/>
    <mergeCell ref="C32:F32"/>
    <mergeCell ref="B56:F56"/>
    <mergeCell ref="B58:F58"/>
    <mergeCell ref="B27:F27"/>
    <mergeCell ref="A2:F2"/>
    <mergeCell ref="B12:F12"/>
    <mergeCell ref="B39:F39"/>
    <mergeCell ref="B48:F48"/>
    <mergeCell ref="B11:F11"/>
    <mergeCell ref="B67:F67"/>
    <mergeCell ref="C68:F68"/>
    <mergeCell ref="B14:F14"/>
    <mergeCell ref="B8:F8"/>
    <mergeCell ref="B13:F13"/>
    <mergeCell ref="B57:F57"/>
    <mergeCell ref="A43:F43"/>
    <mergeCell ref="B44:F44"/>
    <mergeCell ref="B53:F53"/>
    <mergeCell ref="B29:F29"/>
    <mergeCell ref="A52:F52"/>
    <mergeCell ref="B38:F38"/>
    <mergeCell ref="B10:F10"/>
    <mergeCell ref="B28:F28"/>
    <mergeCell ref="B37:F37"/>
    <mergeCell ref="A34:F34"/>
    <mergeCell ref="C41:F41"/>
    <mergeCell ref="B40:F40"/>
    <mergeCell ref="B9:F9"/>
    <mergeCell ref="C50:F50"/>
    <mergeCell ref="B49:F49"/>
    <mergeCell ref="B30:F30"/>
    <mergeCell ref="B65:F65"/>
    <mergeCell ref="B55:F55"/>
    <mergeCell ref="B6:F6"/>
    <mergeCell ref="B64:F64"/>
    <mergeCell ref="A1:F1"/>
    <mergeCell ref="B5:F5"/>
    <mergeCell ref="C59:F59"/>
    <mergeCell ref="A61:F61"/>
    <mergeCell ref="B45:F45"/>
    <mergeCell ref="B63:F63"/>
    <mergeCell ref="B36:F36"/>
    <mergeCell ref="B26:F26"/>
    <mergeCell ref="A25:F25"/>
    <mergeCell ref="B35:F35"/>
  </mergeCells>
  <hyperlinks>
    <hyperlink xmlns:r="http://schemas.openxmlformats.org/officeDocument/2006/relationships" ref="E3" location="'🧭%20Progression'!A1" display="◀ Progression" r:id="rId1"/>
    <hyperlink xmlns:r="http://schemas.openxmlformats.org/officeDocument/2006/relationships" ref="F3" location="'🏠%20Accueil'!A1" display="◀ Accueil" r:id="rId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2E75B6"/>
    <outlinePr summaryBelow="1" summaryRight="1"/>
    <pageSetUpPr fitToPage="0"/>
  </sheetPr>
  <dimension ref="A1:F5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06" min="1" max="1"/>
    <col width="40" customWidth="1" style="106" min="2" max="4"/>
    <col width="30" customWidth="1" style="106" min="5" max="5"/>
    <col width="22" customWidth="1" style="106" min="6" max="6"/>
  </cols>
  <sheetData>
    <row r="1" ht="17.35" customHeight="1" s="107">
      <c r="A1" s="203" t="inlineStr">
        <is>
          <t>GÉNÉRATEUR DE SÉQUENCE 2024 — S5 · Objets connectés en réseau : adresse IP et communication</t>
        </is>
      </c>
    </row>
    <row r="2" ht="15" customHeight="1" s="107">
      <c r="A2" s="133" t="inlineStr">
        <is>
          <t>Thème 2 · P3/P4 · 4 séances de 1 h 30 · Responsable : Fable (Th. 2) · Pré-rempli par Fable — QCM ✅ (sélection), séquence 🔜</t>
        </is>
      </c>
    </row>
    <row r="3" ht="15" customHeight="1" s="107">
      <c r="E3" s="163" t="inlineStr">
        <is>
          <t>◀ Progression</t>
        </is>
      </c>
      <c r="F3" s="136" t="inlineStr">
        <is>
          <t>◀ Accueil</t>
        </is>
      </c>
    </row>
    <row r="4" ht="27.75" customHeight="1" s="107">
      <c r="A4" s="186" t="inlineStr">
        <is>
          <t>Problématique</t>
        </is>
      </c>
      <c r="B4" s="196" t="inlineStr">
        <is>
          <t>Comment ajouter un objet connecté à un réseau local et le faire dialoguer ?</t>
        </is>
      </c>
      <c r="C4" s="132" t="n"/>
      <c r="D4" s="132" t="n"/>
      <c r="E4" s="132" t="n"/>
      <c r="F4" s="132" t="n"/>
    </row>
    <row r="5" ht="27.75" customHeight="1" s="107">
      <c r="A5" s="186" t="inlineStr">
        <is>
          <t>Situation déclenchante</t>
        </is>
      </c>
      <c r="B5" s="196" t="inlineStr">
        <is>
          <t>Le jardin connecté doit envoyer ses mesures au serveur du collège et être consultable depuis la salle des profs : comment lui donner une adresse et le faire dialoguer ?</t>
        </is>
      </c>
      <c r="C5" s="132" t="n"/>
      <c r="D5" s="132" t="n"/>
      <c r="E5" s="132" t="n"/>
      <c r="F5" s="132" t="n"/>
    </row>
    <row r="6" ht="27.75" customHeight="1" s="107">
      <c r="A6" s="186" t="inlineStr">
        <is>
          <t>Prérequis</t>
        </is>
      </c>
      <c r="B6" s="196" t="inlineStr">
        <is>
          <t>5e : composants du réseau local, identification unique (lampadaire). Rappel séance 1.</t>
        </is>
      </c>
      <c r="C6" s="132" t="n"/>
      <c r="D6" s="132" t="n"/>
      <c r="E6" s="132" t="n"/>
      <c r="F6" s="132" t="n"/>
    </row>
    <row r="7" ht="27.75" customHeight="1" s="107">
      <c r="A7" s="186" t="inlineStr">
        <is>
          <t>Éléments pour la synthèse (objectifs)</t>
        </is>
      </c>
      <c r="B7" s="196" t="inlineStr">
        <is>
          <t>Adresse IP (fixe) d'un terminal · communication entre terminaux d'un réseau local · ajout d'un objet connecté (IoT) et validation par simulation.</t>
        </is>
      </c>
      <c r="C7" s="132" t="n"/>
      <c r="D7" s="132" t="n"/>
      <c r="E7" s="132" t="n"/>
      <c r="F7" s="132" t="n"/>
    </row>
    <row r="8" ht="27.75" customHeight="1" s="107">
      <c r="A8" s="186" t="inlineStr">
        <is>
          <t>Piste d'évaluation</t>
        </is>
      </c>
      <c r="B8" s="196" t="inlineStr">
        <is>
          <t>Repère du référentiel : simulation de réseau validée. QCM réseaux existant (sélection de questions IP). Sommative courte séance 4.</t>
        </is>
      </c>
      <c r="C8" s="132" t="n"/>
      <c r="D8" s="132" t="n"/>
      <c r="E8" s="132" t="n"/>
      <c r="F8" s="132" t="n"/>
    </row>
    <row r="9" ht="27.75" customHeight="1" s="107">
      <c r="A9" s="186" t="inlineStr">
        <is>
          <t>Domaines du socle mobilisés</t>
        </is>
      </c>
      <c r="B9" s="196" t="inlineStr">
        <is>
          <t>D2, D4  (détail par code ci-dessous)</t>
        </is>
      </c>
      <c r="C9" s="132" t="n"/>
      <c r="D9" s="132" t="n"/>
      <c r="E9" s="132" t="n"/>
      <c r="F9" s="132" t="n"/>
    </row>
    <row r="10" ht="27.75" customHeight="1" s="107">
      <c r="A10" s="186" t="inlineStr">
        <is>
          <t>CRCN — compétences numériques (Pix)</t>
        </is>
      </c>
      <c r="B10" s="196" t="inlineStr">
        <is>
          <t>5.1 Résoudre des problèmes techniques (Niv. 3) · 5.2 Évoluer dans un environnement numérique (Niv. 2-3)</t>
        </is>
      </c>
      <c r="C10" s="132" t="n"/>
      <c r="D10" s="132" t="n"/>
      <c r="E10" s="132" t="n"/>
      <c r="F10" s="132" t="n"/>
    </row>
    <row r="11" ht="27.75" customHeight="1" s="107">
      <c r="A11" s="186" t="inlineStr">
        <is>
          <t>Versions 🅰 / 🅱 / 🅲</t>
        </is>
      </c>
      <c r="B11" s="196" t="inlineStr">
        <is>
          <t>🅰 mini-réseau réel (2 postes + commutateur de la salle) · 🅱 simulateur de réseau (Filius/VittaScience IoT) · 🅲 papier : plan d'adressage à compléter.</t>
        </is>
      </c>
      <c r="C11" s="132" t="n"/>
      <c r="D11" s="132" t="n"/>
      <c r="E11" s="132" t="n"/>
      <c r="F11" s="132" t="n"/>
    </row>
    <row r="12" ht="27.75" customHeight="1" s="107">
      <c r="A12" s="186" t="inlineStr">
        <is>
          <t>Liens EPI / parcours</t>
        </is>
      </c>
      <c r="B12" s="196" t="inlineStr">
        <is>
          <t>Vers Pix D2/D5 · parcours Avenir (métiers du réseau).</t>
        </is>
      </c>
      <c r="C12" s="132" t="n"/>
      <c r="D12" s="132" t="n"/>
      <c r="E12" s="132" t="n"/>
      <c r="F12" s="132" t="n"/>
    </row>
    <row r="13" ht="27.75" customHeight="1" s="107">
      <c r="A13" s="186" t="inlineStr">
        <is>
          <t>Cahier Nathan 4e</t>
        </is>
      </c>
      <c r="B13" s="196" t="inlineStr">
        <is>
          <t>Prob. 2 p.13-20 (connecter un objet à un réseau) · Point méthode adresse IP</t>
        </is>
      </c>
      <c r="C13" s="132" t="n"/>
      <c r="D13" s="132" t="n"/>
      <c r="E13" s="132" t="n"/>
      <c r="F13" s="132" t="n"/>
    </row>
    <row r="14" ht="27.75" customHeight="1" s="107">
      <c r="A14" s="186" t="inlineStr">
        <is>
          <t>Ressources en ligne</t>
        </is>
      </c>
      <c r="B14" s="196" t="inlineStr">
        <is>
          <t>✅ Partiel : QCM réseaux existant (40 q IP/NFC/RFID/Zigbee) · 🔜 séquence (Fable)</t>
        </is>
      </c>
      <c r="C14" s="132" t="n"/>
      <c r="D14" s="132" t="n"/>
      <c r="E14" s="132" t="n"/>
      <c r="F14" s="132" t="n"/>
    </row>
    <row r="16" ht="15" customHeight="1" s="107">
      <c r="A16" s="155" t="inlineStr">
        <is>
          <t>Compétences du programme 2024</t>
        </is>
      </c>
    </row>
    <row r="17" ht="15" customHeight="1" s="107">
      <c r="A17" s="137" t="inlineStr">
        <is>
          <t>Code</t>
        </is>
      </c>
      <c r="B17" s="137" t="inlineStr">
        <is>
          <t>Intitulé officiel</t>
        </is>
      </c>
      <c r="C17" s="137" t="inlineStr">
        <is>
          <t>Domaines du socle</t>
        </is>
      </c>
      <c r="D17" s="137" t="inlineStr">
        <is>
          <t>Travaillée en</t>
        </is>
      </c>
      <c r="E17" s="137" t="inlineStr">
        <is>
          <t>Évaluation LSU</t>
        </is>
      </c>
    </row>
    <row r="18" ht="30" customHeight="1" s="107">
      <c r="A18" s="180" t="inlineStr">
        <is>
          <t>4e_C4.7</t>
        </is>
      </c>
      <c r="B18" s="142" t="inlineStr">
        <is>
          <t>Paramétrer une adresse IP fixe pour ajouter un objet connecté à un réseau local.</t>
        </is>
      </c>
      <c r="C18" s="142" t="inlineStr">
        <is>
          <t>D2, D4</t>
        </is>
      </c>
      <c r="D18" s="142" t="inlineStr">
        <is>
          <t>Séances 1-2</t>
        </is>
      </c>
      <c r="E18" s="142" t="inlineStr">
        <is>
          <t>Formative + QCM → LSU</t>
        </is>
      </c>
    </row>
    <row r="19" ht="30" customHeight="1" s="107">
      <c r="A19" s="180" t="inlineStr">
        <is>
          <t>4e_C4.8</t>
        </is>
      </c>
      <c r="B19" s="142" t="inlineStr">
        <is>
          <t>Résoudre des problèmes pour assurer la communication entre les différents terminaux dans un réseau informatique (simulation ou réseau local déconnecté du réseau pédagogique).</t>
        </is>
      </c>
      <c r="C19" s="142" t="inlineStr">
        <is>
          <t>D2, D4</t>
        </is>
      </c>
      <c r="D19" s="142" t="inlineStr">
        <is>
          <t>Séances 2-3</t>
        </is>
      </c>
      <c r="E19" s="142" t="inlineStr">
        <is>
          <t>Simulation validée → LSU</t>
        </is>
      </c>
    </row>
    <row r="20" ht="30" customHeight="1" s="107">
      <c r="A20" s="180" t="inlineStr">
        <is>
          <t>4e_C4.9</t>
        </is>
      </c>
      <c r="B20" s="142" t="inlineStr">
        <is>
          <t>Compléter une simulation fournie pour valider le comportement d’un réseau informatique.</t>
        </is>
      </c>
      <c r="C20" s="142" t="inlineStr">
        <is>
          <t>D2, D4</t>
        </is>
      </c>
      <c r="D20" s="142" t="inlineStr">
        <is>
          <t>Séance 3</t>
        </is>
      </c>
      <c r="E20" s="142" t="inlineStr">
        <is>
          <t>Formative → LSU</t>
        </is>
      </c>
    </row>
    <row r="22" ht="15" customHeight="1" s="107">
      <c r="A22" s="155" t="inlineStr">
        <is>
          <t>Déroulé, séance par séance — avec cahier de texte Pronote prêt à coller</t>
        </is>
      </c>
    </row>
    <row r="23" ht="15" customHeight="1" s="107">
      <c r="A23" s="204" t="inlineStr">
        <is>
          <t>■ Séance 1 — semaine S17 — 🏫 En classe — L'adresse IP : l'identité chiffrée (C4.7)</t>
        </is>
      </c>
    </row>
    <row r="24" ht="27.75" customHeight="1" s="107">
      <c r="A24" s="186" t="inlineStr">
        <is>
          <t>Question directrice</t>
        </is>
      </c>
      <c r="B24" s="196" t="inlineStr">
        <is>
          <t>Le nom ne suffit plus : comment les machines s'adressent-elles vraiment ?</t>
        </is>
      </c>
      <c r="C24" s="132" t="n"/>
      <c r="D24" s="132" t="n"/>
      <c r="E24" s="132" t="n"/>
      <c r="F24" s="132" t="n"/>
    </row>
    <row r="25" ht="64.5" customHeight="1" s="107">
      <c r="A25" s="186" t="inlineStr">
        <is>
          <t>Activités &amp; supports</t>
        </is>
      </c>
      <c r="B25" s="196" t="inlineStr">
        <is>
          <t>Du nom (5e) à l'adresse IP (4e) : structure, unicité, adresse fixe pour un serveur. Repérage des IP réelles des postes. Nathan Prob. 2 p.13-20. QCM réseaux (questions IP uniquement, mode ciblé) : https://pll-process.github.io/en-ligne-pour-le-cycle-4/theme-2-structure-fonctionnement-comportement/C4-decrire-et-caracteriser-lorganisation/4e/4e_C4.7/qcm_xxl_40_reseaux_ip_nfc_rfid_zigbee.html</t>
        </is>
      </c>
      <c r="C25" s="132" t="n"/>
      <c r="D25" s="132" t="n"/>
      <c r="E25" s="132" t="n"/>
      <c r="F25" s="132" t="n"/>
    </row>
    <row r="26" ht="27.75" customHeight="1" s="107">
      <c r="A26" s="186" t="inlineStr">
        <is>
          <t>Démarche / organisation</t>
        </is>
      </c>
      <c r="B26" s="196" t="inlineStr">
        <is>
          <t>Investigation ; ipconfig sur postes réels.</t>
        </is>
      </c>
      <c r="C26" s="132" t="n"/>
      <c r="D26" s="132" t="n"/>
      <c r="E26" s="132" t="n"/>
      <c r="F26" s="132" t="n"/>
    </row>
    <row r="27" ht="27.75" customHeight="1" s="107">
      <c r="A27" s="186" t="inlineStr">
        <is>
          <t>Bilan / trace écrite</t>
        </is>
      </c>
      <c r="B27" s="196" t="inlineStr">
        <is>
          <t>Adresse IP = identité numérique unique du terminal sur le réseau.</t>
        </is>
      </c>
      <c r="C27" s="132" t="n"/>
      <c r="D27" s="132" t="n"/>
      <c r="E27" s="132" t="n"/>
      <c r="F27" s="132" t="n"/>
    </row>
    <row r="28" ht="39.75" customHeight="1" s="107">
      <c r="A28" s="198" t="inlineStr">
        <is>
          <t>📋 CAHIER DE TEXTE
Contenu de la séance
👆 CLIC = copier pour Pronote</t>
        </is>
      </c>
      <c r="B28" s="199" t="inlineStr">
        <is>
          <t>Séance 1 : l'adresse IP — identité chiffrée des terminaux (relevé des adresses réelles de la salle). Cahier Nathan p.13-20.</t>
        </is>
      </c>
      <c r="C28" s="132" t="n"/>
      <c r="D28" s="132" t="n"/>
      <c r="E28" s="132" t="n"/>
      <c r="F28" s="132" t="n"/>
    </row>
    <row r="29" ht="39.75" customHeight="1" s="107">
      <c r="A29" s="198" t="inlineStr">
        <is>
          <t>📋 CAHIER DE TEXTE
Travail à faire
👆 CLIC = copier pour Pronote</t>
        </is>
      </c>
      <c r="B29" s="199" t="inlineStr">
        <is>
          <t>QCM réseaux en ligne, partie IP : https://pll-process.github.io/en-ligne-pour-le-cycle-4/theme-2-structure-fonctionnement-comportement/C4-decrire-et-caracteriser-lorganisation/4e/4e_C4.7/qcm_xxl_40_reseaux_ip_nfc_rfid_zigbee.html ≈ 15 min (choisir le mode ciblé).</t>
        </is>
      </c>
      <c r="C29" s="132" t="n"/>
      <c r="D29" s="132" t="n"/>
      <c r="E29" s="132" t="n"/>
      <c r="F29" s="132" t="n"/>
    </row>
    <row r="30" ht="15" customHeight="1" s="107">
      <c r="A30" s="200" t="inlineStr">
        <is>
          <t>Suivi enseignant</t>
        </is>
      </c>
      <c r="B30" s="201" t="inlineStr">
        <is>
          <t>Fait le : ____________</t>
        </is>
      </c>
      <c r="C30" s="202" t="inlineStr">
        <is>
          <t xml:space="preserve">Report / aléa / remarques : </t>
        </is>
      </c>
      <c r="D30" s="132" t="n"/>
      <c r="E30" s="132" t="n"/>
      <c r="F30" s="132" t="n"/>
    </row>
    <row r="32" ht="15" customHeight="1" s="107">
      <c r="A32" s="204" t="inlineStr">
        <is>
          <t>■ Séance 2 — semaine S18 — 🏫 En classe — Faire dialoguer deux terminaux (C4.7, C4.8)</t>
        </is>
      </c>
    </row>
    <row r="33" ht="27.75" customHeight="1" s="107">
      <c r="A33" s="186" t="inlineStr">
        <is>
          <t>Question directrice</t>
        </is>
      </c>
      <c r="B33" s="196" t="inlineStr">
        <is>
          <t>Que se passe-t-il exactement quand un poste « parle » à un autre ?</t>
        </is>
      </c>
      <c r="C33" s="132" t="n"/>
      <c r="D33" s="132" t="n"/>
      <c r="E33" s="132" t="n"/>
      <c r="F33" s="132" t="n"/>
    </row>
    <row r="34" ht="27.75" customHeight="1" s="107">
      <c r="A34" s="186" t="inlineStr">
        <is>
          <t>Activités &amp; supports</t>
        </is>
      </c>
      <c r="B34" s="196" t="inlineStr">
        <is>
          <t>Simulateur de réseau : construire un mini-réseau (2 postes, commutateur), configurer les IP, envoyer un message, observer le chemin.</t>
        </is>
      </c>
      <c r="C34" s="132" t="n"/>
      <c r="D34" s="132" t="n"/>
      <c r="E34" s="132" t="n"/>
      <c r="F34" s="132" t="n"/>
    </row>
    <row r="35" ht="27.75" customHeight="1" s="107">
      <c r="A35" s="186" t="inlineStr">
        <is>
          <t>Démarche / organisation</t>
        </is>
      </c>
      <c r="B35" s="196" t="inlineStr">
        <is>
          <t>Binômes au simulateur ; défi : faire échouer la communication (IP en double, mauvaise passerelle) puis réparer.</t>
        </is>
      </c>
      <c r="C35" s="132" t="n"/>
      <c r="D35" s="132" t="n"/>
      <c r="E35" s="132" t="n"/>
      <c r="F35" s="132" t="n"/>
    </row>
    <row r="36" ht="27.75" customHeight="1" s="107">
      <c r="A36" s="186" t="inlineStr">
        <is>
          <t>Bilan / trace écrite</t>
        </is>
      </c>
      <c r="B36" s="196" t="inlineStr">
        <is>
          <t>La communication exige des adresses cohérentes ; la simulation permet de VALIDER avant de câbler.</t>
        </is>
      </c>
      <c r="C36" s="132" t="n"/>
      <c r="D36" s="132" t="n"/>
      <c r="E36" s="132" t="n"/>
      <c r="F36" s="132" t="n"/>
    </row>
    <row r="37" ht="39.75" customHeight="1" s="107">
      <c r="A37" s="198" t="inlineStr">
        <is>
          <t>📋 CAHIER DE TEXTE
Contenu de la séance
👆 CLIC = copier pour Pronote</t>
        </is>
      </c>
      <c r="B37" s="199" t="inlineStr">
        <is>
          <t>Séance 2 : simulation de réseau — configuration des adresses IP et dialogue entre deux terminaux ; pannes provoquées et réparées.</t>
        </is>
      </c>
      <c r="C37" s="132" t="n"/>
      <c r="D37" s="132" t="n"/>
      <c r="E37" s="132" t="n"/>
      <c r="F37" s="132" t="n"/>
    </row>
    <row r="38" ht="39.75" customHeight="1" s="107">
      <c r="A38" s="198" t="inlineStr">
        <is>
          <t>📋 CAHIER DE TEXTE
Travail à faire
👆 CLIC = copier pour Pronote</t>
        </is>
      </c>
      <c r="B38" s="199" t="inlineStr">
        <is>
          <t>Refaire chez toi le mini-réseau au simulateur (lien ENT) OU schéma d'adressage papier à compléter. ≈ 20 min.</t>
        </is>
      </c>
      <c r="C38" s="132" t="n"/>
      <c r="D38" s="132" t="n"/>
      <c r="E38" s="132" t="n"/>
      <c r="F38" s="132" t="n"/>
    </row>
    <row r="39" ht="15" customHeight="1" s="107">
      <c r="A39" s="200" t="inlineStr">
        <is>
          <t>Suivi enseignant</t>
        </is>
      </c>
      <c r="B39" s="201" t="inlineStr">
        <is>
          <t>Fait le : ____________</t>
        </is>
      </c>
      <c r="C39" s="202" t="inlineStr">
        <is>
          <t xml:space="preserve">Report / aléa / remarques : </t>
        </is>
      </c>
      <c r="D39" s="132" t="n"/>
      <c r="E39" s="132" t="n"/>
      <c r="F39" s="132" t="n"/>
    </row>
    <row r="41" ht="15" customHeight="1" s="107">
      <c r="A41" s="204" t="inlineStr">
        <is>
          <t>■ Séance 3 — semaine S19 — 🔁 Hybride — Connecter l'objet (IoT) au réseau (C4.9)</t>
        </is>
      </c>
    </row>
    <row r="42" ht="27.75" customHeight="1" s="107">
      <c r="A42" s="186" t="inlineStr">
        <is>
          <t>Question directrice</t>
        </is>
      </c>
      <c r="B42" s="196" t="inlineStr">
        <is>
          <t>Comment le jardin envoie-t-il ses mesures au serveur ?</t>
        </is>
      </c>
      <c r="C42" s="132" t="n"/>
      <c r="D42" s="132" t="n"/>
      <c r="E42" s="132" t="n"/>
      <c r="F42" s="132" t="n"/>
    </row>
    <row r="43" ht="27.75" customHeight="1" s="107">
      <c r="A43" s="186" t="inlineStr">
        <is>
          <t>Activités &amp; supports</t>
        </is>
      </c>
      <c r="B43" s="196" t="inlineStr">
        <is>
          <t>Ajout d'un objet connecté au réseau simulé (VittaScience IoT / mBlock) : l'objet publie une mesure, un poste la consulte.</t>
        </is>
      </c>
      <c r="C43" s="132" t="n"/>
      <c r="D43" s="132" t="n"/>
      <c r="E43" s="132" t="n"/>
      <c r="F43" s="132" t="n"/>
    </row>
    <row r="44" ht="27.75" customHeight="1" s="107">
      <c r="A44" s="186" t="inlineStr">
        <is>
          <t>Démarche / organisation</t>
        </is>
      </c>
      <c r="B44" s="196" t="inlineStr">
        <is>
          <t>Démonstration + binômes ; poursuite à la maison en simulation.</t>
        </is>
      </c>
      <c r="C44" s="132" t="n"/>
      <c r="D44" s="132" t="n"/>
      <c r="E44" s="132" t="n"/>
      <c r="F44" s="132" t="n"/>
    </row>
    <row r="45" ht="27.75" customHeight="1" s="107">
      <c r="A45" s="186" t="inlineStr">
        <is>
          <t>Bilan / trace écrite</t>
        </is>
      </c>
      <c r="B45" s="196" t="inlineStr">
        <is>
          <t>Objet connecté = un terminal comme un autre : adresse, règles, dialogue.</t>
        </is>
      </c>
      <c r="C45" s="132" t="n"/>
      <c r="D45" s="132" t="n"/>
      <c r="E45" s="132" t="n"/>
      <c r="F45" s="132" t="n"/>
    </row>
    <row r="46" ht="39.75" customHeight="1" s="107">
      <c r="A46" s="198" t="inlineStr">
        <is>
          <t>📋 CAHIER DE TEXTE
Contenu de la séance
👆 CLIC = copier pour Pronote</t>
        </is>
      </c>
      <c r="B46" s="199" t="inlineStr">
        <is>
          <t>Séance 3 : connecter le jardin au réseau du collège (simulation IoT) — l'objet publie ses mesures, un poste les consulte.</t>
        </is>
      </c>
      <c r="C46" s="132" t="n"/>
      <c r="D46" s="132" t="n"/>
      <c r="E46" s="132" t="n"/>
      <c r="F46" s="132" t="n"/>
    </row>
    <row r="47" ht="39.75" customHeight="1" s="107">
      <c r="A47" s="198" t="inlineStr">
        <is>
          <t>📋 CAHIER DE TEXTE
Travail à faire
👆 CLIC = copier pour Pronote</t>
        </is>
      </c>
      <c r="B47" s="199" t="inlineStr">
        <is>
          <t>Terminer la simulation IoT commencée en classe (lien ENT). ≈ 20 min.</t>
        </is>
      </c>
      <c r="C47" s="132" t="n"/>
      <c r="D47" s="132" t="n"/>
      <c r="E47" s="132" t="n"/>
      <c r="F47" s="132" t="n"/>
    </row>
    <row r="48" ht="15" customHeight="1" s="107">
      <c r="A48" s="200" t="inlineStr">
        <is>
          <t>Suivi enseignant</t>
        </is>
      </c>
      <c r="B48" s="201" t="inlineStr">
        <is>
          <t>Fait le : ____________</t>
        </is>
      </c>
      <c r="C48" s="202" t="inlineStr">
        <is>
          <t xml:space="preserve">Report / aléa / remarques : </t>
        </is>
      </c>
      <c r="D48" s="132" t="n"/>
      <c r="E48" s="132" t="n"/>
      <c r="F48" s="132" t="n"/>
    </row>
    <row r="50" ht="15" customHeight="1" s="107">
      <c r="A50" s="204" t="inlineStr">
        <is>
          <t>■ Séance 4 — semaine S21 — 🏠 puis 🏫 — Bilan réseau + évaluation</t>
        </is>
      </c>
    </row>
    <row r="51" ht="27.75" customHeight="1" s="107">
      <c r="A51" s="186" t="inlineStr">
        <is>
          <t>Question directrice</t>
        </is>
      </c>
      <c r="B51" s="196" t="inlineStr">
        <is>
          <t>Où en suis-je sur C4.7, C4.8, C4.9 ?</t>
        </is>
      </c>
      <c r="C51" s="132" t="n"/>
      <c r="D51" s="132" t="n"/>
      <c r="E51" s="132" t="n"/>
      <c r="F51" s="132" t="n"/>
    </row>
    <row r="52" ht="27.75" customHeight="1" s="107">
      <c r="A52" s="186" t="inlineStr">
        <is>
          <t>Activités &amp; supports</t>
        </is>
      </c>
      <c r="B52" s="196" t="inlineStr">
        <is>
          <t>Correction du QCM fait à la maison ; évaluation : configurer et valider un petit réseau en simulation (repère du référentiel).</t>
        </is>
      </c>
      <c r="C52" s="132" t="n"/>
      <c r="D52" s="132" t="n"/>
      <c r="E52" s="132" t="n"/>
      <c r="F52" s="132" t="n"/>
    </row>
    <row r="53" ht="27.75" customHeight="1" s="107">
      <c r="A53" s="186" t="inlineStr">
        <is>
          <t>Démarche / organisation</t>
        </is>
      </c>
      <c r="B53" s="196" t="inlineStr">
        <is>
          <t>Évaluation pratique 40 min + bilan.</t>
        </is>
      </c>
      <c r="C53" s="132" t="n"/>
      <c r="D53" s="132" t="n"/>
      <c r="E53" s="132" t="n"/>
      <c r="F53" s="132" t="n"/>
    </row>
    <row r="54" ht="27.75" customHeight="1" s="107">
      <c r="A54" s="186" t="inlineStr">
        <is>
          <t>Bilan / trace écrite</t>
        </is>
      </c>
      <c r="B54" s="196" t="inlineStr">
        <is>
          <t>Synthèse distribuée.</t>
        </is>
      </c>
      <c r="C54" s="132" t="n"/>
      <c r="D54" s="132" t="n"/>
      <c r="E54" s="132" t="n"/>
      <c r="F54" s="132" t="n"/>
    </row>
    <row r="55" ht="39.75" customHeight="1" s="107">
      <c r="A55" s="198" t="inlineStr">
        <is>
          <t>📋 CAHIER DE TEXTE
Contenu de la séance
👆 CLIC = copier pour Pronote</t>
        </is>
      </c>
      <c r="B55" s="199" t="inlineStr">
        <is>
          <t>Séance 4 : évaluation pratique — configurer un mini-réseau en simulation et le valider ; bilan de la séquence.</t>
        </is>
      </c>
      <c r="C55" s="132" t="n"/>
      <c r="D55" s="132" t="n"/>
      <c r="E55" s="132" t="n"/>
      <c r="F55" s="132" t="n"/>
    </row>
    <row r="56" ht="39.75" customHeight="1" s="107">
      <c r="A56" s="198" t="inlineStr">
        <is>
          <t>📋 CAHIER DE TEXTE
Travail à faire
👆 CLIC = copier pour Pronote</t>
        </is>
      </c>
      <c r="B56" s="199" t="inlineStr">
        <is>
          <t>Fait avant la séance : rejouer le QCM réseaux (questions IP) : https://pll-process.github.io/en-ligne-pour-le-cycle-4/theme-2-structure-fonctionnement-comportement/C4-decrire-et-caracteriser-lorganisation/4e/4e_C4.7/qcm_xxl_40_reseaux_ip_nfc_rfid_zigbee.html ≈ 15 min. Après : rien.</t>
        </is>
      </c>
      <c r="C56" s="132" t="n"/>
      <c r="D56" s="132" t="n"/>
      <c r="E56" s="132" t="n"/>
      <c r="F56" s="132" t="n"/>
    </row>
    <row r="57" ht="15" customHeight="1" s="107">
      <c r="A57" s="200" t="inlineStr">
        <is>
          <t>Suivi enseignant</t>
        </is>
      </c>
      <c r="B57" s="201" t="inlineStr">
        <is>
          <t>Fait le : ____________</t>
        </is>
      </c>
      <c r="C57" s="202" t="inlineStr">
        <is>
          <t xml:space="preserve">Report / aléa / remarques : </t>
        </is>
      </c>
      <c r="D57" s="132" t="n"/>
      <c r="E57" s="132" t="n"/>
      <c r="F57" s="132" t="n"/>
    </row>
  </sheetData>
  <mergeCells count="45">
    <mergeCell ref="B4:F4"/>
    <mergeCell ref="A41:F41"/>
    <mergeCell ref="C48:F48"/>
    <mergeCell ref="B7:F7"/>
    <mergeCell ref="C39:F39"/>
    <mergeCell ref="B47:F47"/>
    <mergeCell ref="B54:F54"/>
    <mergeCell ref="B25:F25"/>
    <mergeCell ref="B46:F46"/>
    <mergeCell ref="A50:F50"/>
    <mergeCell ref="C57:F57"/>
    <mergeCell ref="B56:F56"/>
    <mergeCell ref="B27:F27"/>
    <mergeCell ref="B52:F52"/>
    <mergeCell ref="A2:F2"/>
    <mergeCell ref="B43:F43"/>
    <mergeCell ref="B12:F12"/>
    <mergeCell ref="B11:F11"/>
    <mergeCell ref="A23:F23"/>
    <mergeCell ref="A32:F32"/>
    <mergeCell ref="B42:F42"/>
    <mergeCell ref="C30:F30"/>
    <mergeCell ref="B14:F14"/>
    <mergeCell ref="B8:F8"/>
    <mergeCell ref="B13:F13"/>
    <mergeCell ref="B44:F44"/>
    <mergeCell ref="B53:F53"/>
    <mergeCell ref="B29:F29"/>
    <mergeCell ref="B38:F38"/>
    <mergeCell ref="B34:F34"/>
    <mergeCell ref="B10:F10"/>
    <mergeCell ref="B28:F28"/>
    <mergeCell ref="B37:F37"/>
    <mergeCell ref="B9:F9"/>
    <mergeCell ref="B55:F55"/>
    <mergeCell ref="B6:F6"/>
    <mergeCell ref="B24:F24"/>
    <mergeCell ref="B33:F33"/>
    <mergeCell ref="A1:F1"/>
    <mergeCell ref="B5:F5"/>
    <mergeCell ref="B51:F51"/>
    <mergeCell ref="B45:F45"/>
    <mergeCell ref="B36:F36"/>
    <mergeCell ref="B26:F26"/>
    <mergeCell ref="B35:F35"/>
  </mergeCells>
  <hyperlinks>
    <hyperlink xmlns:r="http://schemas.openxmlformats.org/officeDocument/2006/relationships" ref="E3" location="'🧭%20Progression'!A1" display="◀ Progression" r:id="rId1"/>
    <hyperlink xmlns:r="http://schemas.openxmlformats.org/officeDocument/2006/relationships" ref="F3" location="'🏠%20Accueil'!A1" display="◀ Accueil" r:id="rId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2E75B6"/>
    <outlinePr summaryBelow="1" summaryRight="1"/>
    <pageSetUpPr fitToPage="0"/>
  </sheetPr>
  <dimension ref="A1:F6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06" min="1" max="1"/>
    <col width="40" customWidth="1" style="106" min="2" max="4"/>
    <col width="30" customWidth="1" style="106" min="5" max="5"/>
    <col width="22" customWidth="1" style="106" min="6" max="6"/>
  </cols>
  <sheetData>
    <row r="1" ht="17.35" customHeight="1" s="107">
      <c r="A1" s="203" t="inlineStr">
        <is>
          <t>GÉNÉRATEUR DE SÉQUENCE 2024 — S6 · Réparer sans notice : diagnostic, pièce et programme</t>
        </is>
      </c>
    </row>
    <row r="2" ht="15" customHeight="1" s="107">
      <c r="A2" s="133" t="inlineStr">
        <is>
          <t>Thème 2 · P4 · 4 séances de 1 h 30 · Responsable : Fable (Th. 2) · Pré-rempli par Fable — 2 QCM ✅, séquence 🔜 · intègre le correctif 4e_C4.3</t>
        </is>
      </c>
    </row>
    <row r="3" ht="15" customHeight="1" s="107">
      <c r="E3" s="163" t="inlineStr">
        <is>
          <t>◀ Progression</t>
        </is>
      </c>
      <c r="F3" s="136" t="inlineStr">
        <is>
          <t>◀ Accueil</t>
        </is>
      </c>
    </row>
    <row r="4" ht="27.75" customHeight="1" s="107">
      <c r="A4" s="186" t="inlineStr">
        <is>
          <t>Problématique</t>
        </is>
      </c>
      <c r="B4" s="196" t="inlineStr">
        <is>
          <t>Comment diagnostiquer une panne sans protocole fourni, remplacer la pièce et corriger le programme ?</t>
        </is>
      </c>
      <c r="C4" s="132" t="n"/>
      <c r="D4" s="132" t="n"/>
      <c r="E4" s="132" t="n"/>
      <c r="F4" s="132" t="n"/>
    </row>
    <row r="5" ht="39" customHeight="1" s="107">
      <c r="A5" s="186" t="inlineStr">
        <is>
          <t>Situation déclenchante</t>
        </is>
      </c>
      <c r="B5" s="196" t="inlineStr">
        <is>
          <t>L'éclairage automatique du hall est en panne, sans notice ni SAV. Diagnostiquer, remplacer la pièce (et si elle n'existe plus : la refabriquer — quelle forme, quel procédé ?), corriger le programme.</t>
        </is>
      </c>
      <c r="C5" s="132" t="n"/>
      <c r="D5" s="132" t="n"/>
      <c r="E5" s="132" t="n"/>
      <c r="F5" s="132" t="n"/>
    </row>
    <row r="6" ht="27.75" customHeight="1" s="107">
      <c r="A6" s="186" t="inlineStr">
        <is>
          <t>Prérequis</t>
        </is>
      </c>
      <c r="B6" s="196" t="inlineStr">
        <is>
          <t>5e : panne visuelle + protocole fourni (SOS panne). Montée 4e : SANS notice, avec hypothèses.</t>
        </is>
      </c>
      <c r="C6" s="132" t="n"/>
      <c r="D6" s="132" t="n"/>
      <c r="E6" s="132" t="n"/>
      <c r="F6" s="132" t="n"/>
    </row>
    <row r="7" ht="39" customHeight="1" s="107">
      <c r="A7" s="186" t="inlineStr">
        <is>
          <t>Éléments pour la synthèse (objectifs)</t>
        </is>
      </c>
      <c r="B7" s="196" t="inlineStr">
        <is>
          <t>Vérifier l'ORIGINE d'un dysfonctionnement (hypothèses → tests) · remplacer sans protocole fourni · forme d'une pièce ↔ procédé de réalisation (C4.3) · analyser les données d'un programme, le compléter, le corriger et le tester.</t>
        </is>
      </c>
      <c r="C7" s="132" t="n"/>
      <c r="D7" s="132" t="n"/>
      <c r="E7" s="132" t="n"/>
      <c r="F7" s="132" t="n"/>
    </row>
    <row r="8" ht="27.75" customHeight="1" s="107">
      <c r="A8" s="186" t="inlineStr">
        <is>
          <t>Piste d'évaluation</t>
        </is>
      </c>
      <c r="B8" s="196" t="inlineStr">
        <is>
          <t>Repère du référentiel : rapport de diagnostic + programme corrigé. QCM existants (Éclairage automatique, Algorigrammes domotique). Sommative séance 4.</t>
        </is>
      </c>
      <c r="C8" s="132" t="n"/>
      <c r="D8" s="132" t="n"/>
      <c r="E8" s="132" t="n"/>
      <c r="F8" s="132" t="n"/>
    </row>
    <row r="9" ht="27.75" customHeight="1" s="107">
      <c r="A9" s="186" t="inlineStr">
        <is>
          <t>Domaines du socle mobilisés</t>
        </is>
      </c>
      <c r="B9" s="196" t="inlineStr">
        <is>
          <t>D1.3, D2, D3, D4, D5  (détail par code ci-dessous)</t>
        </is>
      </c>
      <c r="C9" s="132" t="n"/>
      <c r="D9" s="132" t="n"/>
      <c r="E9" s="132" t="n"/>
      <c r="F9" s="132" t="n"/>
    </row>
    <row r="10" ht="27.75" customHeight="1" s="107">
      <c r="A10" s="186" t="inlineStr">
        <is>
          <t>CRCN — compétences numériques (Pix)</t>
        </is>
      </c>
      <c r="B10" s="196" t="inlineStr">
        <is>
          <t>3.4 Programmer (Niv. 2-3 : compléter, corriger, tester) · 5.1 Résoudre des problèmes techniques (Niv. 2)</t>
        </is>
      </c>
      <c r="C10" s="132" t="n"/>
      <c r="D10" s="132" t="n"/>
      <c r="E10" s="132" t="n"/>
      <c r="F10" s="132" t="n"/>
    </row>
    <row r="11" ht="27.75" customHeight="1" s="107">
      <c r="A11" s="186" t="inlineStr">
        <is>
          <t>Versions 🅰 / 🅱 / 🅲</t>
        </is>
      </c>
      <c r="B11" s="196" t="inlineStr">
        <is>
          <t>🅰 objets réels en panne + impression 3D de la pièce · 🅱 simulateur de diagnostic (🔜, modèle 3e « SOS station ») · 🅲 étude de cas papier Nathan.</t>
        </is>
      </c>
      <c r="C11" s="132" t="n"/>
      <c r="D11" s="132" t="n"/>
      <c r="E11" s="132" t="n"/>
      <c r="F11" s="132" t="n"/>
    </row>
    <row r="12" ht="27.75" customHeight="1" s="107">
      <c r="A12" s="186" t="inlineStr">
        <is>
          <t>Liens EPI / parcours</t>
        </is>
      </c>
      <c r="B12" s="196" t="inlineStr">
        <is>
          <t>EDD (réparer plutôt que jeter, indice de réparabilité) · parcours Avenir (maintenance).</t>
        </is>
      </c>
      <c r="C12" s="132" t="n"/>
      <c r="D12" s="132" t="n"/>
      <c r="E12" s="132" t="n"/>
      <c r="F12" s="132" t="n"/>
    </row>
    <row r="13" ht="27.75" customHeight="1" s="107">
      <c r="A13" s="186" t="inlineStr">
        <is>
          <t>Cahier Nathan 4e</t>
        </is>
      </c>
      <c r="B13" s="196" t="inlineStr">
        <is>
          <t>Prob. 8 p.61-66 (prolonger la durée de vie) · Prob. 6 p.45-52 (programmer) · Prob. 4 p.29-36 (matériaux et formes → C4.3)</t>
        </is>
      </c>
      <c r="C13" s="132" t="n"/>
      <c r="D13" s="132" t="n"/>
      <c r="E13" s="132" t="n"/>
      <c r="F13" s="132" t="n"/>
    </row>
    <row r="14" ht="27.75" customHeight="1" s="107">
      <c r="A14" s="186" t="inlineStr">
        <is>
          <t>Ressources en ligne</t>
        </is>
      </c>
      <c r="B14" s="196" t="inlineStr">
        <is>
          <t>✅ Partiel : QCM « Éclairage automatique », « Algorigrammes domotique » (existants) · 🔜 séquence (Fable, sur le modèle 3e « SOS station »)</t>
        </is>
      </c>
      <c r="C14" s="132" t="n"/>
      <c r="D14" s="132" t="n"/>
      <c r="E14" s="132" t="n"/>
      <c r="F14" s="132" t="n"/>
    </row>
    <row r="16" ht="15" customHeight="1" s="107">
      <c r="A16" s="155" t="inlineStr">
        <is>
          <t>Compétences du programme 2024</t>
        </is>
      </c>
    </row>
    <row r="17" ht="15" customHeight="1" s="107">
      <c r="A17" s="137" t="inlineStr">
        <is>
          <t>Code</t>
        </is>
      </c>
      <c r="B17" s="137" t="inlineStr">
        <is>
          <t>Intitulé officiel</t>
        </is>
      </c>
      <c r="C17" s="137" t="inlineStr">
        <is>
          <t>Domaines du socle</t>
        </is>
      </c>
      <c r="D17" s="137" t="inlineStr">
        <is>
          <t>Travaillée en</t>
        </is>
      </c>
      <c r="E17" s="137" t="inlineStr">
        <is>
          <t>Évaluation LSU</t>
        </is>
      </c>
    </row>
    <row r="18" ht="30" customHeight="1" s="107">
      <c r="A18" s="180" t="inlineStr">
        <is>
          <t>4e_C5.1</t>
        </is>
      </c>
      <c r="B18" s="142" t="inlineStr">
        <is>
          <t>Proposer un protocole permettant de vérifier l’origine d’un dysfonctionnement.</t>
        </is>
      </c>
      <c r="C18" s="142" t="inlineStr">
        <is>
          <t>D1.3, D2, D4</t>
        </is>
      </c>
      <c r="D18" s="142" t="inlineStr">
        <is>
          <t>Séance 1</t>
        </is>
      </c>
      <c r="E18" s="142" t="inlineStr">
        <is>
          <t>Formative → LSU</t>
        </is>
      </c>
    </row>
    <row r="19" ht="30" customHeight="1" s="107">
      <c r="A19" s="180" t="inlineStr">
        <is>
          <t>4e_C5.2</t>
        </is>
      </c>
      <c r="B19" s="142" t="inlineStr">
        <is>
          <t>Remplacer une pièce défectueuse sans protocole fourni (la pièce de remplacement étant fournie).</t>
        </is>
      </c>
      <c r="C19" s="142" t="inlineStr">
        <is>
          <t>D2, D3, D4</t>
        </is>
      </c>
      <c r="D19" s="142" t="inlineStr">
        <is>
          <t>Séances 1-2</t>
        </is>
      </c>
      <c r="E19" s="142" t="inlineStr">
        <is>
          <t>Rapport de diagnostic → LSU</t>
        </is>
      </c>
    </row>
    <row r="20" ht="30" customHeight="1" s="107">
      <c r="A20" s="180" t="inlineStr">
        <is>
          <t>4e_C5.3</t>
        </is>
      </c>
      <c r="B20" s="142" t="inlineStr">
        <is>
          <t>Choisir les procédés de réalisation et les mettre en œuvre.</t>
        </is>
      </c>
      <c r="C20" s="142" t="inlineStr">
        <is>
          <t>D2, D3, D4</t>
        </is>
      </c>
      <c r="D20" s="142" t="inlineStr">
        <is>
          <t>Séance 2</t>
        </is>
      </c>
      <c r="E20" s="142" t="inlineStr">
        <is>
          <t>Formative → LSU</t>
        </is>
      </c>
    </row>
    <row r="21" ht="30" customHeight="1" s="107">
      <c r="A21" s="180" t="inlineStr">
        <is>
          <t>4e_C4.3</t>
        </is>
      </c>
      <c r="B21" s="142" t="inlineStr">
        <is>
          <t>Mettre en relation la forme d’une pièce avec le procédé de réalisation.</t>
        </is>
      </c>
      <c r="C21" s="142" t="inlineStr">
        <is>
          <t>D3, D4, D5</t>
        </is>
      </c>
      <c r="D21" s="142" t="inlineStr">
        <is>
          <t>Séance 2</t>
        </is>
      </c>
      <c r="E21" s="142" t="inlineStr">
        <is>
          <t>Choix forme/procédé justifié → LSU (correctif : code réintégré)</t>
        </is>
      </c>
    </row>
    <row r="22" ht="30" customHeight="1" s="107">
      <c r="A22" s="180" t="inlineStr">
        <is>
          <t>4e_C6.1</t>
        </is>
      </c>
      <c r="B22" s="142" t="inlineStr">
        <is>
          <t>Analyser les données et en déduire des modifications à apporter au programme.</t>
        </is>
      </c>
      <c r="C22" s="142" t="inlineStr">
        <is>
          <t>D1.3, D2, D4</t>
        </is>
      </c>
      <c r="D22" s="142" t="inlineStr">
        <is>
          <t>Séance 3</t>
        </is>
      </c>
      <c r="E22" s="142" t="inlineStr">
        <is>
          <t>Formative → LSU</t>
        </is>
      </c>
    </row>
    <row r="23" ht="30" customHeight="1" s="107">
      <c r="A23" s="180" t="inlineStr">
        <is>
          <t>4e_C6.2</t>
        </is>
      </c>
      <c r="B23" s="142" t="inlineStr">
        <is>
          <t>Compléter un programme pour répondre à une fonctionnalité d’un OST.</t>
        </is>
      </c>
      <c r="C23" s="142" t="inlineStr">
        <is>
          <t>D1.3, D2, D4</t>
        </is>
      </c>
      <c r="D23" s="142" t="inlineStr">
        <is>
          <t>Séance 3</t>
        </is>
      </c>
      <c r="E23" s="142" t="inlineStr">
        <is>
          <t>Programme complété → LSU</t>
        </is>
      </c>
    </row>
    <row r="24" ht="30" customHeight="1" s="107">
      <c r="A24" s="180" t="inlineStr">
        <is>
          <t>4e_C6.3</t>
        </is>
      </c>
      <c r="B24" s="142" t="inlineStr">
        <is>
          <t>Tester et valider, dans un environnement simulé ou réel, une modification du programme.</t>
        </is>
      </c>
      <c r="C24" s="142" t="inlineStr">
        <is>
          <t>D1.3, D2, D4</t>
        </is>
      </c>
      <c r="D24" s="142" t="inlineStr">
        <is>
          <t>Séances 3-4</t>
        </is>
      </c>
      <c r="E24" s="142" t="inlineStr">
        <is>
          <t>Programme corrigé testé → LSU</t>
        </is>
      </c>
    </row>
    <row r="26" ht="15" customHeight="1" s="107">
      <c r="A26" s="155" t="inlineStr">
        <is>
          <t>Déroulé, séance par séance — avec cahier de texte Pronote prêt à coller</t>
        </is>
      </c>
    </row>
    <row r="27" ht="15" customHeight="1" s="107">
      <c r="A27" s="204" t="inlineStr">
        <is>
          <t>■ Séance 1 — semaine S22 — 🏫 En classe — Diagnostiquer sans notice (C5.1, C5.2)</t>
        </is>
      </c>
    </row>
    <row r="28" ht="27.75" customHeight="1" s="107">
      <c r="A28" s="186" t="inlineStr">
        <is>
          <t>Question directrice</t>
        </is>
      </c>
      <c r="B28" s="196" t="inlineStr">
        <is>
          <t>Par où commencer quand rien n'est fourni ?</t>
        </is>
      </c>
      <c r="C28" s="132" t="n"/>
      <c r="D28" s="132" t="n"/>
      <c r="E28" s="132" t="n"/>
      <c r="F28" s="132" t="n"/>
    </row>
    <row r="29" ht="27.75" customHeight="1" s="107">
      <c r="A29" s="186" t="inlineStr">
        <is>
          <t>Activités &amp; supports</t>
        </is>
      </c>
      <c r="B29" s="196" t="inlineStr">
        <is>
          <t>Objets en panne non documentés : hypothèses, tests ordonnés (alimentation → capteur → carte → actionneur), localisation. Nathan Prob. 8 p.61-66.</t>
        </is>
      </c>
      <c r="C29" s="132" t="n"/>
      <c r="D29" s="132" t="n"/>
      <c r="E29" s="132" t="n"/>
      <c r="F29" s="132" t="n"/>
    </row>
    <row r="30" ht="27.75" customHeight="1" s="107">
      <c r="A30" s="186" t="inlineStr">
        <is>
          <t>Démarche / organisation</t>
        </is>
      </c>
      <c r="B30" s="196" t="inlineStr">
        <is>
          <t>Résolution de problème en îlots ; grille d'hypothèses.</t>
        </is>
      </c>
      <c r="C30" s="132" t="n"/>
      <c r="D30" s="132" t="n"/>
      <c r="E30" s="132" t="n"/>
      <c r="F30" s="132" t="n"/>
    </row>
    <row r="31" ht="27.75" customHeight="1" s="107">
      <c r="A31" s="186" t="inlineStr">
        <is>
          <t>Bilan / trace écrite</t>
        </is>
      </c>
      <c r="B31" s="196" t="inlineStr">
        <is>
          <t>Démarche : observer → hypothèses → tester DANS L'ORDRE → conclure.</t>
        </is>
      </c>
      <c r="C31" s="132" t="n"/>
      <c r="D31" s="132" t="n"/>
      <c r="E31" s="132" t="n"/>
      <c r="F31" s="132" t="n"/>
    </row>
    <row r="32" ht="39.75" customHeight="1" s="107">
      <c r="A32" s="198" t="inlineStr">
        <is>
          <t>📋 CAHIER DE TEXTE
Contenu de la séance
👆 CLIC = copier pour Pronote</t>
        </is>
      </c>
      <c r="B32" s="199" t="inlineStr">
        <is>
          <t>Séance 1 : diagnostiquer une panne SANS notice — hypothèses et tests ordonnés (objets réels). Cahier Nathan p.61-66.</t>
        </is>
      </c>
      <c r="C32" s="132" t="n"/>
      <c r="D32" s="132" t="n"/>
      <c r="E32" s="132" t="n"/>
      <c r="F32" s="132" t="n"/>
    </row>
    <row r="33" ht="39.75" customHeight="1" s="107">
      <c r="A33" s="198" t="inlineStr">
        <is>
          <t>📋 CAHIER DE TEXTE
Travail à faire
👆 CLIC = copier pour Pronote</t>
        </is>
      </c>
      <c r="B33" s="199" t="inlineStr">
        <is>
          <t>Compléter la grille d'hypothèses du cas étudié ; lire Nathan p.62-63. ≈ 15 min.</t>
        </is>
      </c>
      <c r="C33" s="132" t="n"/>
      <c r="D33" s="132" t="n"/>
      <c r="E33" s="132" t="n"/>
      <c r="F33" s="132" t="n"/>
    </row>
    <row r="34" ht="15" customHeight="1" s="107">
      <c r="A34" s="200" t="inlineStr">
        <is>
          <t>Suivi enseignant</t>
        </is>
      </c>
      <c r="B34" s="201" t="inlineStr">
        <is>
          <t>Fait le : ____________</t>
        </is>
      </c>
      <c r="C34" s="202" t="inlineStr">
        <is>
          <t xml:space="preserve">Report / aléa / remarques : </t>
        </is>
      </c>
      <c r="D34" s="132" t="n"/>
      <c r="E34" s="132" t="n"/>
      <c r="F34" s="132" t="n"/>
    </row>
    <row r="36" ht="15" customHeight="1" s="107">
      <c r="A36" s="204" t="inlineStr">
        <is>
          <t>■ Séance 2 — semaine S23 — 🏫 En classe — Remplacer la pièce : forme et procédé (C5.3, C4.3)</t>
        </is>
      </c>
    </row>
    <row r="37" ht="27.75" customHeight="1" s="107">
      <c r="A37" s="186" t="inlineStr">
        <is>
          <t>Question directrice</t>
        </is>
      </c>
      <c r="B37" s="196" t="inlineStr">
        <is>
          <t>La pièce n'existe plus : quelle forme lui donner, comment la fabriquer ?</t>
        </is>
      </c>
      <c r="C37" s="132" t="n"/>
      <c r="D37" s="132" t="n"/>
      <c r="E37" s="132" t="n"/>
      <c r="F37" s="132" t="n"/>
    </row>
    <row r="38" ht="39" customHeight="1" s="107">
      <c r="A38" s="186" t="inlineStr">
        <is>
          <t>Activités &amp; supports</t>
        </is>
      </c>
      <c r="B38" s="196" t="inlineStr">
        <is>
          <t>Relier la FORME de la pièce de remplacement au PROCÉDÉ (impression 3D : formes complexes ; découpe : formes planes ; pliage…). Choix justifié + lancement d'impression. Nathan Prob. 4 p.29-36.</t>
        </is>
      </c>
      <c r="C38" s="132" t="n"/>
      <c r="D38" s="132" t="n"/>
      <c r="E38" s="132" t="n"/>
      <c r="F38" s="132" t="n"/>
    </row>
    <row r="39" ht="27.75" customHeight="1" s="107">
      <c r="A39" s="186" t="inlineStr">
        <is>
          <t>Démarche / organisation</t>
        </is>
      </c>
      <c r="B39" s="196" t="inlineStr">
        <is>
          <t>Binômes ; abaque forme↔procédé fournie.</t>
        </is>
      </c>
      <c r="C39" s="132" t="n"/>
      <c r="D39" s="132" t="n"/>
      <c r="E39" s="132" t="n"/>
      <c r="F39" s="132" t="n"/>
    </row>
    <row r="40" ht="27.75" customHeight="1" s="107">
      <c r="A40" s="186" t="inlineStr">
        <is>
          <t>Bilan / trace écrite</t>
        </is>
      </c>
      <c r="B40" s="196" t="inlineStr">
        <is>
          <t>Une forme n'est pas gratuite : elle dépend du procédé — et réciproquement (correctif C4.3 réintégré ici).</t>
        </is>
      </c>
      <c r="C40" s="132" t="n"/>
      <c r="D40" s="132" t="n"/>
      <c r="E40" s="132" t="n"/>
      <c r="F40" s="132" t="n"/>
    </row>
    <row r="41" ht="39.75" customHeight="1" s="107">
      <c r="A41" s="198" t="inlineStr">
        <is>
          <t>📋 CAHIER DE TEXTE
Contenu de la séance
👆 CLIC = copier pour Pronote</t>
        </is>
      </c>
      <c r="B41" s="199" t="inlineStr">
        <is>
          <t>Séance 2 : remplacer la pièce — relier sa forme au procédé de fabrication (impression 3D / découpe), choix justifié. Nathan p.29-36.</t>
        </is>
      </c>
      <c r="C41" s="132" t="n"/>
      <c r="D41" s="132" t="n"/>
      <c r="E41" s="132" t="n"/>
      <c r="F41" s="132" t="n"/>
    </row>
    <row r="42" ht="39.75" customHeight="1" s="107">
      <c r="A42" s="198" t="inlineStr">
        <is>
          <t>📋 CAHIER DE TEXTE
Travail à faire
👆 CLIC = copier pour Pronote</t>
        </is>
      </c>
      <c r="B42" s="199" t="inlineStr">
        <is>
          <t>Terminer la justification écrite du choix forme/procédé. ≈ 10 min.</t>
        </is>
      </c>
      <c r="C42" s="132" t="n"/>
      <c r="D42" s="132" t="n"/>
      <c r="E42" s="132" t="n"/>
      <c r="F42" s="132" t="n"/>
    </row>
    <row r="43" ht="15" customHeight="1" s="107">
      <c r="A43" s="200" t="inlineStr">
        <is>
          <t>Suivi enseignant</t>
        </is>
      </c>
      <c r="B43" s="201" t="inlineStr">
        <is>
          <t>Fait le : ____________</t>
        </is>
      </c>
      <c r="C43" s="202" t="inlineStr">
        <is>
          <t xml:space="preserve">Report / aléa / remarques : </t>
        </is>
      </c>
      <c r="D43" s="132" t="n"/>
      <c r="E43" s="132" t="n"/>
      <c r="F43" s="132" t="n"/>
    </row>
    <row r="45" ht="15" customHeight="1" s="107">
      <c r="A45" s="204" t="inlineStr">
        <is>
          <t>■ Séance 3 — semaine S24 — 🏫 En classe — Corriger le programme (C6.1, C6.2)</t>
        </is>
      </c>
    </row>
    <row r="46" ht="27.75" customHeight="1" s="107">
      <c r="A46" s="186" t="inlineStr">
        <is>
          <t>Question directrice</t>
        </is>
      </c>
      <c r="B46" s="196" t="inlineStr">
        <is>
          <t>La pièce est réparée mais l'objet déraille encore : et si c'était le programme ?</t>
        </is>
      </c>
      <c r="C46" s="132" t="n"/>
      <c r="D46" s="132" t="n"/>
      <c r="E46" s="132" t="n"/>
      <c r="F46" s="132" t="n"/>
    </row>
    <row r="47" ht="51.75" customHeight="1" s="107">
      <c r="A47" s="186" t="inlineStr">
        <is>
          <t>Activités &amp; supports</t>
        </is>
      </c>
      <c r="B47" s="196" t="inlineStr">
        <is>
          <t>Analyser les données du programme de l'éclairage, compléter les blocs manquants, corriger l'erreur. QCM « Algorigrammes domotique » : https://pll-process.github.io/en-ligne-pour-le-cycle-4/theme-2-structure-fonctionnement-comportement/C6-comprendre-et-modifier-un-programme-associe/4e/4e_C6.2/qcm_algorigrammes_domotique.html</t>
        </is>
      </c>
      <c r="C47" s="132" t="n"/>
      <c r="D47" s="132" t="n"/>
      <c r="E47" s="132" t="n"/>
      <c r="F47" s="132" t="n"/>
    </row>
    <row r="48" ht="27.75" customHeight="1" s="107">
      <c r="A48" s="186" t="inlineStr">
        <is>
          <t>Démarche / organisation</t>
        </is>
      </c>
      <c r="B48" s="196" t="inlineStr">
        <is>
          <t>Binômes sur postes (VittaScience/mBlock).</t>
        </is>
      </c>
      <c r="C48" s="132" t="n"/>
      <c r="D48" s="132" t="n"/>
      <c r="E48" s="132" t="n"/>
      <c r="F48" s="132" t="n"/>
    </row>
    <row r="49" ht="27.75" customHeight="1" s="107">
      <c r="A49" s="186" t="inlineStr">
        <is>
          <t>Bilan / trace écrite</t>
        </is>
      </c>
      <c r="B49" s="196" t="inlineStr">
        <is>
          <t>Données utilisées/produites ; compléter ≠ réécrire : on respecte la structure.</t>
        </is>
      </c>
      <c r="C49" s="132" t="n"/>
      <c r="D49" s="132" t="n"/>
      <c r="E49" s="132" t="n"/>
      <c r="F49" s="132" t="n"/>
    </row>
    <row r="50" ht="39.75" customHeight="1" s="107">
      <c r="A50" s="198" t="inlineStr">
        <is>
          <t>📋 CAHIER DE TEXTE
Contenu de la séance
👆 CLIC = copier pour Pronote</t>
        </is>
      </c>
      <c r="B50" s="199" t="inlineStr">
        <is>
          <t>Séance 3 : corriger le programme de l'éclairage automatique (données, blocs manquants, erreur corrigée).</t>
        </is>
      </c>
      <c r="C50" s="132" t="n"/>
      <c r="D50" s="132" t="n"/>
      <c r="E50" s="132" t="n"/>
      <c r="F50" s="132" t="n"/>
    </row>
    <row r="51" ht="39.75" customHeight="1" s="107">
      <c r="A51" s="198" t="inlineStr">
        <is>
          <t>📋 CAHIER DE TEXTE
Travail à faire
👆 CLIC = copier pour Pronote</t>
        </is>
      </c>
      <c r="B51" s="199" t="inlineStr">
        <is>
          <t>QCM « Algorigrammes domotique » : https://pll-process.github.io/en-ligne-pour-le-cycle-4/theme-2-structure-fonctionnement-comportement/C6-comprendre-et-modifier-un-programme-associe/4e/4e_C6.2/qcm_algorigrammes_domotique.html ≈ 15 min, corrections incluses.</t>
        </is>
      </c>
      <c r="C51" s="132" t="n"/>
      <c r="D51" s="132" t="n"/>
      <c r="E51" s="132" t="n"/>
      <c r="F51" s="132" t="n"/>
    </row>
    <row r="52" ht="15" customHeight="1" s="107">
      <c r="A52" s="200" t="inlineStr">
        <is>
          <t>Suivi enseignant</t>
        </is>
      </c>
      <c r="B52" s="201" t="inlineStr">
        <is>
          <t>Fait le : ____________</t>
        </is>
      </c>
      <c r="C52" s="202" t="inlineStr">
        <is>
          <t xml:space="preserve">Report / aléa / remarques : </t>
        </is>
      </c>
      <c r="D52" s="132" t="n"/>
      <c r="E52" s="132" t="n"/>
      <c r="F52" s="132" t="n"/>
    </row>
    <row r="54" ht="15" customHeight="1" s="107">
      <c r="A54" s="204" t="inlineStr">
        <is>
          <t>■ Séance 4 — semaine S25 — 🔁 Hybride — Tester, prouver, rendre compte (C6.3)</t>
        </is>
      </c>
    </row>
    <row r="55" ht="27.75" customHeight="1" s="107">
      <c r="A55" s="186" t="inlineStr">
        <is>
          <t>Question directrice</t>
        </is>
      </c>
      <c r="B55" s="196" t="inlineStr">
        <is>
          <t>Comment PROUVER que la réparation complète fonctionne ?</t>
        </is>
      </c>
      <c r="C55" s="132" t="n"/>
      <c r="D55" s="132" t="n"/>
      <c r="E55" s="132" t="n"/>
      <c r="F55" s="132" t="n"/>
    </row>
    <row r="56" ht="51.75" customHeight="1" s="107">
      <c r="A56" s="186" t="inlineStr">
        <is>
          <t>Activités &amp; supports</t>
        </is>
      </c>
      <c r="B56" s="196" t="inlineStr">
        <is>
          <t>Plan de tests du programme corrigé ; rédaction du rapport de diagnostic (repère du référentiel) ; QCM « Éclairage automatique » à la maison : https://pll-process.github.io/en-ligne-pour-le-cycle-4/theme-2-structure-fonctionnement-comportement/C6-comprendre-et-modifier-un-programme-associe/4e/4e_C6.2/qcm_eclairage_automatique.html</t>
        </is>
      </c>
      <c r="C56" s="132" t="n"/>
      <c r="D56" s="132" t="n"/>
      <c r="E56" s="132" t="n"/>
      <c r="F56" s="132" t="n"/>
    </row>
    <row r="57" ht="27.75" customHeight="1" s="107">
      <c r="A57" s="186" t="inlineStr">
        <is>
          <t>Démarche / organisation</t>
        </is>
      </c>
      <c r="B57" s="196" t="inlineStr">
        <is>
          <t>Individuel (rapport) + tests en binômes ; évaluation sommative courte.</t>
        </is>
      </c>
      <c r="C57" s="132" t="n"/>
      <c r="D57" s="132" t="n"/>
      <c r="E57" s="132" t="n"/>
      <c r="F57" s="132" t="n"/>
    </row>
    <row r="58" ht="27.75" customHeight="1" s="107">
      <c r="A58" s="186" t="inlineStr">
        <is>
          <t>Bilan / trace écrite</t>
        </is>
      </c>
      <c r="B58" s="196" t="inlineStr">
        <is>
          <t>Un rapport dit : symptôme, cause PROUVÉE, intervention, test final.</t>
        </is>
      </c>
      <c r="C58" s="132" t="n"/>
      <c r="D58" s="132" t="n"/>
      <c r="E58" s="132" t="n"/>
      <c r="F58" s="132" t="n"/>
    </row>
    <row r="59" ht="39.75" customHeight="1" s="107">
      <c r="A59" s="198" t="inlineStr">
        <is>
          <t>📋 CAHIER DE TEXTE
Contenu de la séance
👆 CLIC = copier pour Pronote</t>
        </is>
      </c>
      <c r="B59" s="199" t="inlineStr">
        <is>
          <t>Séance 4 : tester le programme corrigé et rédiger le rapport de diagnostic complet ; évaluation.</t>
        </is>
      </c>
      <c r="C59" s="132" t="n"/>
      <c r="D59" s="132" t="n"/>
      <c r="E59" s="132" t="n"/>
      <c r="F59" s="132" t="n"/>
    </row>
    <row r="60" ht="39.75" customHeight="1" s="107">
      <c r="A60" s="198" t="inlineStr">
        <is>
          <t>📋 CAHIER DE TEXTE
Travail à faire
👆 CLIC = copier pour Pronote</t>
        </is>
      </c>
      <c r="B60" s="199" t="inlineStr">
        <is>
          <t>Fait avant la séance : QCM « Éclairage automatique » : https://pll-process.github.io/en-ligne-pour-le-cycle-4/theme-2-structure-fonctionnement-comportement/C6-comprendre-et-modifier-un-programme-associe/4e/4e_C6.2/qcm_eclairage_automatique.html ≈ 15 min. Après : rien.</t>
        </is>
      </c>
      <c r="C60" s="132" t="n"/>
      <c r="D60" s="132" t="n"/>
      <c r="E60" s="132" t="n"/>
      <c r="F60" s="132" t="n"/>
    </row>
    <row r="61" ht="15" customHeight="1" s="107">
      <c r="A61" s="200" t="inlineStr">
        <is>
          <t>Suivi enseignant</t>
        </is>
      </c>
      <c r="B61" s="201" t="inlineStr">
        <is>
          <t>Fait le : ____________</t>
        </is>
      </c>
      <c r="C61" s="202" t="inlineStr">
        <is>
          <t xml:space="preserve">Report / aléa / remarques : </t>
        </is>
      </c>
      <c r="D61" s="132" t="n"/>
      <c r="E61" s="132" t="n"/>
      <c r="F61" s="132" t="n"/>
    </row>
  </sheetData>
  <mergeCells count="45">
    <mergeCell ref="B4:F4"/>
    <mergeCell ref="C52:F52"/>
    <mergeCell ref="A54:F54"/>
    <mergeCell ref="B7:F7"/>
    <mergeCell ref="C61:F61"/>
    <mergeCell ref="B47:F47"/>
    <mergeCell ref="B59:F59"/>
    <mergeCell ref="A27:F27"/>
    <mergeCell ref="B31:F31"/>
    <mergeCell ref="B46:F46"/>
    <mergeCell ref="B58:F58"/>
    <mergeCell ref="B56:F56"/>
    <mergeCell ref="A2:F2"/>
    <mergeCell ref="B12:F12"/>
    <mergeCell ref="B39:F39"/>
    <mergeCell ref="B48:F48"/>
    <mergeCell ref="B11:F11"/>
    <mergeCell ref="C34:F34"/>
    <mergeCell ref="B42:F42"/>
    <mergeCell ref="B60:F60"/>
    <mergeCell ref="B14:F14"/>
    <mergeCell ref="B8:F8"/>
    <mergeCell ref="B13:F13"/>
    <mergeCell ref="B57:F57"/>
    <mergeCell ref="B29:F29"/>
    <mergeCell ref="B38:F38"/>
    <mergeCell ref="B10:F10"/>
    <mergeCell ref="B28:F28"/>
    <mergeCell ref="B37:F37"/>
    <mergeCell ref="B40:F40"/>
    <mergeCell ref="B9:F9"/>
    <mergeCell ref="B49:F49"/>
    <mergeCell ref="B30:F30"/>
    <mergeCell ref="B55:F55"/>
    <mergeCell ref="B6:F6"/>
    <mergeCell ref="A36:F36"/>
    <mergeCell ref="B33:F33"/>
    <mergeCell ref="A1:F1"/>
    <mergeCell ref="C43:F43"/>
    <mergeCell ref="A45:F45"/>
    <mergeCell ref="B5:F5"/>
    <mergeCell ref="B51:F51"/>
    <mergeCell ref="B32:F32"/>
    <mergeCell ref="B50:F50"/>
    <mergeCell ref="B41:F41"/>
  </mergeCells>
  <hyperlinks>
    <hyperlink xmlns:r="http://schemas.openxmlformats.org/officeDocument/2006/relationships" ref="E3" location="'🧭%20Progression'!A1" display="◀ Progression" r:id="rId1"/>
    <hyperlink xmlns:r="http://schemas.openxmlformats.org/officeDocument/2006/relationships" ref="F3" location="'🏠%20Accueil'!A1" display="◀ Accueil" r:id="rId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538135"/>
    <outlinePr summaryBelow="1" summaryRight="1"/>
    <pageSetUpPr fitToPage="0"/>
  </sheetPr>
  <dimension ref="A1:F8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106" min="1" max="1"/>
    <col width="40" customWidth="1" style="106" min="2" max="4"/>
    <col width="30" customWidth="1" style="106" min="5" max="5"/>
    <col width="22" customWidth="1" style="106" min="6" max="6"/>
  </cols>
  <sheetData>
    <row r="1" ht="17.35" customHeight="1" s="107">
      <c r="A1" s="205" t="inlineStr">
        <is>
          <t>GÉNÉRATEUR DE SÉQUENCE 2024 — S7 · Projet : ajouter une nouvelle fonction à un objet connecté</t>
        </is>
      </c>
    </row>
    <row r="2" ht="15" customHeight="1" s="107">
      <c r="A2" s="133" t="inlineStr">
        <is>
          <t>Thème 3 · P4/P5 · 6 séances de 1 h 30 · Responsable : IA Thème 3 · CANEVAS À REMPLIR par IA Thème 3 (règle : l'IA du thème est seule à modifier)</t>
        </is>
      </c>
    </row>
    <row r="3" ht="15" customHeight="1" s="107">
      <c r="E3" s="163" t="inlineStr">
        <is>
          <t>◀ Progression</t>
        </is>
      </c>
      <c r="F3" s="136" t="inlineStr">
        <is>
          <t>◀ Accueil</t>
        </is>
      </c>
    </row>
    <row r="4" ht="27.75" customHeight="1" s="107">
      <c r="A4" s="190" t="inlineStr">
        <is>
          <t>Problématique</t>
        </is>
      </c>
      <c r="B4" s="196" t="inlineStr">
        <is>
          <t>Comment concevoir, réaliser et programmer une nouvelle fonctionnalité ?</t>
        </is>
      </c>
      <c r="C4" s="132" t="n"/>
      <c r="D4" s="132" t="n"/>
      <c r="E4" s="132" t="n"/>
      <c r="F4" s="132" t="n"/>
    </row>
    <row r="5" ht="27.75" customHeight="1" s="107">
      <c r="A5" s="190" t="inlineStr">
        <is>
          <t>Situation déclenchante</t>
        </is>
      </c>
      <c r="B5" s="196" t="inlineStr">
        <is>
          <t>Le collège possède déjà un jardin connecté (ou un système similaire). On souhaite lui ajouter une nouvelle fonction (alerte de niveau d'eau, mode économie, indicateur de qualité…). Les élèves doivent concevoir, valider et programmer cette nouvelle fonction.</t>
        </is>
      </c>
      <c r="C5" s="132" t="n"/>
      <c r="D5" s="132" t="n"/>
      <c r="E5" s="132" t="n"/>
      <c r="F5" s="132" t="n"/>
    </row>
    <row r="6" ht="27.75" customHeight="1" s="107">
      <c r="A6" s="190" t="inlineStr">
        <is>
          <t>Prérequis</t>
        </is>
      </c>
      <c r="B6" s="196" t="inlineStr">
        <is>
          <t>Séquences 4e_C6 (jardin connecté), notions de conception (C7) et de validation (C8).</t>
        </is>
      </c>
      <c r="C6" s="132" t="n"/>
      <c r="D6" s="132" t="n"/>
      <c r="E6" s="132" t="n"/>
      <c r="F6" s="132" t="n"/>
    </row>
    <row r="7" ht="27.75" customHeight="1" s="107">
      <c r="A7" s="190" t="inlineStr">
        <is>
          <t>Éléments pour la synthèse (objectifs)</t>
        </is>
      </c>
      <c r="B7" s="196" t="inlineStr">
        <is>
          <t>Analyser un besoin, concevoir une solution, écrire un protocole de validation, réaliser les tests, programmer la nouvelle fonction, documenter.</t>
        </is>
      </c>
      <c r="C7" s="132" t="n"/>
      <c r="D7" s="132" t="n"/>
      <c r="E7" s="132" t="n"/>
      <c r="F7" s="132" t="n"/>
    </row>
    <row r="8" ht="27.75" customHeight="1" s="107">
      <c r="A8" s="190" t="inlineStr">
        <is>
          <t>Piste d'évaluation</t>
        </is>
      </c>
      <c r="B8" s="196" t="inlineStr">
        <is>
          <t>Revue de projet + prototype fonctionnel + programme</t>
        </is>
      </c>
      <c r="C8" s="132" t="n"/>
      <c r="D8" s="132" t="n"/>
      <c r="E8" s="132" t="n"/>
      <c r="F8" s="132" t="n"/>
    </row>
    <row r="9" ht="27.75" customHeight="1" s="107">
      <c r="A9" s="190" t="inlineStr">
        <is>
          <t>Domaines du socle mobilisés</t>
        </is>
      </c>
      <c r="B9" s="196" t="inlineStr">
        <is>
          <t>D1.3, D2, D3, D4, D5  (détail par code ci-dessous)</t>
        </is>
      </c>
      <c r="C9" s="132" t="n"/>
      <c r="D9" s="132" t="n"/>
      <c r="E9" s="132" t="n"/>
      <c r="F9" s="132" t="n"/>
    </row>
    <row r="10" ht="27.75" customHeight="1" s="107">
      <c r="A10" s="190" t="inlineStr">
        <is>
          <t>CRCN — compétences numériques (Pix)</t>
        </is>
      </c>
      <c r="B10" s="196" t="inlineStr">
        <is>
          <t>3.4 Programmer (Niv. 2-3) · 2.3 Collaborer (Niv. 2) · 3.2 Documents visuels (Niv. 2)</t>
        </is>
      </c>
      <c r="C10" s="132" t="n"/>
      <c r="D10" s="132" t="n"/>
      <c r="E10" s="132" t="n"/>
      <c r="F10" s="132" t="n"/>
    </row>
    <row r="11" ht="27.75" customHeight="1" s="107">
      <c r="A11" s="190" t="inlineStr">
        <is>
          <t>Versions 🅰 / 🅱 / 🅲</t>
        </is>
      </c>
      <c r="B11" s="196" t="inlineStr">
        <is>
          <t>A (matériel réel + microcontrôleur) · B (simulation + maquette) · C (bureau d'études papier + rôle)</t>
        </is>
      </c>
      <c r="C11" s="132" t="n"/>
      <c r="D11" s="132" t="n"/>
      <c r="E11" s="132" t="n"/>
      <c r="F11" s="132" t="n"/>
    </row>
    <row r="12" ht="27.75" customHeight="1" s="107">
      <c r="A12" s="190" t="inlineStr">
        <is>
          <t>Liens EPI / parcours</t>
        </is>
      </c>
      <c r="B12" s="196" t="inlineStr">
        <is>
          <t>EPI possible avec Mathématiques (traitement de données) et Physique-Chimie</t>
        </is>
      </c>
      <c r="C12" s="132" t="n"/>
      <c r="D12" s="132" t="n"/>
      <c r="E12" s="132" t="n"/>
      <c r="F12" s="132" t="n"/>
    </row>
    <row r="13" ht="27.75" customHeight="1" s="107">
      <c r="A13" s="190" t="inlineStr">
        <is>
          <t>Cahier Nathan 4e</t>
        </is>
      </c>
      <c r="B13" s="196" t="inlineStr">
        <is>
          <t>Prob. 9 p.67-72 (réaliser/modifier un prototype) · Prob. 10 p.73-78 · Prob. 6 p.45-52</t>
        </is>
      </c>
      <c r="C13" s="132" t="n"/>
      <c r="D13" s="132" t="n"/>
      <c r="E13" s="132" t="n"/>
      <c r="F13" s="132" t="n"/>
    </row>
    <row r="14" ht="27.75" customHeight="1" s="107">
      <c r="A14" s="190" t="inlineStr">
        <is>
          <t>Ressources en ligne</t>
        </is>
      </c>
      <c r="B14" s="196" t="inlineStr">
        <is>
          <t>sequence_4e_C7_jardin-conception.html · sequence_4e_C8_jardin-validation.html + CodeLab Techno</t>
        </is>
      </c>
      <c r="C14" s="132" t="n"/>
      <c r="D14" s="132" t="n"/>
      <c r="E14" s="132" t="n"/>
      <c r="F14" s="132" t="n"/>
    </row>
    <row r="16" ht="15" customHeight="1" s="107">
      <c r="A16" s="155" t="inlineStr">
        <is>
          <t>Compétences du programme 2024</t>
        </is>
      </c>
    </row>
    <row r="17" ht="15" customHeight="1" s="107">
      <c r="A17" s="137" t="inlineStr">
        <is>
          <t>Code</t>
        </is>
      </c>
      <c r="B17" s="137" t="inlineStr">
        <is>
          <t>Intitulé officiel</t>
        </is>
      </c>
      <c r="C17" s="137" t="inlineStr">
        <is>
          <t>Domaines du socle</t>
        </is>
      </c>
      <c r="D17" s="137" t="inlineStr">
        <is>
          <t>Travaillée en</t>
        </is>
      </c>
      <c r="E17" s="137" t="inlineStr">
        <is>
          <t>Évaluation LSU</t>
        </is>
      </c>
    </row>
    <row r="18" ht="30" customHeight="1" s="107">
      <c r="A18" s="180" t="inlineStr">
        <is>
          <t>4e_C7.1</t>
        </is>
      </c>
      <c r="B18" s="142" t="inlineStr">
        <is>
          <t>Organiser un processus de conception et de réalisation dans une durée, avec des tâches identifiées.</t>
        </is>
      </c>
      <c r="C18" s="142" t="inlineStr">
        <is>
          <t>D2, D4, D5</t>
        </is>
      </c>
      <c r="D18" s="142" t="inlineStr">
        <is>
          <t>S7-1 · S7-2</t>
        </is>
      </c>
      <c r="E18" s="142" t="inlineStr">
        <is>
          <t>→ LSU</t>
        </is>
      </c>
    </row>
    <row r="19" ht="30" customHeight="1" s="107">
      <c r="A19" s="180" t="inlineStr">
        <is>
          <t>4e_C7.2</t>
        </is>
      </c>
      <c r="B19" s="142" t="inlineStr">
        <is>
          <t>Proposer et fabriquer une solution pour ajouter une nouvelle fonction à un OST (croquis, schéma, graphique, algorithme, modélisation).</t>
        </is>
      </c>
      <c r="C19" s="142" t="inlineStr">
        <is>
          <t>D2, D3, D4</t>
        </is>
      </c>
      <c r="D19" s="142" t="inlineStr">
        <is>
          <t>S7-1 · S7-2</t>
        </is>
      </c>
      <c r="E19" s="142" t="inlineStr">
        <is>
          <t>→ LSU</t>
        </is>
      </c>
    </row>
    <row r="20" ht="30" customHeight="1" s="107">
      <c r="A20" s="180" t="inlineStr">
        <is>
          <t>4e_C7.3</t>
        </is>
      </c>
      <c r="B20" s="142" t="inlineStr">
        <is>
          <t>Comparer différents matériaux pour choisir le plus adapté.</t>
        </is>
      </c>
      <c r="C20" s="142" t="inlineStr">
        <is>
          <t>D3, D4, D5</t>
        </is>
      </c>
      <c r="D20" s="142" t="inlineStr">
        <is>
          <t>S7-2</t>
        </is>
      </c>
      <c r="E20" s="142" t="inlineStr">
        <is>
          <t>→ LSU</t>
        </is>
      </c>
    </row>
    <row r="21" ht="30" customHeight="1" s="107">
      <c r="A21" s="180" t="inlineStr">
        <is>
          <t>4e_C7.4</t>
        </is>
      </c>
      <c r="B21" s="142" t="inlineStr">
        <is>
          <t>Comparer différentes sources d’énergie pour choisir la plus adaptée.</t>
        </is>
      </c>
      <c r="C21" s="142" t="inlineStr">
        <is>
          <t>D3, D4, D5</t>
        </is>
      </c>
      <c r="D21" s="142" t="inlineStr">
        <is>
          <t>S7-2</t>
        </is>
      </c>
      <c r="E21" s="142" t="inlineStr">
        <is>
          <t>→ LSU</t>
        </is>
      </c>
    </row>
    <row r="22" ht="30" customHeight="1" s="107">
      <c r="A22" s="180" t="inlineStr">
        <is>
          <t>4e_C7.5</t>
        </is>
      </c>
      <c r="B22" s="142" t="inlineStr">
        <is>
          <t>Identifier les constituants manquants dans un prototype et le compléter.</t>
        </is>
      </c>
      <c r="C22" s="142" t="inlineStr">
        <is>
          <t>D2, D3, D4</t>
        </is>
      </c>
      <c r="D22" s="142" t="inlineStr">
        <is>
          <t>S7-2</t>
        </is>
      </c>
      <c r="E22" s="142" t="inlineStr">
        <is>
          <t>→ LSU</t>
        </is>
      </c>
    </row>
    <row r="23" ht="30" customHeight="1" s="107">
      <c r="A23" s="180" t="inlineStr">
        <is>
          <t>4e_C7.6</t>
        </is>
      </c>
      <c r="B23" s="142" t="inlineStr">
        <is>
          <t>Modifier une forme à l’aide d’une modélisation.</t>
        </is>
      </c>
      <c r="C23" s="142" t="inlineStr">
        <is>
          <t>D2, D3, D4</t>
        </is>
      </c>
      <c r="D23" s="142" t="inlineStr">
        <is>
          <t>—</t>
        </is>
      </c>
      <c r="E23" s="142" t="inlineStr">
        <is>
          <t>→ LSU</t>
        </is>
      </c>
    </row>
    <row r="24" ht="30" customHeight="1" s="107">
      <c r="A24" s="180" t="inlineStr">
        <is>
          <t>4e_C7.7</t>
        </is>
      </c>
      <c r="B24" s="142" t="inlineStr">
        <is>
          <t>Choisir les moyens et produire la forme voulue.</t>
        </is>
      </c>
      <c r="C24" s="142" t="inlineStr">
        <is>
          <t>D2, D3, D4</t>
        </is>
      </c>
      <c r="D24" s="142" t="inlineStr">
        <is>
          <t>—</t>
        </is>
      </c>
      <c r="E24" s="142" t="inlineStr">
        <is>
          <t>→ LSU</t>
        </is>
      </c>
    </row>
    <row r="25" ht="30" customHeight="1" s="107">
      <c r="A25" s="180" t="inlineStr">
        <is>
          <t>4e_C7.8</t>
        </is>
      </c>
      <c r="B25" s="142" t="inlineStr">
        <is>
          <t>Interfacer un objet technique avec un réseau.</t>
        </is>
      </c>
      <c r="C25" s="142" t="inlineStr">
        <is>
          <t>D2, D3, D4</t>
        </is>
      </c>
      <c r="D25" s="142" t="inlineStr">
        <is>
          <t>—</t>
        </is>
      </c>
      <c r="E25" s="142" t="inlineStr">
        <is>
          <t>→ LSU</t>
        </is>
      </c>
    </row>
    <row r="26" ht="30" customHeight="1" s="107">
      <c r="A26" s="180" t="inlineStr">
        <is>
          <t>4e_C8.1</t>
        </is>
      </c>
      <c r="B26" s="142" t="inlineStr">
        <is>
          <t>Paramétrer une simulation fournie pour valider la tenue mécanique d’un matériau.</t>
        </is>
      </c>
      <c r="C26" s="142" t="inlineStr">
        <is>
          <t>D1.3, D2, D4</t>
        </is>
      </c>
      <c r="D26" s="142" t="inlineStr">
        <is>
          <t>S7-3</t>
        </is>
      </c>
      <c r="E26" s="142" t="inlineStr">
        <is>
          <t>→ LSU</t>
        </is>
      </c>
    </row>
    <row r="27" ht="30" customHeight="1" s="107">
      <c r="A27" s="180" t="inlineStr">
        <is>
          <t>4e_C8.2</t>
        </is>
      </c>
      <c r="B27" s="142" t="inlineStr">
        <is>
          <t>Proposer un protocole de test pour valider la tenue mécanique d’un matériau.</t>
        </is>
      </c>
      <c r="C27" s="142" t="inlineStr">
        <is>
          <t>D1.3, D2, D3, D4</t>
        </is>
      </c>
      <c r="D27" s="142" t="inlineStr">
        <is>
          <t>S7-3</t>
        </is>
      </c>
      <c r="E27" s="142" t="inlineStr">
        <is>
          <t>→ LSU</t>
        </is>
      </c>
    </row>
    <row r="28" ht="30" customHeight="1" s="107">
      <c r="A28" s="180" t="inlineStr">
        <is>
          <t>4e_C8.3</t>
        </is>
      </c>
      <c r="B28" s="142" t="inlineStr">
        <is>
          <t>Proposer un protocole de test pour valider le comportement et les performances d’un objet technique.</t>
        </is>
      </c>
      <c r="C28" s="142" t="inlineStr">
        <is>
          <t>D1.3, D2, D3, D4, D5</t>
        </is>
      </c>
      <c r="D28" s="142" t="inlineStr">
        <is>
          <t>S7-3 · S7-4</t>
        </is>
      </c>
      <c r="E28" s="142" t="inlineStr">
        <is>
          <t>→ LSU</t>
        </is>
      </c>
    </row>
    <row r="29" ht="30" customHeight="1" s="107">
      <c r="A29" s="180" t="inlineStr">
        <is>
          <t>4e_C9.1</t>
        </is>
      </c>
      <c r="B29" s="142" t="inlineStr">
        <is>
          <t>Modifier un algorithme permettant de répondre au besoin ou au problème posé.</t>
        </is>
      </c>
      <c r="C29" s="142" t="inlineStr">
        <is>
          <t>D1.3, D2, D4</t>
        </is>
      </c>
      <c r="D29" s="142" t="inlineStr">
        <is>
          <t>S7-4 · S7-5</t>
        </is>
      </c>
      <c r="E29" s="142" t="inlineStr">
        <is>
          <t>→ LSU</t>
        </is>
      </c>
    </row>
    <row r="30" ht="30" customHeight="1" s="107">
      <c r="A30" s="180" t="inlineStr">
        <is>
          <t>4e_C9.2</t>
        </is>
      </c>
      <c r="B30" s="142" t="inlineStr">
        <is>
          <t>Traduire un algorithme permettant de répondre à un besoin ou à un problème simple en un programme.</t>
        </is>
      </c>
      <c r="C30" s="142" t="inlineStr">
        <is>
          <t>D1.3, D2, D4</t>
        </is>
      </c>
      <c r="D30" s="142" t="inlineStr">
        <is>
          <t>S7-5</t>
        </is>
      </c>
      <c r="E30" s="142" t="inlineStr">
        <is>
          <t>→ LSU</t>
        </is>
      </c>
    </row>
    <row r="31" ht="30" customHeight="1" s="107">
      <c r="A31" s="180" t="inlineStr">
        <is>
          <t>4e_C9.3</t>
        </is>
      </c>
      <c r="B31" s="142" t="inlineStr">
        <is>
          <t>Réaliser et mettre au point un programme commandant un système réel incluant éventuellement une interaction entre un humain et une machine.</t>
        </is>
      </c>
      <c r="C31" s="142" t="inlineStr">
        <is>
          <t>D1.3, D2, D4</t>
        </is>
      </c>
      <c r="D31" s="142" t="inlineStr">
        <is>
          <t>S7-5 · S7-6</t>
        </is>
      </c>
      <c r="E31" s="142" t="inlineStr">
        <is>
          <t>→ LSU</t>
        </is>
      </c>
    </row>
    <row r="33" ht="15" customHeight="1" s="107">
      <c r="A33" s="155" t="inlineStr">
        <is>
          <t>Déroulé, séance par séance — avec cahier de texte Pronote prêt à coller</t>
        </is>
      </c>
    </row>
    <row r="34" ht="15" customHeight="1" s="107">
      <c r="A34" s="206" t="inlineStr">
        <is>
          <t>■ Séance 1 — semaine S26 — — — Analyse du besoin et cahier des charges</t>
        </is>
      </c>
    </row>
    <row r="35" ht="27.75" customHeight="1" s="107">
      <c r="A35" s="190" t="inlineStr">
        <is>
          <t>Question directrice</t>
        </is>
      </c>
      <c r="B35" s="196" t="inlineStr">
        <is>
          <t>Quel besoin nouveau et quelles contraintes ?</t>
        </is>
      </c>
      <c r="C35" s="132" t="n"/>
      <c r="D35" s="132" t="n"/>
      <c r="E35" s="132" t="n"/>
      <c r="F35" s="132" t="n"/>
    </row>
    <row r="36" ht="27.75" customHeight="1" s="107">
      <c r="A36" s="190" t="inlineStr">
        <is>
          <t>Activités &amp; supports</t>
        </is>
      </c>
      <c r="B36" s="196" t="inlineStr">
        <is>
          <t>Analyse du système existant + rédaction d'un mini cahier des charges</t>
        </is>
      </c>
      <c r="C36" s="132" t="n"/>
      <c r="D36" s="132" t="n"/>
      <c r="E36" s="132" t="n"/>
      <c r="F36" s="132" t="n"/>
    </row>
    <row r="37" ht="27.75" customHeight="1" s="107">
      <c r="A37" s="190" t="inlineStr">
        <is>
          <t>Démarche / organisation</t>
        </is>
      </c>
      <c r="B37" s="196" t="inlineStr">
        <is>
          <t>Observation + travail de groupe</t>
        </is>
      </c>
      <c r="C37" s="132" t="n"/>
      <c r="D37" s="132" t="n"/>
      <c r="E37" s="132" t="n"/>
      <c r="F37" s="132" t="n"/>
    </row>
    <row r="38" ht="27.75" customHeight="1" s="107">
      <c r="A38" s="190" t="inlineStr">
        <is>
          <t>Bilan / trace écrite</t>
        </is>
      </c>
      <c r="B38" s="196" t="inlineStr">
        <is>
          <t>Cahier des charges validé (besoin + contraintes + critères de réussite)</t>
        </is>
      </c>
      <c r="C38" s="132" t="n"/>
      <c r="D38" s="132" t="n"/>
      <c r="E38" s="132" t="n"/>
      <c r="F38" s="132" t="n"/>
    </row>
    <row r="39" ht="39.75" customHeight="1" s="107">
      <c r="A39" s="198" t="inlineStr">
        <is>
          <t>📋 CAHIER DE TEXTE
Contenu de la séance
👆 CLIC = copier pour Pronote</t>
        </is>
      </c>
      <c r="B39" s="199" t="inlineStr">
        <is>
          <t>Projet objet connecté : analyse du besoin et rédaction du cahier des charges.</t>
        </is>
      </c>
      <c r="C39" s="132" t="n"/>
      <c r="D39" s="132" t="n"/>
      <c r="E39" s="132" t="n"/>
      <c r="F39" s="132" t="n"/>
    </row>
    <row r="40" ht="39.75" customHeight="1" s="107">
      <c r="A40" s="198" t="inlineStr">
        <is>
          <t>📋 CAHIER DE TEXTE
Travail à faire
👆 CLIC = copier pour Pronote</t>
        </is>
      </c>
      <c r="B40" s="199" t="inlineStr">
        <is>
          <t>Finaliser les 3 critères de réussite (10 min).</t>
        </is>
      </c>
      <c r="C40" s="132" t="n"/>
      <c r="D40" s="132" t="n"/>
      <c r="E40" s="132" t="n"/>
      <c r="F40" s="132" t="n"/>
    </row>
    <row r="41" ht="15" customHeight="1" s="107">
      <c r="A41" s="200" t="inlineStr">
        <is>
          <t>Suivi enseignant</t>
        </is>
      </c>
      <c r="B41" s="201" t="inlineStr">
        <is>
          <t>Fait le : ____________</t>
        </is>
      </c>
      <c r="C41" s="202" t="inlineStr">
        <is>
          <t xml:space="preserve">Report / aléa / remarques : </t>
        </is>
      </c>
      <c r="D41" s="132" t="n"/>
      <c r="E41" s="132" t="n"/>
      <c r="F41" s="132" t="n"/>
    </row>
    <row r="43" ht="15" customHeight="1" s="107">
      <c r="A43" s="206" t="inlineStr">
        <is>
          <t>■ Séance 2 — semaine S29 — — — Proposition et choix de solutions</t>
        </is>
      </c>
    </row>
    <row r="44" ht="27.75" customHeight="1" s="107">
      <c r="A44" s="190" t="inlineStr">
        <is>
          <t>Question directrice</t>
        </is>
      </c>
      <c r="B44" s="196" t="inlineStr">
        <is>
          <t>Quelles solutions techniques proposer ?</t>
        </is>
      </c>
      <c r="C44" s="132" t="n"/>
      <c r="D44" s="132" t="n"/>
      <c r="E44" s="132" t="n"/>
      <c r="F44" s="132" t="n"/>
    </row>
    <row r="45" ht="27.75" customHeight="1" s="107">
      <c r="A45" s="190" t="inlineStr">
        <is>
          <t>Activités &amp; supports</t>
        </is>
      </c>
      <c r="B45" s="196" t="inlineStr">
        <is>
          <t>3 solutions (croquis + avantages/inconvénients) + choix motivé</t>
        </is>
      </c>
      <c r="C45" s="132" t="n"/>
      <c r="D45" s="132" t="n"/>
      <c r="E45" s="132" t="n"/>
      <c r="F45" s="132" t="n"/>
    </row>
    <row r="46" ht="27.75" customHeight="1" s="107">
      <c r="A46" s="190" t="inlineStr">
        <is>
          <t>Démarche / organisation</t>
        </is>
      </c>
      <c r="B46" s="196" t="inlineStr">
        <is>
          <t>Divergent puis convergent</t>
        </is>
      </c>
      <c r="C46" s="132" t="n"/>
      <c r="D46" s="132" t="n"/>
      <c r="E46" s="132" t="n"/>
      <c r="F46" s="132" t="n"/>
    </row>
    <row r="47" ht="27.75" customHeight="1" s="107">
      <c r="A47" s="190" t="inlineStr">
        <is>
          <t>Bilan / trace écrite</t>
        </is>
      </c>
      <c r="B47" s="196" t="inlineStr">
        <is>
          <t>Solution retenue + justification</t>
        </is>
      </c>
      <c r="C47" s="132" t="n"/>
      <c r="D47" s="132" t="n"/>
      <c r="E47" s="132" t="n"/>
      <c r="F47" s="132" t="n"/>
    </row>
    <row r="48" ht="39.75" customHeight="1" s="107">
      <c r="A48" s="198" t="inlineStr">
        <is>
          <t>📋 CAHIER DE TEXTE
Contenu de la séance
👆 CLIC = copier pour Pronote</t>
        </is>
      </c>
      <c r="B48" s="199" t="inlineStr">
        <is>
          <t>Proposition de 3 solutions et choix argumenté.</t>
        </is>
      </c>
      <c r="C48" s="132" t="n"/>
      <c r="D48" s="132" t="n"/>
      <c r="E48" s="132" t="n"/>
      <c r="F48" s="132" t="n"/>
    </row>
    <row r="49" ht="39.75" customHeight="1" s="107">
      <c r="A49" s="198" t="inlineStr">
        <is>
          <t>📋 CAHIER DE TEXTE
Travail à faire
👆 CLIC = copier pour Pronote</t>
        </is>
      </c>
      <c r="B49" s="199" t="inlineStr">
        <is>
          <t>Compléter le tableau avantages/inconvénients (15 min).</t>
        </is>
      </c>
      <c r="C49" s="132" t="n"/>
      <c r="D49" s="132" t="n"/>
      <c r="E49" s="132" t="n"/>
      <c r="F49" s="132" t="n"/>
    </row>
    <row r="50" ht="15" customHeight="1" s="107">
      <c r="A50" s="200" t="inlineStr">
        <is>
          <t>Suivi enseignant</t>
        </is>
      </c>
      <c r="B50" s="201" t="inlineStr">
        <is>
          <t>Fait le : ____________</t>
        </is>
      </c>
      <c r="C50" s="202" t="inlineStr">
        <is>
          <t xml:space="preserve">Report / aléa / remarques : </t>
        </is>
      </c>
      <c r="D50" s="132" t="n"/>
      <c r="E50" s="132" t="n"/>
      <c r="F50" s="132" t="n"/>
    </row>
    <row r="52" ht="15" customHeight="1" s="107">
      <c r="A52" s="206" t="inlineStr">
        <is>
          <t>■ Séance 3 — semaine S30 — — — Protocole de test et validation</t>
        </is>
      </c>
    </row>
    <row r="53" ht="27.75" customHeight="1" s="107">
      <c r="A53" s="190" t="inlineStr">
        <is>
          <t>Question directrice</t>
        </is>
      </c>
      <c r="B53" s="196" t="inlineStr">
        <is>
          <t>Comment valider la solution avant de programmer ?</t>
        </is>
      </c>
      <c r="C53" s="132" t="n"/>
      <c r="D53" s="132" t="n"/>
      <c r="E53" s="132" t="n"/>
      <c r="F53" s="132" t="n"/>
    </row>
    <row r="54" ht="27.75" customHeight="1" s="107">
      <c r="A54" s="190" t="inlineStr">
        <is>
          <t>Activités &amp; supports</t>
        </is>
      </c>
      <c r="B54" s="196" t="inlineStr">
        <is>
          <t>Protocole de test + réalisation + analyse des résultats</t>
        </is>
      </c>
      <c r="C54" s="132" t="n"/>
      <c r="D54" s="132" t="n"/>
      <c r="E54" s="132" t="n"/>
      <c r="F54" s="132" t="n"/>
    </row>
    <row r="55" ht="27.75" customHeight="1" s="107">
      <c r="A55" s="190" t="inlineStr">
        <is>
          <t>Démarche / organisation</t>
        </is>
      </c>
      <c r="B55" s="196" t="inlineStr">
        <is>
          <t>Écriture du protocole puis tests</t>
        </is>
      </c>
      <c r="C55" s="132" t="n"/>
      <c r="D55" s="132" t="n"/>
      <c r="E55" s="132" t="n"/>
      <c r="F55" s="132" t="n"/>
    </row>
    <row r="56" ht="27.75" customHeight="1" s="107">
      <c r="A56" s="190" t="inlineStr">
        <is>
          <t>Bilan / trace écrite</t>
        </is>
      </c>
      <c r="B56" s="196" t="inlineStr">
        <is>
          <t>Décision de validation ou d'amélioration</t>
        </is>
      </c>
      <c r="C56" s="132" t="n"/>
      <c r="D56" s="132" t="n"/>
      <c r="E56" s="132" t="n"/>
      <c r="F56" s="132" t="n"/>
    </row>
    <row r="57" ht="39.75" customHeight="1" s="107">
      <c r="A57" s="198" t="inlineStr">
        <is>
          <t>📋 CAHIER DE TEXTE
Contenu de la séance
👆 CLIC = copier pour Pronote</t>
        </is>
      </c>
      <c r="B57" s="199" t="inlineStr">
        <is>
          <t>Protocole de test et validation de la solution.</t>
        </is>
      </c>
      <c r="C57" s="132" t="n"/>
      <c r="D57" s="132" t="n"/>
      <c r="E57" s="132" t="n"/>
      <c r="F57" s="132" t="n"/>
    </row>
    <row r="58" ht="39.75" customHeight="1" s="107">
      <c r="A58" s="198" t="inlineStr">
        <is>
          <t>📋 CAHIER DE TEXTE
Travail à faire
👆 CLIC = copier pour Pronote</t>
        </is>
      </c>
      <c r="B58" s="199" t="inlineStr">
        <is>
          <t>Rédiger une amélioration si nécessaire (10 min).</t>
        </is>
      </c>
      <c r="C58" s="132" t="n"/>
      <c r="D58" s="132" t="n"/>
      <c r="E58" s="132" t="n"/>
      <c r="F58" s="132" t="n"/>
    </row>
    <row r="59" ht="15" customHeight="1" s="107">
      <c r="A59" s="200" t="inlineStr">
        <is>
          <t>Suivi enseignant</t>
        </is>
      </c>
      <c r="B59" s="201" t="inlineStr">
        <is>
          <t>Fait le : ____________</t>
        </is>
      </c>
      <c r="C59" s="202" t="inlineStr">
        <is>
          <t xml:space="preserve">Report / aléa / remarques : </t>
        </is>
      </c>
      <c r="D59" s="132" t="n"/>
      <c r="E59" s="132" t="n"/>
      <c r="F59" s="132" t="n"/>
    </row>
    <row r="61" ht="15" customHeight="1" s="107">
      <c r="A61" s="206" t="inlineStr">
        <is>
          <t>■ Séance 4 — semaine S31 — — — Préparation et première programmation</t>
        </is>
      </c>
    </row>
    <row r="62" ht="27.75" customHeight="1" s="107">
      <c r="A62" s="190" t="inlineStr">
        <is>
          <t>Question directrice</t>
        </is>
      </c>
      <c r="B62" s="196" t="inlineStr">
        <is>
          <t>Comment préparer et commencer à programmer la nouvelle fonction ?</t>
        </is>
      </c>
      <c r="C62" s="132" t="n"/>
      <c r="D62" s="132" t="n"/>
      <c r="E62" s="132" t="n"/>
      <c r="F62" s="132" t="n"/>
    </row>
    <row r="63" ht="27.75" customHeight="1" s="107">
      <c r="A63" s="190" t="inlineStr">
        <is>
          <t>Activités &amp; supports</t>
        </is>
      </c>
      <c r="B63" s="196" t="inlineStr">
        <is>
          <t>Algorithme en langage naturel + première version du programme</t>
        </is>
      </c>
      <c r="C63" s="132" t="n"/>
      <c r="D63" s="132" t="n"/>
      <c r="E63" s="132" t="n"/>
      <c r="F63" s="132" t="n"/>
    </row>
    <row r="64" ht="27.75" customHeight="1" s="107">
      <c r="A64" s="190" t="inlineStr">
        <is>
          <t>Démarche / organisation</t>
        </is>
      </c>
      <c r="B64" s="196" t="inlineStr">
        <is>
          <t>Guidage progressif</t>
        </is>
      </c>
      <c r="C64" s="132" t="n"/>
      <c r="D64" s="132" t="n"/>
      <c r="E64" s="132" t="n"/>
      <c r="F64" s="132" t="n"/>
    </row>
    <row r="65" ht="27.75" customHeight="1" s="107">
      <c r="A65" s="190" t="inlineStr">
        <is>
          <t>Bilan / trace écrite</t>
        </is>
      </c>
      <c r="B65" s="196" t="inlineStr">
        <is>
          <t>Algorithme + début de programme</t>
        </is>
      </c>
      <c r="C65" s="132" t="n"/>
      <c r="D65" s="132" t="n"/>
      <c r="E65" s="132" t="n"/>
      <c r="F65" s="132" t="n"/>
    </row>
    <row r="66" ht="39.75" customHeight="1" s="107">
      <c r="A66" s="198" t="inlineStr">
        <is>
          <t>📋 CAHIER DE TEXTE
Contenu de la séance
👆 CLIC = copier pour Pronote</t>
        </is>
      </c>
      <c r="B66" s="199" t="inlineStr">
        <is>
          <t>Algorithme et début de programmation de la nouvelle fonction.</t>
        </is>
      </c>
      <c r="C66" s="132" t="n"/>
      <c r="D66" s="132" t="n"/>
      <c r="E66" s="132" t="n"/>
      <c r="F66" s="132" t="n"/>
    </row>
    <row r="67" ht="39.75" customHeight="1" s="107">
      <c r="A67" s="198" t="inlineStr">
        <is>
          <t>📋 CAHIER DE TEXTE
Travail à faire
👆 CLIC = copier pour Pronote</t>
        </is>
      </c>
      <c r="B67" s="199" t="inlineStr">
        <is>
          <t>Compléter l'algorithme (10 min).</t>
        </is>
      </c>
      <c r="C67" s="132" t="n"/>
      <c r="D67" s="132" t="n"/>
      <c r="E67" s="132" t="n"/>
      <c r="F67" s="132" t="n"/>
    </row>
    <row r="68" ht="15" customHeight="1" s="107">
      <c r="A68" s="200" t="inlineStr">
        <is>
          <t>Suivi enseignant</t>
        </is>
      </c>
      <c r="B68" s="201" t="inlineStr">
        <is>
          <t>Fait le : ____________</t>
        </is>
      </c>
      <c r="C68" s="202" t="inlineStr">
        <is>
          <t xml:space="preserve">Report / aléa / remarques : </t>
        </is>
      </c>
      <c r="D68" s="132" t="n"/>
      <c r="E68" s="132" t="n"/>
      <c r="F68" s="132" t="n"/>
    </row>
    <row r="70" ht="15" customHeight="1" s="107">
      <c r="A70" s="206" t="inlineStr">
        <is>
          <t>■ Séance 5 — semaine S32 — — — Programmation et tests itératifs</t>
        </is>
      </c>
    </row>
    <row r="71" ht="27.75" customHeight="1" s="107">
      <c r="A71" s="190" t="inlineStr">
        <is>
          <t>Question directrice</t>
        </is>
      </c>
      <c r="B71" s="196" t="inlineStr">
        <is>
          <t>Comment finaliser et tester le programme ?</t>
        </is>
      </c>
      <c r="C71" s="132" t="n"/>
      <c r="D71" s="132" t="n"/>
      <c r="E71" s="132" t="n"/>
      <c r="F71" s="132" t="n"/>
    </row>
    <row r="72" ht="27.75" customHeight="1" s="107">
      <c r="A72" s="190" t="inlineStr">
        <is>
          <t>Activités &amp; supports</t>
        </is>
      </c>
      <c r="B72" s="196" t="inlineStr">
        <is>
          <t>CodeLab Techno + écriture + tests itératifs</t>
        </is>
      </c>
      <c r="C72" s="132" t="n"/>
      <c r="D72" s="132" t="n"/>
      <c r="E72" s="132" t="n"/>
      <c r="F72" s="132" t="n"/>
    </row>
    <row r="73" ht="27.75" customHeight="1" s="107">
      <c r="A73" s="190" t="inlineStr">
        <is>
          <t>Démarche / organisation</t>
        </is>
      </c>
      <c r="B73" s="196" t="inlineStr">
        <is>
          <t>Écriture guidée + tests</t>
        </is>
      </c>
      <c r="C73" s="132" t="n"/>
      <c r="D73" s="132" t="n"/>
      <c r="E73" s="132" t="n"/>
      <c r="F73" s="132" t="n"/>
    </row>
    <row r="74" ht="27.75" customHeight="1" s="107">
      <c r="A74" s="190" t="inlineStr">
        <is>
          <t>Bilan / trace écrite</t>
        </is>
      </c>
      <c r="B74" s="196" t="inlineStr">
        <is>
          <t>Programme fonctionnel + commentaires</t>
        </is>
      </c>
      <c r="C74" s="132" t="n"/>
      <c r="D74" s="132" t="n"/>
      <c r="E74" s="132" t="n"/>
      <c r="F74" s="132" t="n"/>
    </row>
    <row r="75" ht="39.75" customHeight="1" s="107">
      <c r="A75" s="198" t="inlineStr">
        <is>
          <t>📋 CAHIER DE TEXTE
Contenu de la séance
👆 CLIC = copier pour Pronote</t>
        </is>
      </c>
      <c r="B75" s="199" t="inlineStr">
        <is>
          <t>Finalisation et test du programme.</t>
        </is>
      </c>
      <c r="C75" s="132" t="n"/>
      <c r="D75" s="132" t="n"/>
      <c r="E75" s="132" t="n"/>
      <c r="F75" s="132" t="n"/>
    </row>
    <row r="76" ht="39.75" customHeight="1" s="107">
      <c r="A76" s="198" t="inlineStr">
        <is>
          <t>📋 CAHIER DE TEXTE
Travail à faire
👆 CLIC = copier pour Pronote</t>
        </is>
      </c>
      <c r="B76" s="199" t="inlineStr">
        <is>
          <t>Tester le programme et noter un bug éventuel (10 min).</t>
        </is>
      </c>
      <c r="C76" s="132" t="n"/>
      <c r="D76" s="132" t="n"/>
      <c r="E76" s="132" t="n"/>
      <c r="F76" s="132" t="n"/>
    </row>
    <row r="77" ht="15" customHeight="1" s="107">
      <c r="A77" s="200" t="inlineStr">
        <is>
          <t>Suivi enseignant</t>
        </is>
      </c>
      <c r="B77" s="201" t="inlineStr">
        <is>
          <t>Fait le : ____________</t>
        </is>
      </c>
      <c r="C77" s="202" t="inlineStr">
        <is>
          <t xml:space="preserve">Report / aléa / remarques : </t>
        </is>
      </c>
      <c r="D77" s="132" t="n"/>
      <c r="E77" s="132" t="n"/>
      <c r="F77" s="132" t="n"/>
    </row>
    <row r="79" ht="15" customHeight="1" s="107">
      <c r="A79" s="206" t="inlineStr">
        <is>
          <t>■ Séance 6 — semaine S33 — — — Documentation et restitution</t>
        </is>
      </c>
    </row>
    <row r="80" ht="27.75" customHeight="1" s="107">
      <c r="A80" s="190" t="inlineStr">
        <is>
          <t>Question directrice</t>
        </is>
      </c>
      <c r="B80" s="196" t="inlineStr">
        <is>
          <t>Comment documenter et présenter le projet ?</t>
        </is>
      </c>
      <c r="C80" s="132" t="n"/>
      <c r="D80" s="132" t="n"/>
      <c r="E80" s="132" t="n"/>
      <c r="F80" s="132" t="n"/>
    </row>
    <row r="81" ht="27.75" customHeight="1" s="107">
      <c r="A81" s="190" t="inlineStr">
        <is>
          <t>Activités &amp; supports</t>
        </is>
      </c>
      <c r="B81" s="196" t="inlineStr">
        <is>
          <t>Dossier technique court + démonstration + oral</t>
        </is>
      </c>
      <c r="C81" s="132" t="n"/>
      <c r="D81" s="132" t="n"/>
      <c r="E81" s="132" t="n"/>
      <c r="F81" s="132" t="n"/>
    </row>
    <row r="82" ht="27.75" customHeight="1" s="107">
      <c r="A82" s="190" t="inlineStr">
        <is>
          <t>Démarche / organisation</t>
        </is>
      </c>
      <c r="B82" s="196" t="inlineStr">
        <is>
          <t>Finalisation + restitution</t>
        </is>
      </c>
      <c r="C82" s="132" t="n"/>
      <c r="D82" s="132" t="n"/>
      <c r="E82" s="132" t="n"/>
      <c r="F82" s="132" t="n"/>
    </row>
    <row r="83" ht="27.75" customHeight="1" s="107">
      <c r="A83" s="190" t="inlineStr">
        <is>
          <t>Bilan / trace écrite</t>
        </is>
      </c>
      <c r="B83" s="196" t="inlineStr">
        <is>
          <t>Dossier + grille d'évaluation</t>
        </is>
      </c>
      <c r="C83" s="132" t="n"/>
      <c r="D83" s="132" t="n"/>
      <c r="E83" s="132" t="n"/>
      <c r="F83" s="132" t="n"/>
    </row>
    <row r="84" ht="39.75" customHeight="1" s="107">
      <c r="A84" s="198" t="inlineStr">
        <is>
          <t>📋 CAHIER DE TEXTE
Contenu de la séance
👆 CLIC = copier pour Pronote</t>
        </is>
      </c>
      <c r="B84" s="199" t="inlineStr">
        <is>
          <t>Restitution du projet et bilan.</t>
        </is>
      </c>
      <c r="C84" s="132" t="n"/>
      <c r="D84" s="132" t="n"/>
      <c r="E84" s="132" t="n"/>
      <c r="F84" s="132" t="n"/>
    </row>
    <row r="85" ht="39.75" customHeight="1" s="107">
      <c r="A85" s="198" t="inlineStr">
        <is>
          <t>📋 CAHIER DE TEXTE
Travail à faire
👆 CLIC = copier pour Pronote</t>
        </is>
      </c>
      <c r="B85" s="199" t="inlineStr">
        <is>
          <t>Aucune (fin de séquence).</t>
        </is>
      </c>
      <c r="C85" s="132" t="n"/>
      <c r="D85" s="132" t="n"/>
      <c r="E85" s="132" t="n"/>
      <c r="F85" s="132" t="n"/>
    </row>
    <row r="86" ht="15" customHeight="1" s="107">
      <c r="A86" s="200" t="inlineStr">
        <is>
          <t>Suivi enseignant</t>
        </is>
      </c>
      <c r="B86" s="201" t="inlineStr">
        <is>
          <t>Fait le : ____________</t>
        </is>
      </c>
      <c r="C86" s="202" t="inlineStr">
        <is>
          <t xml:space="preserve">Report / aléa / remarques : </t>
        </is>
      </c>
      <c r="D86" s="132" t="n"/>
      <c r="E86" s="132" t="n"/>
      <c r="F86" s="132" t="n"/>
    </row>
  </sheetData>
  <mergeCells count="61">
    <mergeCell ref="B4:F4"/>
    <mergeCell ref="B75:F75"/>
    <mergeCell ref="B7:F7"/>
    <mergeCell ref="B47:F47"/>
    <mergeCell ref="B54:F54"/>
    <mergeCell ref="B62:F62"/>
    <mergeCell ref="B81:F81"/>
    <mergeCell ref="B72:F72"/>
    <mergeCell ref="B66:F66"/>
    <mergeCell ref="B46:F46"/>
    <mergeCell ref="B71:F71"/>
    <mergeCell ref="B58:F58"/>
    <mergeCell ref="B56:F56"/>
    <mergeCell ref="A2:F2"/>
    <mergeCell ref="B12:F12"/>
    <mergeCell ref="B39:F39"/>
    <mergeCell ref="B48:F48"/>
    <mergeCell ref="C77:F77"/>
    <mergeCell ref="B11:F11"/>
    <mergeCell ref="C86:F86"/>
    <mergeCell ref="B67:F67"/>
    <mergeCell ref="C68:F68"/>
    <mergeCell ref="B14:F14"/>
    <mergeCell ref="B8:F8"/>
    <mergeCell ref="B13:F13"/>
    <mergeCell ref="B57:F57"/>
    <mergeCell ref="A43:F43"/>
    <mergeCell ref="B44:F44"/>
    <mergeCell ref="B53:F53"/>
    <mergeCell ref="B82:F82"/>
    <mergeCell ref="A52:F52"/>
    <mergeCell ref="B73:F73"/>
    <mergeCell ref="B38:F38"/>
    <mergeCell ref="B10:F10"/>
    <mergeCell ref="B37:F37"/>
    <mergeCell ref="A34:F34"/>
    <mergeCell ref="C41:F41"/>
    <mergeCell ref="B84:F84"/>
    <mergeCell ref="B40:F40"/>
    <mergeCell ref="B9:F9"/>
    <mergeCell ref="C50:F50"/>
    <mergeCell ref="B74:F74"/>
    <mergeCell ref="B49:F49"/>
    <mergeCell ref="B65:F65"/>
    <mergeCell ref="B83:F83"/>
    <mergeCell ref="B55:F55"/>
    <mergeCell ref="B6:F6"/>
    <mergeCell ref="B64:F64"/>
    <mergeCell ref="A1:F1"/>
    <mergeCell ref="A70:F70"/>
    <mergeCell ref="B5:F5"/>
    <mergeCell ref="A79:F79"/>
    <mergeCell ref="C59:F59"/>
    <mergeCell ref="A61:F61"/>
    <mergeCell ref="B45:F45"/>
    <mergeCell ref="B63:F63"/>
    <mergeCell ref="B76:F76"/>
    <mergeCell ref="B36:F36"/>
    <mergeCell ref="B80:F80"/>
    <mergeCell ref="B85:F85"/>
    <mergeCell ref="B35:F35"/>
  </mergeCells>
  <hyperlinks>
    <hyperlink xmlns:r="http://schemas.openxmlformats.org/officeDocument/2006/relationships" ref="E3" location="'🧭%20Progression'!A1" display="◀ Progression" r:id="rId1"/>
    <hyperlink xmlns:r="http://schemas.openxmlformats.org/officeDocument/2006/relationships" ref="F3" location="'🏠%20Accueil'!A1" display="◀ Accueil" r:id="rId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808080"/>
    <outlinePr summaryBelow="1" summaryRight="1"/>
    <pageSetUpPr fitToPage="0"/>
  </sheetPr>
  <dimension ref="A1:B4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06" min="1" max="1"/>
    <col width="56" customWidth="1" style="106" min="2" max="2"/>
  </cols>
  <sheetData>
    <row r="1" ht="16.15" customHeight="1" s="107">
      <c r="A1" s="110" t="inlineStr">
        <is>
          <t>⚙ MOTEUR DE LA PROGRESSION 4e — ordre officiel des 37 créneaux (28 séances + 9 tampons)</t>
        </is>
      </c>
    </row>
    <row r="2" ht="15" customHeight="1" s="107">
      <c r="A2" s="133" t="inlineStr">
        <is>
          <t>Ne modifier qu'en Conseil. Le Calendrier place ces créneaux, dans l'ordre, sur les semaines sans imprévu.</t>
        </is>
      </c>
    </row>
    <row r="4" ht="15" customHeight="1" s="107">
      <c r="A4" s="207" t="inlineStr">
        <is>
          <t>N°</t>
        </is>
      </c>
      <c r="B4" s="207" t="inlineStr">
        <is>
          <t>Créneau</t>
        </is>
      </c>
    </row>
    <row r="5" ht="15" customHeight="1" s="107">
      <c r="A5" s="208" t="n">
        <v>1</v>
      </c>
      <c r="B5" s="208" t="inlineStr">
        <is>
          <t>S1 · séance 1</t>
        </is>
      </c>
    </row>
    <row r="6" ht="15" customHeight="1" s="107">
      <c r="A6" s="208" t="n">
        <v>2</v>
      </c>
      <c r="B6" s="208" t="inlineStr">
        <is>
          <t>S1 · séance 2</t>
        </is>
      </c>
    </row>
    <row r="7" ht="15" customHeight="1" s="107">
      <c r="A7" s="208" t="n">
        <v>3</v>
      </c>
      <c r="B7" s="208" t="inlineStr">
        <is>
          <t>S1 · séance 3</t>
        </is>
      </c>
    </row>
    <row r="8" ht="15" customHeight="1" s="107">
      <c r="A8" s="208" t="n">
        <v>4</v>
      </c>
      <c r="B8" s="208" t="inlineStr">
        <is>
          <t>S2 · séance 1</t>
        </is>
      </c>
    </row>
    <row r="9" ht="15" customHeight="1" s="107">
      <c r="A9" s="208" t="n">
        <v>5</v>
      </c>
      <c r="B9" s="208" t="inlineStr">
        <is>
          <t>S2 · séance 2</t>
        </is>
      </c>
    </row>
    <row r="10" ht="15" customHeight="1" s="107">
      <c r="A10" s="208" t="n">
        <v>6</v>
      </c>
      <c r="B10" s="208" t="inlineStr">
        <is>
          <t>S3 · séance 1</t>
        </is>
      </c>
    </row>
    <row r="11" ht="15" customHeight="1" s="107">
      <c r="A11" s="208" t="n">
        <v>7</v>
      </c>
      <c r="B11" s="208" t="inlineStr">
        <is>
          <t>S3 · séance 2</t>
        </is>
      </c>
    </row>
    <row r="12" ht="15" customHeight="1" s="107">
      <c r="A12" s="209" t="n">
        <v>8</v>
      </c>
      <c r="B12" s="209" t="inlineStr">
        <is>
          <t>⏳ TAMPON P1 — rattrapage / remédiation</t>
        </is>
      </c>
    </row>
    <row r="13" ht="15" customHeight="1" s="107">
      <c r="A13" s="208" t="n">
        <v>9</v>
      </c>
      <c r="B13" s="208" t="inlineStr">
        <is>
          <t>S3 · séance 3</t>
        </is>
      </c>
    </row>
    <row r="14" ht="15" customHeight="1" s="107">
      <c r="A14" s="208" t="n">
        <v>10</v>
      </c>
      <c r="B14" s="208" t="inlineStr">
        <is>
          <t>S3 · séance 4</t>
        </is>
      </c>
    </row>
    <row r="15" ht="15" customHeight="1" s="107">
      <c r="A15" s="208" t="n">
        <v>11</v>
      </c>
      <c r="B15" s="208" t="inlineStr">
        <is>
          <t>S4 · séance 1</t>
        </is>
      </c>
    </row>
    <row r="16" ht="15" customHeight="1" s="107">
      <c r="A16" s="208" t="n">
        <v>12</v>
      </c>
      <c r="B16" s="208" t="inlineStr">
        <is>
          <t>S4 · séance 2</t>
        </is>
      </c>
    </row>
    <row r="17" ht="15" customHeight="1" s="107">
      <c r="A17" s="208" t="n">
        <v>13</v>
      </c>
      <c r="B17" s="208" t="inlineStr">
        <is>
          <t>S4 · séance 3</t>
        </is>
      </c>
    </row>
    <row r="18" ht="15" customHeight="1" s="107">
      <c r="A18" s="208" t="n">
        <v>14</v>
      </c>
      <c r="B18" s="208" t="inlineStr">
        <is>
          <t>S4 · séance 4</t>
        </is>
      </c>
    </row>
    <row r="19" ht="15" customHeight="1" s="107">
      <c r="A19" s="209" t="n">
        <v>15</v>
      </c>
      <c r="B19" s="209" t="inlineStr">
        <is>
          <t>⏳ TAMPON P2 — rattrapage / remédiation</t>
        </is>
      </c>
    </row>
    <row r="20" ht="15" customHeight="1" s="107">
      <c r="A20" s="208" t="n">
        <v>16</v>
      </c>
      <c r="B20" s="208" t="inlineStr">
        <is>
          <t>S4 · séance 5</t>
        </is>
      </c>
    </row>
    <row r="21" ht="15" customHeight="1" s="107">
      <c r="A21" s="208" t="n">
        <v>17</v>
      </c>
      <c r="B21" s="208" t="inlineStr">
        <is>
          <t>S5 · séance 1</t>
        </is>
      </c>
    </row>
    <row r="22" ht="15" customHeight="1" s="107">
      <c r="A22" s="208" t="n">
        <v>18</v>
      </c>
      <c r="B22" s="208" t="inlineStr">
        <is>
          <t>S5 · séance 2</t>
        </is>
      </c>
    </row>
    <row r="23" ht="15" customHeight="1" s="107">
      <c r="A23" s="208" t="n">
        <v>19</v>
      </c>
      <c r="B23" s="208" t="inlineStr">
        <is>
          <t>S5 · séance 3</t>
        </is>
      </c>
    </row>
    <row r="24" ht="15" customHeight="1" s="107">
      <c r="A24" s="209" t="n">
        <v>20</v>
      </c>
      <c r="B24" s="209" t="inlineStr">
        <is>
          <t>⏳ TAMPON P3 — rattrapage / remédiation</t>
        </is>
      </c>
    </row>
    <row r="25" ht="15" customHeight="1" s="107">
      <c r="A25" s="208" t="n">
        <v>21</v>
      </c>
      <c r="B25" s="208" t="inlineStr">
        <is>
          <t>S5 · séance 4</t>
        </is>
      </c>
    </row>
    <row r="26" ht="15" customHeight="1" s="107">
      <c r="A26" s="208" t="n">
        <v>22</v>
      </c>
      <c r="B26" s="208" t="inlineStr">
        <is>
          <t>S6 · séance 1</t>
        </is>
      </c>
    </row>
    <row r="27" ht="15" customHeight="1" s="107">
      <c r="A27" s="208" t="n">
        <v>23</v>
      </c>
      <c r="B27" s="208" t="inlineStr">
        <is>
          <t>S6 · séance 2</t>
        </is>
      </c>
    </row>
    <row r="28" ht="15" customHeight="1" s="107">
      <c r="A28" s="208" t="n">
        <v>24</v>
      </c>
      <c r="B28" s="208" t="inlineStr">
        <is>
          <t>S6 · séance 3</t>
        </is>
      </c>
    </row>
    <row r="29" ht="15" customHeight="1" s="107">
      <c r="A29" s="208" t="n">
        <v>25</v>
      </c>
      <c r="B29" s="208" t="inlineStr">
        <is>
          <t>S6 · séance 4</t>
        </is>
      </c>
    </row>
    <row r="30" ht="15" customHeight="1" s="107">
      <c r="A30" s="208" t="n">
        <v>26</v>
      </c>
      <c r="B30" s="208" t="inlineStr">
        <is>
          <t>S7 · séance 1</t>
        </is>
      </c>
    </row>
    <row r="31" ht="15" customHeight="1" s="107">
      <c r="A31" s="209" t="n">
        <v>27</v>
      </c>
      <c r="B31" s="209" t="inlineStr">
        <is>
          <t>⏳ TAMPON P4 — réserve a</t>
        </is>
      </c>
    </row>
    <row r="32" ht="15" customHeight="1" s="107">
      <c r="A32" s="209" t="n">
        <v>28</v>
      </c>
      <c r="B32" s="209" t="inlineStr">
        <is>
          <t>⏳ TAMPON P4 — réserve b</t>
        </is>
      </c>
    </row>
    <row r="33" ht="15" customHeight="1" s="107">
      <c r="A33" s="208" t="n">
        <v>29</v>
      </c>
      <c r="B33" s="208" t="inlineStr">
        <is>
          <t>S7 · séance 2</t>
        </is>
      </c>
    </row>
    <row r="34" ht="15" customHeight="1" s="107">
      <c r="A34" s="208" t="n">
        <v>30</v>
      </c>
      <c r="B34" s="208" t="inlineStr">
        <is>
          <t>S7 · séance 3</t>
        </is>
      </c>
    </row>
    <row r="35" ht="15" customHeight="1" s="107">
      <c r="A35" s="208" t="n">
        <v>31</v>
      </c>
      <c r="B35" s="208" t="inlineStr">
        <is>
          <t>S7 · séance 4</t>
        </is>
      </c>
    </row>
    <row r="36" ht="15" customHeight="1" s="107">
      <c r="A36" s="208" t="n">
        <v>32</v>
      </c>
      <c r="B36" s="208" t="inlineStr">
        <is>
          <t>S7 · séance 5</t>
        </is>
      </c>
    </row>
    <row r="37" ht="15" customHeight="1" s="107">
      <c r="A37" s="208" t="n">
        <v>33</v>
      </c>
      <c r="B37" s="208" t="inlineStr">
        <is>
          <t>S7 · séance 6</t>
        </is>
      </c>
    </row>
    <row r="38" ht="15" customHeight="1" s="107">
      <c r="A38" s="209" t="n">
        <v>34</v>
      </c>
      <c r="B38" s="209" t="inlineStr">
        <is>
          <t>⏳ TAMPON P5 — réserve a</t>
        </is>
      </c>
    </row>
    <row r="39" ht="15" customHeight="1" s="107">
      <c r="A39" s="209" t="n">
        <v>35</v>
      </c>
      <c r="B39" s="209" t="inlineStr">
        <is>
          <t>⏳ TAMPON P5 — réserve b (revue de projet de secours)</t>
        </is>
      </c>
    </row>
    <row r="40" ht="15" customHeight="1" s="107">
      <c r="A40" s="209" t="n">
        <v>36</v>
      </c>
      <c r="B40" s="209" t="inlineStr">
        <is>
          <t>⏳ TAMPON P5 — réserve c (bilan de l'année)</t>
        </is>
      </c>
    </row>
    <row r="41" ht="15" customHeight="1" s="107">
      <c r="A41" s="209" t="n">
        <v>37</v>
      </c>
      <c r="B41" s="209" t="inlineStr">
        <is>
          <t>⏳ TAMPON P5 — réserve d (fin des cours)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2026-07-23T04:01:10Z</dcterms:created>
  <dcterms:modified xsi:type="dcterms:W3CDTF">2026-07-23T14:30:50Z</dcterms:modified>
  <cp:revision>0</cp:revision>
</cp:coreProperties>
</file>