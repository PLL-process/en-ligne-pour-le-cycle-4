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4585" yWindow="1020" windowWidth="24690" windowHeight="13050" tabRatio="500" firstSheet="0" activeTab="0" autoFilterDateGrouping="1"/>
  </bookViews>
  <sheets>
    <sheet xmlns:r="http://schemas.openxmlformats.org/officeDocument/2006/relationships" name="🏠 Accueil" sheetId="1" state="visible" r:id="rId1"/>
    <sheet xmlns:r="http://schemas.openxmlformats.org/officeDocument/2006/relationships" name="📅 Calendrier" sheetId="2" state="visible" r:id="rId2"/>
    <sheet xmlns:r="http://schemas.openxmlformats.org/officeDocument/2006/relationships" name="🗓 Frise de l'année" sheetId="3" state="visible" r:id="rId3"/>
    <sheet xmlns:r="http://schemas.openxmlformats.org/officeDocument/2006/relationships" name="📚 Référentiel Cycle 4" sheetId="4" state="visible" r:id="rId4"/>
    <sheet xmlns:r="http://schemas.openxmlformats.org/officeDocument/2006/relationships" name="📗 Référentiel 4e" sheetId="5" state="visible" r:id="rId5"/>
    <sheet xmlns:r="http://schemas.openxmlformats.org/officeDocument/2006/relationships" name="🧭 Progression" sheetId="6" state="visible" r:id="rId6"/>
    <sheet xmlns:r="http://schemas.openxmlformats.org/officeDocument/2006/relationships" name="S1" sheetId="7" state="visible" r:id="rId7"/>
    <sheet xmlns:r="http://schemas.openxmlformats.org/officeDocument/2006/relationships" name="S2" sheetId="8" state="visible" r:id="rId8"/>
    <sheet xmlns:r="http://schemas.openxmlformats.org/officeDocument/2006/relationships" name="S3" sheetId="9" state="visible" r:id="rId9"/>
    <sheet xmlns:r="http://schemas.openxmlformats.org/officeDocument/2006/relationships" name="S4" sheetId="10" state="visible" r:id="rId10"/>
    <sheet xmlns:r="http://schemas.openxmlformats.org/officeDocument/2006/relationships" name="S5" sheetId="11" state="visible" r:id="rId11"/>
    <sheet xmlns:r="http://schemas.openxmlformats.org/officeDocument/2006/relationships" name="S6" sheetId="12" state="visible" r:id="rId12"/>
    <sheet xmlns:r="http://schemas.openxmlformats.org/officeDocument/2006/relationships" name="S7" sheetId="13" state="visible" r:id="rId13"/>
    <sheet xmlns:r="http://schemas.openxmlformats.org/officeDocument/2006/relationships" name="⚙ Moteur" sheetId="14" state="visible" r:id="rId14"/>
  </sheets>
  <definedNames/>
  <calcPr calcId="191029" fullCalcOnLoad="1" iterateDelta="0.0001"/>
</workbook>
</file>

<file path=xl/styles.xml><?xml version="1.0" encoding="utf-8"?>
<styleSheet xmlns="http://schemas.openxmlformats.org/spreadsheetml/2006/main">
  <numFmts count="0"/>
  <fonts count="36">
    <font>
      <name val="Calibri"/>
      <charset val="1"/>
      <family val="2"/>
      <color theme="1"/>
      <sz val="11"/>
    </font>
    <font>
      <name val="Arial"/>
      <charset val="1"/>
      <b val="1"/>
      <color rgb="FFFFFFFF"/>
      <sz val="22"/>
    </font>
    <font>
      <name val="Arial"/>
      <charset val="1"/>
      <i val="1"/>
      <color rgb="FF595959"/>
      <sz val="10"/>
    </font>
    <font>
      <name val="Arial"/>
      <charset val="1"/>
      <b val="1"/>
      <color rgb="FF1F4E79"/>
      <sz val="13"/>
    </font>
    <font>
      <name val="Arial"/>
      <charset val="1"/>
      <b val="1"/>
      <color rgb="FFFFFFFF"/>
      <sz val="16"/>
    </font>
    <font>
      <name val="Arial"/>
      <charset val="1"/>
      <b val="1"/>
      <color rgb="FF1F7A6E"/>
      <sz val="10"/>
    </font>
    <font>
      <name val="Arial"/>
      <charset val="1"/>
      <b val="1"/>
      <color rgb="FFBF8F00"/>
      <sz val="10"/>
    </font>
    <font>
      <name val="Arial"/>
      <charset val="1"/>
      <b val="1"/>
      <color rgb="FF808080"/>
      <sz val="10"/>
    </font>
    <font>
      <name val="Arial"/>
      <charset val="1"/>
      <b val="1"/>
      <color rgb="FF2E75B6"/>
      <sz val="10"/>
    </font>
    <font>
      <name val="Arial"/>
      <charset val="1"/>
      <b val="1"/>
      <color rgb="FF7030A0"/>
      <sz val="10"/>
    </font>
    <font>
      <name val="Arial"/>
      <charset val="1"/>
      <b val="1"/>
      <color rgb="FF538135"/>
      <sz val="10"/>
    </font>
    <font>
      <name val="Arial"/>
      <charset val="1"/>
      <b val="1"/>
      <color rgb="FFFFFFFF"/>
      <sz val="11"/>
    </font>
    <font>
      <name val="Arial"/>
      <charset val="1"/>
      <color rgb="FF595959"/>
      <sz val="9"/>
    </font>
    <font>
      <name val="Arial"/>
      <charset val="1"/>
      <b val="1"/>
      <color rgb="FF1F4E79"/>
      <sz val="10"/>
    </font>
    <font>
      <name val="Arial"/>
      <charset val="1"/>
      <sz val="9.5"/>
    </font>
    <font>
      <name val="Arial"/>
      <charset val="1"/>
      <i val="1"/>
      <color rgb="FF595959"/>
      <sz val="9"/>
    </font>
    <font>
      <name val="Arial"/>
      <charset val="1"/>
      <b val="1"/>
      <color rgb="FF1F4E79"/>
      <sz val="16"/>
    </font>
    <font>
      <name val="Arial"/>
      <charset val="1"/>
      <b val="1"/>
      <color rgb="FFFFFFFF"/>
      <sz val="10"/>
    </font>
    <font>
      <name val="Arial"/>
      <charset val="1"/>
      <b val="1"/>
      <color rgb="FF808080"/>
      <sz val="8"/>
    </font>
    <font>
      <name val="Arial"/>
      <charset val="1"/>
      <b val="1"/>
      <color rgb="FFC55A11"/>
      <sz val="10"/>
    </font>
    <font>
      <name val="Arial"/>
      <charset val="1"/>
      <sz val="10"/>
    </font>
    <font>
      <name val="Arial"/>
      <charset val="1"/>
      <color rgb="FF808080"/>
      <sz val="8"/>
    </font>
    <font>
      <name val="Arial"/>
      <charset val="1"/>
      <b val="1"/>
      <color rgb="FF1F4E79"/>
      <sz val="11"/>
    </font>
    <font>
      <name val="Arial"/>
      <charset val="1"/>
      <b val="1"/>
      <sz val="10"/>
    </font>
    <font>
      <name val="Arial"/>
      <charset val="1"/>
      <b val="1"/>
      <color rgb="FF1F4E79"/>
      <sz val="15"/>
    </font>
    <font>
      <name val="Arial"/>
      <charset val="1"/>
      <b val="1"/>
      <sz val="8"/>
    </font>
    <font>
      <name val="Arial"/>
      <charset val="1"/>
      <color rgb="FF595959"/>
      <sz val="7"/>
    </font>
    <font>
      <name val="Arial"/>
      <charset val="1"/>
      <b val="1"/>
      <color rgb="FFFFFFFF"/>
      <sz val="8"/>
    </font>
    <font>
      <name val="Arial"/>
      <charset val="1"/>
      <sz val="8"/>
    </font>
    <font>
      <name val="Arial"/>
      <charset val="1"/>
      <b val="1"/>
      <color rgb="FFC00000"/>
      <sz val="10"/>
    </font>
    <font>
      <name val="Arial"/>
      <charset val="1"/>
      <b val="1"/>
      <color rgb="FFC00000"/>
      <sz val="8"/>
    </font>
    <font>
      <name val="Arial"/>
      <charset val="1"/>
      <b val="1"/>
      <color rgb="FF1F4E79"/>
      <sz val="10.5"/>
    </font>
    <font>
      <name val="Arial"/>
      <charset val="1"/>
      <sz val="9"/>
    </font>
    <font>
      <name val="Arial"/>
      <charset val="1"/>
      <b val="1"/>
      <color rgb="FFC55A11"/>
      <sz val="14"/>
    </font>
    <font>
      <name val="Arial"/>
      <charset val="1"/>
      <b val="1"/>
      <color rgb="FF2E75B6"/>
      <sz val="14"/>
    </font>
    <font>
      <name val="Arial"/>
      <charset val="1"/>
      <b val="1"/>
      <color rgb="FF538135"/>
      <sz val="14"/>
    </font>
  </fonts>
  <fills count="19">
    <fill>
      <patternFill/>
    </fill>
    <fill>
      <patternFill patternType="gray125"/>
    </fill>
    <fill>
      <patternFill patternType="solid">
        <fgColor rgb="FF0D2347"/>
        <bgColor rgb="FF333333"/>
      </patternFill>
    </fill>
    <fill>
      <patternFill patternType="solid">
        <fgColor rgb="FF1F7A6E"/>
        <bgColor rgb="FF008080"/>
      </patternFill>
    </fill>
    <fill>
      <patternFill patternType="solid">
        <fgColor rgb="FFBF8F00"/>
        <bgColor rgb="FF808000"/>
      </patternFill>
    </fill>
    <fill>
      <patternFill patternType="solid">
        <fgColor rgb="FF808080"/>
        <bgColor rgb="FF969696"/>
      </patternFill>
    </fill>
    <fill>
      <patternFill patternType="solid">
        <fgColor rgb="FFFAFAFA"/>
        <bgColor rgb="FFFFFFFF"/>
      </patternFill>
    </fill>
    <fill>
      <patternFill patternType="solid">
        <fgColor rgb="FF2E75B6"/>
        <bgColor rgb="FF1F7A6E"/>
      </patternFill>
    </fill>
    <fill>
      <patternFill patternType="solid">
        <fgColor rgb="FF7030A0"/>
        <bgColor rgb="FF993366"/>
      </patternFill>
    </fill>
    <fill>
      <patternFill patternType="solid">
        <fgColor rgb="FF538135"/>
        <bgColor rgb="FF808000"/>
      </patternFill>
    </fill>
    <fill>
      <patternFill patternType="solid">
        <fgColor rgb="FFC55A11"/>
        <bgColor rgb="FF993300"/>
      </patternFill>
    </fill>
    <fill>
      <patternFill patternType="solid">
        <fgColor rgb="FFDDEBF7"/>
        <bgColor rgb="FFE2EFDA"/>
      </patternFill>
    </fill>
    <fill>
      <patternFill patternType="solid">
        <fgColor rgb="FFC00000"/>
        <bgColor rgb="FF800000"/>
      </patternFill>
    </fill>
    <fill>
      <patternFill patternType="solid">
        <fgColor rgb="FFFCE4D6"/>
        <bgColor rgb="FFFFF2CC"/>
      </patternFill>
    </fill>
    <fill>
      <patternFill patternType="solid">
        <fgColor rgb="FFFFF2CC"/>
        <bgColor rgb="FFFCE4D6"/>
      </patternFill>
    </fill>
    <fill>
      <patternFill patternType="solid">
        <fgColor rgb="FFFDF2F2"/>
        <bgColor rgb="FFF2F2F2"/>
      </patternFill>
    </fill>
    <fill>
      <patternFill patternType="solid">
        <fgColor rgb="FFE2EFDA"/>
        <bgColor rgb="FFDDEBF7"/>
      </patternFill>
    </fill>
    <fill>
      <patternFill patternType="solid">
        <fgColor rgb="FFE6DEEF"/>
        <bgColor rgb="FFDDEBF7"/>
      </patternFill>
    </fill>
    <fill>
      <patternFill patternType="solid">
        <fgColor rgb="FFF2F2F2"/>
        <bgColor rgb="FFFDF2F2"/>
      </patternFill>
    </fill>
  </fills>
  <borders count="5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10">
    <xf numFmtId="0" fontId="0" fillId="0" borderId="0" pivotButton="0" quotePrefix="0" xfId="0"/>
    <xf numFmtId="0" fontId="10" fillId="6" borderId="0" applyAlignment="1" pivotButton="0" quotePrefix="0" xfId="0">
      <alignment horizontal="center" vertical="center" wrapText="1"/>
    </xf>
    <xf numFmtId="0" fontId="9" fillId="6" borderId="0" applyAlignment="1" pivotButton="0" quotePrefix="0" xfId="0">
      <alignment horizontal="center" vertical="center" wrapText="1"/>
    </xf>
    <xf numFmtId="0" fontId="8" fillId="6" borderId="0" applyAlignment="1" pivotButton="0" quotePrefix="0" xfId="0">
      <alignment horizontal="center" vertical="center" wrapText="1"/>
    </xf>
    <xf numFmtId="0" fontId="4" fillId="9" borderId="0" applyAlignment="1" pivotButton="0" quotePrefix="0" xfId="0">
      <alignment horizontal="center" vertical="center" wrapText="1"/>
    </xf>
    <xf numFmtId="0" fontId="4" fillId="8" borderId="0" applyAlignment="1" pivotButton="0" quotePrefix="0" xfId="0">
      <alignment horizontal="center" vertical="center" wrapText="1"/>
    </xf>
    <xf numFmtId="0" fontId="4" fillId="7" borderId="0" applyAlignment="1" pivotButton="0" quotePrefix="0" xfId="0">
      <alignment horizontal="center" vertical="center" wrapText="1"/>
    </xf>
    <xf numFmtId="0" fontId="7" fillId="6" borderId="0" applyAlignment="1" pivotButton="0" quotePrefix="0" xfId="0">
      <alignment horizontal="center" vertical="center" wrapText="1"/>
    </xf>
    <xf numFmtId="0" fontId="6" fillId="6" borderId="0" applyAlignment="1" pivotButton="0" quotePrefix="0" xfId="0">
      <alignment horizontal="center" vertical="center" wrapText="1"/>
    </xf>
    <xf numFmtId="0" fontId="5" fillId="6" borderId="0" applyAlignment="1" pivotButton="0" quotePrefix="0" xfId="0">
      <alignment horizontal="center" vertical="center" wrapText="1"/>
    </xf>
    <xf numFmtId="0" fontId="4" fillId="5" borderId="0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 wrapText="1"/>
    </xf>
    <xf numFmtId="0" fontId="4" fillId="3" borderId="0" applyAlignment="1" pivotButton="0" quotePrefix="0" xfId="0">
      <alignment horizontal="center" vertical="center" wrapText="1"/>
    </xf>
    <xf numFmtId="0" fontId="2" fillId="0" borderId="0" applyAlignment="1" pivotButton="0" quotePrefix="0" xfId="0">
      <alignment horizontal="center" vertical="center" wrapText="1"/>
    </xf>
    <xf numFmtId="0" fontId="1" fillId="2" borderId="0" applyAlignment="1" pivotButton="0" quotePrefix="0" xfId="0">
      <alignment horizontal="center" vertical="center" wrapText="1"/>
    </xf>
    <xf numFmtId="0" fontId="3" fillId="0" borderId="0" pivotButton="0" quotePrefix="0" xfId="0"/>
    <xf numFmtId="0" fontId="11" fillId="3" borderId="0" applyAlignment="1" pivotButton="0" quotePrefix="0" xfId="0">
      <alignment vertical="center" indent="1"/>
    </xf>
    <xf numFmtId="0" fontId="12" fillId="0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indent="1"/>
    </xf>
    <xf numFmtId="0" fontId="11" fillId="4" borderId="0" applyAlignment="1" pivotButton="0" quotePrefix="0" xfId="0">
      <alignment vertical="center" indent="1"/>
    </xf>
    <xf numFmtId="0" fontId="11" fillId="10" borderId="0" applyAlignment="1" pivotButton="0" quotePrefix="0" xfId="0">
      <alignment vertical="center" indent="1"/>
    </xf>
    <xf numFmtId="0" fontId="11" fillId="7" borderId="0" applyAlignment="1" pivotButton="0" quotePrefix="0" xfId="0">
      <alignment vertical="center" indent="1"/>
    </xf>
    <xf numFmtId="0" fontId="11" fillId="9" borderId="0" applyAlignment="1" pivotButton="0" quotePrefix="0" xfId="0">
      <alignment vertical="center" indent="1"/>
    </xf>
    <xf numFmtId="0" fontId="13" fillId="11" borderId="1" applyAlignment="1" pivotButton="0" quotePrefix="0" xfId="0">
      <alignment vertical="top" wrapText="1"/>
    </xf>
    <xf numFmtId="0" fontId="15" fillId="0" borderId="0" pivotButton="0" quotePrefix="0" xfId="0"/>
    <xf numFmtId="0" fontId="16" fillId="0" borderId="0" pivotButton="0" quotePrefix="0" xfId="0"/>
    <xf numFmtId="0" fontId="17" fillId="2" borderId="0" applyAlignment="1" pivotButton="0" quotePrefix="0" xfId="0">
      <alignment horizontal="center" vertical="center" wrapText="1"/>
    </xf>
    <xf numFmtId="0" fontId="17" fillId="12" borderId="1" applyAlignment="1" pivotButton="0" quotePrefix="0" xfId="0">
      <alignment horizontal="center" vertical="center" wrapText="1"/>
    </xf>
    <xf numFmtId="0" fontId="17" fillId="5" borderId="1" applyAlignment="1" pivotButton="0" quotePrefix="0" xfId="0">
      <alignment horizontal="center" vertical="center" wrapText="1"/>
    </xf>
    <xf numFmtId="0" fontId="17" fillId="3" borderId="1" applyAlignment="1" pivotButton="0" quotePrefix="0" xfId="0">
      <alignment horizontal="center" vertical="center" wrapText="1"/>
    </xf>
    <xf numFmtId="0" fontId="17" fillId="7" borderId="1" applyAlignment="1" pivotButton="0" quotePrefix="0" xfId="0">
      <alignment horizontal="center" vertical="center" wrapText="1"/>
    </xf>
    <xf numFmtId="0" fontId="17" fillId="8" borderId="1" applyAlignment="1" pivotButton="0" quotePrefix="0" xfId="0">
      <alignment horizontal="center" vertical="center" wrapText="1"/>
    </xf>
    <xf numFmtId="0" fontId="18" fillId="0" borderId="1" applyAlignment="1" pivotButton="0" quotePrefix="0" xfId="0">
      <alignment horizontal="center" vertical="center" wrapText="1"/>
    </xf>
    <xf numFmtId="0" fontId="19" fillId="13" borderId="1" pivotButton="0" quotePrefix="0" xfId="0"/>
    <xf numFmtId="0" fontId="20" fillId="13" borderId="1" pivotButton="0" quotePrefix="0" xfId="0"/>
    <xf numFmtId="0" fontId="20" fillId="0" borderId="1" applyAlignment="1" pivotButton="0" quotePrefix="0" xfId="0">
      <alignment vertical="top" wrapText="1"/>
    </xf>
    <xf numFmtId="0" fontId="20" fillId="14" borderId="1" applyAlignment="1" pivotButton="0" quotePrefix="0" xfId="0">
      <alignment vertical="top" wrapText="1"/>
    </xf>
    <xf numFmtId="0" fontId="0" fillId="14" borderId="1" applyAlignment="1" pivotButton="0" quotePrefix="0" xfId="0">
      <alignment vertical="top" wrapText="1"/>
    </xf>
    <xf numFmtId="0" fontId="0" fillId="15" borderId="1" pivotButton="0" quotePrefix="0" xfId="0"/>
    <xf numFmtId="0" fontId="21" fillId="0" borderId="1" applyAlignment="1" pivotButton="0" quotePrefix="0" xfId="0">
      <alignment horizontal="center" vertical="center" wrapText="1"/>
    </xf>
    <xf numFmtId="0" fontId="8" fillId="11" borderId="1" pivotButton="0" quotePrefix="0" xfId="0"/>
    <xf numFmtId="0" fontId="20" fillId="11" borderId="1" pivotButton="0" quotePrefix="0" xfId="0"/>
    <xf numFmtId="0" fontId="10" fillId="16" borderId="1" pivotButton="0" quotePrefix="0" xfId="0"/>
    <xf numFmtId="0" fontId="20" fillId="16" borderId="1" pivotButton="0" quotePrefix="0" xfId="0"/>
    <xf numFmtId="0" fontId="9" fillId="17" borderId="1" pivotButton="0" quotePrefix="0" xfId="0"/>
    <xf numFmtId="0" fontId="20" fillId="17" borderId="1" pivotButton="0" quotePrefix="0" xfId="0"/>
    <xf numFmtId="0" fontId="6" fillId="14" borderId="1" pivotButton="0" quotePrefix="0" xfId="0"/>
    <xf numFmtId="0" fontId="20" fillId="14" borderId="1" pivotButton="0" quotePrefix="0" xfId="0"/>
    <xf numFmtId="0" fontId="22" fillId="0" borderId="0" pivotButton="0" quotePrefix="0" xfId="0"/>
    <xf numFmtId="0" fontId="23" fillId="0" borderId="0" pivotButton="0" quotePrefix="0" xfId="0"/>
    <xf numFmtId="0" fontId="17" fillId="4" borderId="0" applyAlignment="1" pivotButton="0" quotePrefix="0" xfId="0">
      <alignment horizontal="center" vertical="center" wrapText="1"/>
    </xf>
    <xf numFmtId="0" fontId="25" fillId="13" borderId="1" applyAlignment="1" pivotButton="0" quotePrefix="0" xfId="0">
      <alignment horizontal="center" vertical="center" wrapText="1"/>
    </xf>
    <xf numFmtId="0" fontId="25" fillId="11" borderId="1" applyAlignment="1" pivotButton="0" quotePrefix="0" xfId="0">
      <alignment horizontal="center" vertical="center" wrapText="1"/>
    </xf>
    <xf numFmtId="0" fontId="25" fillId="16" borderId="1" applyAlignment="1" pivotButton="0" quotePrefix="0" xfId="0">
      <alignment horizontal="center" vertical="center" wrapText="1"/>
    </xf>
    <xf numFmtId="0" fontId="25" fillId="17" borderId="1" applyAlignment="1" pivotButton="0" quotePrefix="0" xfId="0">
      <alignment horizontal="center" vertical="center" wrapText="1"/>
    </xf>
    <xf numFmtId="0" fontId="25" fillId="14" borderId="1" applyAlignment="1" pivotButton="0" quotePrefix="0" xfId="0">
      <alignment horizontal="center" vertical="center" wrapText="1"/>
    </xf>
    <xf numFmtId="0" fontId="26" fillId="0" borderId="1" applyAlignment="1" pivotButton="0" quotePrefix="0" xfId="0">
      <alignment horizontal="center" vertical="center" textRotation="90"/>
    </xf>
    <xf numFmtId="0" fontId="19" fillId="0" borderId="0" applyAlignment="1" pivotButton="0" quotePrefix="0" xfId="0">
      <alignment vertical="top" wrapText="1"/>
    </xf>
    <xf numFmtId="0" fontId="27" fillId="0" borderId="1" applyAlignment="1" pivotButton="0" quotePrefix="0" xfId="0">
      <alignment horizontal="center" vertical="center" wrapText="1"/>
    </xf>
    <xf numFmtId="0" fontId="8" fillId="0" borderId="0" applyAlignment="1" pivotButton="0" quotePrefix="0" xfId="0">
      <alignment vertical="top" wrapText="1"/>
    </xf>
    <xf numFmtId="0" fontId="10" fillId="0" borderId="0" applyAlignment="1" pivotButton="0" quotePrefix="0" xfId="0">
      <alignment vertical="top" wrapText="1"/>
    </xf>
    <xf numFmtId="0" fontId="7" fillId="0" borderId="0" pivotButton="0" quotePrefix="0" xfId="0"/>
    <xf numFmtId="0" fontId="28" fillId="0" borderId="1" applyAlignment="1" pivotButton="0" quotePrefix="0" xfId="0">
      <alignment horizontal="center" vertical="center" wrapText="1"/>
    </xf>
    <xf numFmtId="0" fontId="29" fillId="0" borderId="0" pivotButton="0" quotePrefix="0" xfId="0"/>
    <xf numFmtId="0" fontId="30" fillId="0" borderId="1" applyAlignment="1" pivotButton="0" quotePrefix="0" xfId="0">
      <alignment horizontal="center" vertical="center" wrapText="1"/>
    </xf>
    <xf numFmtId="0" fontId="31" fillId="11" borderId="1" applyAlignment="1" pivotButton="0" quotePrefix="0" xfId="0">
      <alignment vertical="top" wrapText="1"/>
    </xf>
    <xf numFmtId="0" fontId="23" fillId="0" borderId="1" applyAlignment="1" pivotButton="0" quotePrefix="0" xfId="0">
      <alignment vertical="top" wrapText="1"/>
    </xf>
    <xf numFmtId="0" fontId="20" fillId="13" borderId="1" applyAlignment="1" pivotButton="0" quotePrefix="0" xfId="0">
      <alignment horizontal="center" vertical="center" wrapText="1"/>
    </xf>
    <xf numFmtId="0" fontId="23" fillId="13" borderId="1" applyAlignment="1" pivotButton="0" quotePrefix="0" xfId="0">
      <alignment vertical="top" wrapText="1"/>
    </xf>
    <xf numFmtId="0" fontId="20" fillId="13" borderId="1" applyAlignment="1" pivotButton="0" quotePrefix="0" xfId="0">
      <alignment vertical="top" wrapText="1"/>
    </xf>
    <xf numFmtId="0" fontId="32" fillId="13" borderId="1" applyAlignment="1" pivotButton="0" quotePrefix="0" xfId="0">
      <alignment horizontal="center" vertical="center" wrapText="1"/>
    </xf>
    <xf numFmtId="0" fontId="20" fillId="11" borderId="1" applyAlignment="1" pivotButton="0" quotePrefix="0" xfId="0">
      <alignment horizontal="center" vertical="center" wrapText="1"/>
    </xf>
    <xf numFmtId="0" fontId="23" fillId="11" borderId="1" applyAlignment="1" pivotButton="0" quotePrefix="0" xfId="0">
      <alignment vertical="top" wrapText="1"/>
    </xf>
    <xf numFmtId="0" fontId="20" fillId="11" borderId="1" applyAlignment="1" pivotButton="0" quotePrefix="0" xfId="0">
      <alignment vertical="top" wrapText="1"/>
    </xf>
    <xf numFmtId="0" fontId="32" fillId="11" borderId="1" applyAlignment="1" pivotButton="0" quotePrefix="0" xfId="0">
      <alignment horizontal="center" vertical="center" wrapText="1"/>
    </xf>
    <xf numFmtId="0" fontId="20" fillId="16" borderId="1" applyAlignment="1" pivotButton="0" quotePrefix="0" xfId="0">
      <alignment horizontal="center" vertical="center" wrapText="1"/>
    </xf>
    <xf numFmtId="0" fontId="23" fillId="16" borderId="1" applyAlignment="1" pivotButton="0" quotePrefix="0" xfId="0">
      <alignment vertical="top" wrapText="1"/>
    </xf>
    <xf numFmtId="0" fontId="20" fillId="16" borderId="1" applyAlignment="1" pivotButton="0" quotePrefix="0" xfId="0">
      <alignment vertical="top" wrapText="1"/>
    </xf>
    <xf numFmtId="0" fontId="32" fillId="16" borderId="1" applyAlignment="1" pivotButton="0" quotePrefix="0" xfId="0">
      <alignment horizontal="center" vertical="center" wrapText="1"/>
    </xf>
    <xf numFmtId="0" fontId="23" fillId="0" borderId="0" applyAlignment="1" pivotButton="0" quotePrefix="0" xfId="0">
      <alignment horizontal="right"/>
    </xf>
    <xf numFmtId="0" fontId="23" fillId="0" borderId="1" applyAlignment="1" pivotButton="0" quotePrefix="0" xfId="0">
      <alignment horizontal="center" vertical="center" wrapText="1"/>
    </xf>
    <xf numFmtId="0" fontId="23" fillId="14" borderId="1" applyAlignment="1" pivotButton="0" quotePrefix="0" xfId="0">
      <alignment vertical="top" wrapText="1"/>
    </xf>
    <xf numFmtId="0" fontId="15" fillId="18" borderId="1" applyAlignment="1" pivotButton="0" quotePrefix="0" xfId="0">
      <alignment vertical="top" wrapText="1"/>
    </xf>
    <xf numFmtId="0" fontId="15" fillId="18" borderId="1" pivotButton="0" quotePrefix="0" xfId="0"/>
    <xf numFmtId="0" fontId="17" fillId="7" borderId="1" pivotButton="0" quotePrefix="0" xfId="0"/>
    <xf numFmtId="0" fontId="20" fillId="0" borderId="1" pivotButton="0" quotePrefix="0" xfId="0"/>
    <xf numFmtId="0" fontId="20" fillId="18" borderId="1" pivotButton="0" quotePrefix="0" xfId="0"/>
    <xf numFmtId="0" fontId="12" fillId="0" borderId="0" applyAlignment="1" pivotButton="0" quotePrefix="0" xfId="0">
      <alignment vertical="center" wrapText="1"/>
    </xf>
    <xf numFmtId="0" fontId="14" fillId="0" borderId="2" applyAlignment="1" pivotButton="0" quotePrefix="0" xfId="0">
      <alignment vertical="top" wrapText="1"/>
    </xf>
    <xf numFmtId="0" fontId="13" fillId="0" borderId="0" pivotButton="0" quotePrefix="0" xfId="0"/>
    <xf numFmtId="0" fontId="17" fillId="2" borderId="0" applyAlignment="1" pivotButton="0" quotePrefix="0" xfId="0">
      <alignment horizontal="center" vertical="center" wrapText="1"/>
    </xf>
    <xf numFmtId="0" fontId="15" fillId="0" borderId="0" pivotButton="0" quotePrefix="0" xfId="0"/>
    <xf numFmtId="0" fontId="24" fillId="0" borderId="0" pivotButton="0" quotePrefix="0" xfId="0"/>
    <xf numFmtId="0" fontId="13" fillId="0" borderId="0" applyAlignment="1" pivotButton="0" quotePrefix="0" xfId="0">
      <alignment vertical="center" wrapText="1"/>
    </xf>
    <xf numFmtId="0" fontId="17" fillId="10" borderId="0" applyAlignment="1" pivotButton="0" quotePrefix="0" xfId="0">
      <alignment horizontal="center" vertical="center" wrapText="1"/>
    </xf>
    <xf numFmtId="0" fontId="17" fillId="7" borderId="0" applyAlignment="1" pivotButton="0" quotePrefix="0" xfId="0">
      <alignment horizontal="center" vertical="center" wrapText="1"/>
    </xf>
    <xf numFmtId="0" fontId="17" fillId="9" borderId="0" applyAlignment="1" pivotButton="0" quotePrefix="0" xfId="0">
      <alignment horizontal="center" vertical="center" wrapText="1"/>
    </xf>
    <xf numFmtId="0" fontId="17" fillId="8" borderId="0" applyAlignment="1" pivotButton="0" quotePrefix="0" xfId="0">
      <alignment horizontal="center" vertical="center" wrapText="1"/>
    </xf>
    <xf numFmtId="0" fontId="17" fillId="4" borderId="0" applyAlignment="1" pivotButton="0" quotePrefix="0" xfId="0">
      <alignment horizontal="center" vertical="center" wrapText="1"/>
    </xf>
    <xf numFmtId="0" fontId="15" fillId="0" borderId="0" applyAlignment="1" pivotButton="0" quotePrefix="0" xfId="0">
      <alignment vertical="top" wrapText="1"/>
    </xf>
    <xf numFmtId="0" fontId="33" fillId="0" borderId="0" pivotButton="0" quotePrefix="0" xfId="0"/>
    <xf numFmtId="0" fontId="20" fillId="0" borderId="2" applyAlignment="1" pivotButton="0" quotePrefix="0" xfId="0">
      <alignment vertical="top" wrapText="1"/>
    </xf>
    <xf numFmtId="0" fontId="11" fillId="10" borderId="0" applyAlignment="1" pivotButton="0" quotePrefix="0" xfId="0">
      <alignment vertical="top" wrapText="1"/>
    </xf>
    <xf numFmtId="0" fontId="20" fillId="14" borderId="2" applyAlignment="1" pivotButton="0" quotePrefix="0" xfId="0">
      <alignment vertical="top" wrapText="1"/>
    </xf>
    <xf numFmtId="0" fontId="15" fillId="18" borderId="2" pivotButton="0" quotePrefix="0" xfId="0"/>
    <xf numFmtId="0" fontId="34" fillId="0" borderId="0" pivotButton="0" quotePrefix="0" xfId="0"/>
    <xf numFmtId="0" fontId="11" fillId="7" borderId="0" applyAlignment="1" pivotButton="0" quotePrefix="0" xfId="0">
      <alignment vertical="top" wrapText="1"/>
    </xf>
    <xf numFmtId="0" fontId="35" fillId="0" borderId="0" pivotButton="0" quotePrefix="0" xfId="0"/>
    <xf numFmtId="0" fontId="11" fillId="9" borderId="0" applyAlignment="1" pivotButton="0" quotePrefix="0" xfId="0">
      <alignment vertical="top" wrapText="1"/>
    </xf>
    <xf numFmtId="0" fontId="0" fillId="0" borderId="4" pivotButton="0" quotePrefix="0" xfId="0"/>
  </cellXfs>
  <cellStyles count="1">
    <cellStyle name="Normal" xfId="0" builtinId="0"/>
  </cellStyles>
  <dxfs count="11">
    <dxf>
      <fill>
        <patternFill>
          <bgColor rgb="FFF8CBAD"/>
        </patternFill>
      </fill>
    </dxf>
    <dxf>
      <fill>
        <patternFill>
          <bgColor rgb="FFF2F2F2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538135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2E75B6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2E75B6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2E75B6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C55A11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C55A11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C55A11"/>
        </patternFill>
      </fill>
    </dxf>
    <dxf>
      <font>
        <name val="Arial"/>
        <charset val="1"/>
        <b val="1"/>
        <color rgb="FFC00000"/>
        <sz val="10"/>
      </font>
      <fill>
        <patternFill>
          <bgColor rgb="FFF8CBAD"/>
        </patternFill>
      </fill>
    </dxf>
    <dxf>
      <font>
        <name val="Arial"/>
        <charset val="1"/>
        <color rgb="FF808080"/>
        <sz val="10"/>
      </font>
      <fill>
        <patternFill>
          <bgColor rgb="FFF2F2F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1F7A6E"/>
      <rgbColor rgb="FFBFBFBF"/>
      <rgbColor rgb="FF808080"/>
      <rgbColor rgb="FF9999FF"/>
      <rgbColor rgb="FF7030A0"/>
      <rgbColor rgb="FFFFF2CC"/>
      <rgbColor rgb="FFDDEBF7"/>
      <rgbColor rgb="FF660066"/>
      <rgbColor rgb="FFFF8080"/>
      <rgbColor rgb="FF0066CC"/>
      <rgbColor rgb="FFE6DEE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2EFDA"/>
      <rgbColor rgb="FFFCE4D6"/>
      <rgbColor rgb="FFFDF2F2"/>
      <rgbColor rgb="FFFAFAFA"/>
      <rgbColor rgb="FFCC99FF"/>
      <rgbColor rgb="FFF8CBAD"/>
      <rgbColor rgb="FF2E75B6"/>
      <rgbColor rgb="FF33CCCC"/>
      <rgbColor rgb="FF99CC00"/>
      <rgbColor rgb="FFFFCC00"/>
      <rgbColor rgb="FFBF8F00"/>
      <rgbColor rgb="FFC55A11"/>
      <rgbColor rgb="FF595959"/>
      <rgbColor rgb="FF969696"/>
      <rgbColor rgb="FF0D2347"/>
      <rgbColor rgb="FF538135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Relationship Type="http://schemas.openxmlformats.org/officeDocument/2006/relationships/hyperlink" Target="Progression_Techno_4e_2026-2027_Martinique.xlsx" TargetMode="External" Id="rId2"/><Relationship Type="http://schemas.openxmlformats.org/officeDocument/2006/relationships/hyperlink" Target="Progression_Techno_4e_2026-2027_Martinique.xlsx" TargetMode="External" Id="rId3"/><Relationship Type="http://schemas.openxmlformats.org/officeDocument/2006/relationships/hyperlink" Target="Progression_Techno_4e_2026-2027_Martinique.xlsx" TargetMode="External" Id="rId4"/><Relationship Type="http://schemas.openxmlformats.org/officeDocument/2006/relationships/hyperlink" Target="Progression_Techno_4e_2026-2027_Martinique.xlsx" TargetMode="External" Id="rId5"/><Relationship Type="http://schemas.openxmlformats.org/officeDocument/2006/relationships/hyperlink" Target="Progression_Techno_4e_2026-2027_Martinique.xlsx" TargetMode="External" Id="rId6"/><Relationship Type="http://schemas.openxmlformats.org/officeDocument/2006/relationships/hyperlink" Target="Progression_Techno_4e_2026-2027_Martinique.xlsx" TargetMode="External" Id="rId7"/><Relationship Type="http://schemas.openxmlformats.org/officeDocument/2006/relationships/hyperlink" Target="Progression_Techno_4e_2026-2027_Martinique.xlsx" TargetMode="External" Id="rId8"/><Relationship Type="http://schemas.openxmlformats.org/officeDocument/2006/relationships/hyperlink" Target="Progression_Techno_4e_2026-2027_Martinique.xlsx" TargetMode="External" Id="rId9"/><Relationship Type="http://schemas.openxmlformats.org/officeDocument/2006/relationships/hyperlink" Target="Progression_Techno_4e_2026-2027_Martinique.xlsx" TargetMode="External" Id="rId10"/><Relationship Type="http://schemas.openxmlformats.org/officeDocument/2006/relationships/hyperlink" Target="Progression_Techno_4e_2026-2027_Martinique.xlsx" TargetMode="External" Id="rId11"/><Relationship Type="http://schemas.openxmlformats.org/officeDocument/2006/relationships/hyperlink" Target="Progression_Techno_4e_2026-2027_Martinique.xlsx" TargetMode="External" Id="rId12"/></Relationships>
</file>

<file path=xl/worksheets/_rels/sheet2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/Relationships>
</file>

<file path=xl/worksheets/_rels/sheet3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Relationship Type="http://schemas.openxmlformats.org/officeDocument/2006/relationships/hyperlink" Target="Progression_Techno_4e_2026-2027_Martinique.xlsx" TargetMode="External" Id="rId2"/><Relationship Type="http://schemas.openxmlformats.org/officeDocument/2006/relationships/hyperlink" Target="Progression_Techno_4e_2026-2027_Martinique.xlsx" TargetMode="External" Id="rId3"/><Relationship Type="http://schemas.openxmlformats.org/officeDocument/2006/relationships/hyperlink" Target="Progression_Techno_4e_2026-2027_Martinique.xlsx" TargetMode="External" Id="rId4"/><Relationship Type="http://schemas.openxmlformats.org/officeDocument/2006/relationships/hyperlink" Target="Progression_Techno_4e_2026-2027_Martinique.xlsx" TargetMode="External" Id="rId5"/><Relationship Type="http://schemas.openxmlformats.org/officeDocument/2006/relationships/hyperlink" Target="Progression_Techno_4e_2026-2027_Martinique.xlsx" TargetMode="External" Id="rId6"/><Relationship Type="http://schemas.openxmlformats.org/officeDocument/2006/relationships/hyperlink" Target="Progression_Techno_4e_2026-2027_Martinique.xlsx" TargetMode="External" Id="rId7"/><Relationship Type="http://schemas.openxmlformats.org/officeDocument/2006/relationships/hyperlink" Target="Progression_Techno_4e_2026-2027_Martinique.xlsx" TargetMode="External" Id="rId8"/></Relationships>
</file>

<file path=xl/worksheets/_rels/sheet4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/Relationships>
</file>

<file path=xl/worksheets/_rels/sheet5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/Relationships>
</file>

<file path=xl/worksheets/_rels/sheet6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/Relationships>
</file>

<file path=xl/worksheets/_rels/sheet7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Relationship Type="http://schemas.openxmlformats.org/officeDocument/2006/relationships/hyperlink" Target="Progression_Techno_4e_2026-2027_Martinique.xlsx" TargetMode="External" Id="rId2"/></Relationships>
</file>

<file path=xl/worksheets/_rels/sheet8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Relationship Type="http://schemas.openxmlformats.org/officeDocument/2006/relationships/hyperlink" Target="Progression_Techno_4e_2026-2027_Martinique.xlsx" TargetMode="External" Id="rId2"/></Relationships>
</file>

<file path=xl/worksheets/_rels/sheet9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Relationship Type="http://schemas.openxmlformats.org/officeDocument/2006/relationships/hyperlink" Target="Progression_Techno_4e_2026-2027_Martinique.xlsx" TargetMode="External" Id="rId2"/></Relationships>
</file>

<file path=xl/worksheets/_rels/sheet10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Relationship Type="http://schemas.openxmlformats.org/officeDocument/2006/relationships/hyperlink" Target="Progression_Techno_4e_2026-2027_Martinique.xlsx" TargetMode="External" Id="rId2"/></Relationships>
</file>

<file path=xl/worksheets/_rels/sheet11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Relationship Type="http://schemas.openxmlformats.org/officeDocument/2006/relationships/hyperlink" Target="Progression_Techno_4e_2026-2027_Martinique.xlsx" TargetMode="External" Id="rId2"/></Relationships>
</file>

<file path=xl/worksheets/_rels/sheet12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Relationship Type="http://schemas.openxmlformats.org/officeDocument/2006/relationships/hyperlink" Target="Progression_Techno_4e_2026-2027_Martinique.xlsx" TargetMode="External" Id="rId2"/></Relationships>
</file>

<file path=xl/worksheets/_rels/sheet13.xml.rels><Relationships xmlns="http://schemas.openxmlformats.org/package/2006/relationships"><Relationship Type="http://schemas.openxmlformats.org/officeDocument/2006/relationships/hyperlink" Target="Progression_Techno_4e_2026-2027_Martinique.xlsx" TargetMode="External" Id="rId1"/><Relationship Type="http://schemas.openxmlformats.org/officeDocument/2006/relationships/hyperlink" Target="Progression_Techno_4e_2026-2027_Martinique.xlsx" TargetMode="External" Id="rId2"/></Relationships>
</file>

<file path=xl/worksheets/sheet1.xml><?xml version="1.0" encoding="utf-8"?>
<worksheet xmlns="http://schemas.openxmlformats.org/spreadsheetml/2006/main">
  <sheetPr codeName="Feuil1">
    <tabColor rgb="FF0D2347"/>
    <outlinePr summaryBelow="1" summaryRight="1"/>
    <pageSetUpPr/>
  </sheetPr>
  <dimension ref="A1:H30"/>
  <sheetViews>
    <sheetView showGridLines="0" tabSelected="1" zoomScaleNormal="100" workbookViewId="0">
      <selection activeCell="A1" sqref="A1:H4"/>
    </sheetView>
  </sheetViews>
  <sheetFormatPr baseColWidth="10" defaultColWidth="8.69140625" defaultRowHeight="14.6"/>
  <cols>
    <col width="2" customWidth="1" min="1" max="1"/>
    <col width="30" customWidth="1" min="2" max="7"/>
    <col width="2" customWidth="1" min="8" max="8"/>
  </cols>
  <sheetData>
    <row r="1" ht="15" customHeight="1">
      <c r="A1" s="14" t="inlineStr">
        <is>
          <t>TECHNOLOGIE 4e
Progression annuelle 2026-2027 · Académie de Martinique</t>
        </is>
      </c>
    </row>
    <row r="2" ht="15" customHeight="1"/>
    <row r="3" ht="15" customHeight="1"/>
    <row r="4" ht="15" customHeight="1"/>
    <row r="5" ht="15" customHeight="1">
      <c r="A5" s="13" t="inlineStr">
        <is>
          <t>Programme 2024 (BO n°9 du 29/02/2024) · 1 h 30 / semaine · cahier Nathan 4e (éd. 2024) · ressources en ligne du dépôt « En ligne pour le cycle 4 »</t>
        </is>
      </c>
    </row>
    <row r="7" ht="15.75" customHeight="1">
      <c r="B7" s="15" t="inlineStr">
        <is>
          <t>📊 L'année en un coup d'œil</t>
        </is>
      </c>
    </row>
    <row r="8" ht="30" customHeight="1">
      <c r="B8" s="12" t="inlineStr">
        <is>
          <t>37</t>
        </is>
      </c>
      <c r="D8" s="11">
        <f>'🧭 Progression'!G11</f>
        <v/>
      </c>
      <c r="F8" s="10" t="inlineStr">
        <is>
          <t>9</t>
        </is>
      </c>
    </row>
    <row r="9" ht="15" customHeight="1">
      <c r="B9" s="9" t="inlineStr">
        <is>
          <t>Semaines de cours</t>
        </is>
      </c>
      <c r="D9" s="8" t="inlineStr">
        <is>
          <t>Séances planifiées</t>
        </is>
      </c>
      <c r="F9" s="7" t="inlineStr">
        <is>
          <t>Semaines tampon (aléas)</t>
        </is>
      </c>
    </row>
    <row r="11" ht="30" customHeight="1">
      <c r="B11" s="6" t="inlineStr">
        <is>
          <t>7</t>
        </is>
      </c>
      <c r="D11" s="5" t="inlineStr">
        <is>
          <t>38 (+C4.3 réintégré)</t>
        </is>
      </c>
      <c r="F11" s="4" t="inlineStr">
        <is>
          <t>6 QCM ✅ · séquences 🔜</t>
        </is>
      </c>
    </row>
    <row r="12" ht="15" customHeight="1">
      <c r="B12" s="3" t="inlineStr">
        <is>
          <t>Séquences</t>
        </is>
      </c>
      <c r="D12" s="2" t="inlineStr">
        <is>
          <t>Codes 4e travaillés</t>
        </is>
      </c>
      <c r="F12" s="1" t="inlineStr">
        <is>
          <t>Ressources en ligne</t>
        </is>
      </c>
    </row>
    <row r="14" ht="15.75" customHeight="1">
      <c r="B14" s="15" t="inlineStr">
        <is>
          <t>🧭 Naviguer dans le classeur (cliquer)</t>
        </is>
      </c>
    </row>
    <row r="15" ht="24" customHeight="1">
      <c r="B15" s="16" t="inlineStr">
        <is>
          <t>▸ 📅 Calendrier</t>
        </is>
      </c>
      <c r="C15" s="87" t="inlineStr">
        <is>
          <t>37 semaines, vacances, fériés, tampons, imprévus</t>
        </is>
      </c>
      <c r="E15" s="16" t="inlineStr">
        <is>
          <t>▸ 🗓 Frise de l'année</t>
        </is>
      </c>
      <c r="F15" s="87" t="inlineStr">
        <is>
          <t>les 7 séquences posées sur l'année (vue gantt)</t>
        </is>
      </c>
    </row>
    <row r="16" ht="24" customHeight="1">
      <c r="B16" s="18" t="inlineStr">
        <is>
          <t>▸ 📚 Référentiel Cycle 4</t>
        </is>
      </c>
      <c r="C16" s="87" t="inlineStr">
        <is>
          <t>C1 → C9 : les 114 sous-compétences du cycle</t>
        </is>
      </c>
      <c r="E16" s="18" t="inlineStr">
        <is>
          <t>▸ 📗 Référentiel 4e</t>
        </is>
      </c>
      <c r="F16" s="87" t="inlineStr">
        <is>
          <t>les 38 sous-compétences du niveau</t>
        </is>
      </c>
    </row>
    <row r="17" ht="24" customHeight="1">
      <c r="B17" s="19" t="inlineStr">
        <is>
          <t>▸ 🧭 Progression</t>
        </is>
      </c>
      <c r="C17" s="87" t="inlineStr">
        <is>
          <t>les 7 séquences : codes, répartition 🏫🏠🔁, ressources</t>
        </is>
      </c>
      <c r="E17" s="20" t="inlineStr">
        <is>
          <t>▸ S1</t>
        </is>
      </c>
      <c r="F17" s="87" t="inlineStr">
        <is>
          <t>Objets qui évoluent — IA Thème 1 (canevas)</t>
        </is>
      </c>
    </row>
    <row r="18" ht="24" customHeight="1">
      <c r="B18" s="20" t="inlineStr">
        <is>
          <t>▸ S2</t>
        </is>
      </c>
      <c r="C18" s="87" t="inlineStr">
        <is>
          <t>Identité numérique — IA Thème 1 (canevas)</t>
        </is>
      </c>
      <c r="E18" s="20" t="inlineStr">
        <is>
          <t>▸ S3</t>
        </is>
      </c>
      <c r="F18" s="87" t="inlineStr">
        <is>
          <t>Ergonomie et choix argumenté — IA Thème 1 (canevas)</t>
        </is>
      </c>
    </row>
    <row r="19" ht="24" customHeight="1">
      <c r="B19" s="21" t="inlineStr">
        <is>
          <t>▸ S4</t>
        </is>
      </c>
      <c r="C19" s="87" t="inlineStr">
        <is>
          <t>Jardin connecté : chaînes — Fable (pré-rempli, QCM ✅)</t>
        </is>
      </c>
      <c r="E19" s="21" t="inlineStr">
        <is>
          <t>▸ S5</t>
        </is>
      </c>
      <c r="F19" s="87" t="inlineStr">
        <is>
          <t>Objets connectés en réseau — Fable (pré-rempli, QCM ✅)</t>
        </is>
      </c>
    </row>
    <row r="20" ht="24" customHeight="1">
      <c r="B20" s="21" t="inlineStr">
        <is>
          <t>▸ S6</t>
        </is>
      </c>
      <c r="C20" s="87" t="inlineStr">
        <is>
          <t>Réparer sans notice (+C4.3) — Fable (pré-rempli)</t>
        </is>
      </c>
      <c r="E20" s="22" t="inlineStr">
        <is>
          <t>▸ S7</t>
        </is>
      </c>
      <c r="F20" s="87" t="inlineStr">
        <is>
          <t>Projet nouvelle fonction — IA Thème 3 (canevas)</t>
        </is>
      </c>
    </row>
    <row r="22" ht="15.75" customHeight="1">
      <c r="B22" s="15" t="inlineStr">
        <is>
          <t>📖 Mode d'emploi express</t>
        </is>
      </c>
    </row>
    <row r="23" ht="30" customHeight="1">
      <c r="B23" s="23" t="inlineStr">
        <is>
          <t>🏫 / 🏠 / 🔁</t>
        </is>
      </c>
      <c r="C23" s="88" t="inlineStr">
        <is>
          <t>En classe (matériel, collectif, évaluations) · À la maison (QCM, synthèses, simulateurs — corrections intégrées, faisables sur téléphone) · Hybride/classe inversée.</t>
        </is>
      </c>
      <c r="D23" s="109" t="n"/>
      <c r="E23" s="109" t="n"/>
      <c r="F23" s="109" t="n"/>
      <c r="G23" s="109" t="n"/>
    </row>
    <row r="24" ht="36" customHeight="1">
      <c r="B24" s="23" t="inlineStr">
        <is>
          <t>⏳ Tampons</t>
        </is>
      </c>
      <c r="C24" s="88" t="inlineStr">
        <is>
          <t>9 semaines NON planifiées absorbent les aléas. Moteur automatique : colonne « ⚠ Imprévu ? » du Calendrier (ou la grande fenêtre de la version macros) — toutes les séances se décalent, frise et progression se recalculent. Alerte 🛑 au-delà de 9 imprévus.</t>
        </is>
      </c>
      <c r="D24" s="109" t="n"/>
      <c r="E24" s="109" t="n"/>
      <c r="F24" s="109" t="n"/>
      <c r="G24" s="109" t="n"/>
    </row>
    <row r="25" ht="30" customHeight="1">
      <c r="B25" s="23" t="inlineStr">
        <is>
          <t>📋 Cahier de texte</t>
        </is>
      </c>
      <c r="C25" s="88" t="inlineStr">
        <is>
          <t>Blocs jaunes prêts pour Pronote dans chaque générateur : un clic sur le libellé les copie (version macros).</t>
        </is>
      </c>
      <c r="D25" s="109" t="n"/>
      <c r="E25" s="109" t="n"/>
      <c r="F25" s="109" t="n"/>
      <c r="G25" s="109" t="n"/>
    </row>
    <row r="26" ht="30" customHeight="1">
      <c r="B26" s="23" t="inlineStr">
        <is>
          <t>✅ 🔜 📘</t>
        </is>
      </c>
      <c r="C26" s="88" t="inlineStr">
        <is>
          <t>Ressource en ligne · à produire · cahier Nathan. Chaque IA de thème remplit SES générateurs — canevas 5e validé par Pascal le 23/07.</t>
        </is>
      </c>
      <c r="D26" s="109" t="n"/>
      <c r="E26" s="109" t="n"/>
      <c r="F26" s="109" t="n"/>
      <c r="G26" s="109" t="n"/>
    </row>
    <row r="27" ht="30" customHeight="1">
      <c r="B27" s="23" t="inlineStr">
        <is>
          <t>⚠ Correctif C4.3</t>
        </is>
      </c>
      <c r="C27" s="88" t="inlineStr">
        <is>
          <t>Le référentiel initial ne rattachait 4e_C4.3 (forme d'une pièce ↔ procédé) à aucune séquence : réintégré dans S6 « Réparer sans notice ». À entériner au Conseil du 28/07.</t>
        </is>
      </c>
      <c r="D27" s="109" t="n"/>
      <c r="E27" s="109" t="n"/>
      <c r="F27" s="109" t="n"/>
      <c r="G27" s="109" t="n"/>
    </row>
    <row r="28" ht="30" customHeight="1">
      <c r="B28" s="23" t="inlineStr">
        <is>
          <t>📆 Calendrier</t>
        </is>
      </c>
      <c r="C28" s="88" t="inlineStr">
        <is>
          <t>Martinique 2026-2027 : rentrée mar. 1/09 · Toussaint 20/10→3/11 · Noël 19/12→4/01 · Carnaval 6→22/02 · Pâques 20/04→3/05 · fin 3/07. À confirmer sur ac-martinique.fr.</t>
        </is>
      </c>
      <c r="D28" s="109" t="n"/>
      <c r="E28" s="109" t="n"/>
      <c r="F28" s="109" t="n"/>
      <c r="G28" s="109" t="n"/>
    </row>
    <row r="30" ht="15" customHeight="1">
      <c r="B30" s="91" t="inlineStr">
        <is>
          <t>Classeur généré par Fable (IA du Thème 2) — canevas 5e validé par Pascal · dépôt : pll-process.github.io/en-ligne-pour-le-cycle-4</t>
        </is>
      </c>
    </row>
  </sheetData>
  <mergeCells count="26">
    <mergeCell ref="F11:G11"/>
    <mergeCell ref="C15:D15"/>
    <mergeCell ref="C24:G24"/>
    <mergeCell ref="C26:G26"/>
    <mergeCell ref="B12:C12"/>
    <mergeCell ref="C20:D20"/>
    <mergeCell ref="F12:G12"/>
    <mergeCell ref="C16:D16"/>
    <mergeCell ref="B11:C11"/>
    <mergeCell ref="D11:E11"/>
    <mergeCell ref="C25:G25"/>
    <mergeCell ref="B8:C8"/>
    <mergeCell ref="F8:G8"/>
    <mergeCell ref="C27:G27"/>
    <mergeCell ref="A5:H5"/>
    <mergeCell ref="C23:G23"/>
    <mergeCell ref="B9:C9"/>
    <mergeCell ref="C17:D17"/>
    <mergeCell ref="D9:E9"/>
    <mergeCell ref="F9:G9"/>
    <mergeCell ref="D12:E12"/>
    <mergeCell ref="D8:E8"/>
    <mergeCell ref="C19:D19"/>
    <mergeCell ref="C28:G28"/>
    <mergeCell ref="A1:H4"/>
    <mergeCell ref="C18:D18"/>
  </mergeCells>
  <hyperlinks>
    <hyperlink xmlns:r="http://schemas.openxmlformats.org/officeDocument/2006/relationships" ref="B15" location="'📅%20Calendrier'!A1" r:id="rId1"/>
    <hyperlink xmlns:r="http://schemas.openxmlformats.org/officeDocument/2006/relationships" ref="E15" location="'🗓%20Frise%20de%20l'année'!A1" r:id="rId2"/>
    <hyperlink xmlns:r="http://schemas.openxmlformats.org/officeDocument/2006/relationships" ref="B16" location="'📚%20Référentiel%20Cycle%204'!A1" r:id="rId3"/>
    <hyperlink xmlns:r="http://schemas.openxmlformats.org/officeDocument/2006/relationships" ref="E16" location="'📗%20Référentiel%204e'!A1" r:id="rId4"/>
    <hyperlink xmlns:r="http://schemas.openxmlformats.org/officeDocument/2006/relationships" ref="B17" location="'🧭%20Progression'!A1" r:id="rId5"/>
    <hyperlink xmlns:r="http://schemas.openxmlformats.org/officeDocument/2006/relationships" ref="E17" location="'S1'!A1" r:id="rId6"/>
    <hyperlink xmlns:r="http://schemas.openxmlformats.org/officeDocument/2006/relationships" ref="B18" location="'S2'!A1" r:id="rId7"/>
    <hyperlink xmlns:r="http://schemas.openxmlformats.org/officeDocument/2006/relationships" ref="E18" location="'S3'!A1" r:id="rId8"/>
    <hyperlink xmlns:r="http://schemas.openxmlformats.org/officeDocument/2006/relationships" ref="B19" location="'S4'!A1" r:id="rId9"/>
    <hyperlink xmlns:r="http://schemas.openxmlformats.org/officeDocument/2006/relationships" ref="E19" location="'S5'!A1" r:id="rId10"/>
    <hyperlink xmlns:r="http://schemas.openxmlformats.org/officeDocument/2006/relationships" ref="B20" location="'S6'!A1" r:id="rId11"/>
    <hyperlink xmlns:r="http://schemas.openxmlformats.org/officeDocument/2006/relationships" ref="E20" location="'S7'!A1" r:id="rId12"/>
  </hyperlinks>
  <pageMargins left="0.75" right="0.75" top="1" bottom="1" header="0.511811023622047" footer="0.511811023622047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Feuil2">
    <tabColor rgb="FF1F7A6E"/>
    <outlinePr summaryBelow="1" summaryRight="1"/>
    <pageSetUpPr/>
  </sheetPr>
  <dimension ref="A1:L51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6" customWidth="1" min="1" max="1"/>
    <col width="13" customWidth="1" min="2" max="2"/>
    <col width="9" customWidth="1" min="3" max="3"/>
    <col width="26" customWidth="1" min="4" max="4"/>
    <col width="34" customWidth="1" min="5" max="5"/>
    <col width="26" customWidth="1" min="6" max="6"/>
    <col width="24" customWidth="1" min="7" max="7"/>
    <col width="7" customWidth="1" min="8" max="8"/>
    <col width="22" customWidth="1" min="9" max="10"/>
    <col width="24" customWidth="1" min="11" max="11"/>
    <col width="26" customWidth="1" min="12" max="12"/>
  </cols>
  <sheetData>
    <row r="1" ht="19.5" customHeight="1">
      <c r="A1" s="25" t="inlineStr">
        <is>
          <t>CALENDRIER 4e — année scolaire 2026-2027 (académie de Martinique) — 1 séance de 1 h 30 par semaine</t>
        </is>
      </c>
    </row>
    <row r="2" ht="27.75" customHeight="1">
      <c r="D2" s="89">
        <f>IF(COUNTIF($G$4:$G$44,"&lt;&gt;")&gt;9,"🛑 "&amp;COUNTIF($G$4:$G$44,"&lt;&gt;")&amp;" imprévus : la réserve (9) est dépassée — arbitrage nécessaire !","✔ Réserve d'aléas : "&amp;(9-COUNTIF($G$4:$G$44,"&lt;&gt;"))&amp;" semaine(s) tampon restante(s) sur 9")</f>
        <v/>
      </c>
      <c r="F2" s="90" t="inlineStr">
        <is>
          <t>◀ Accueil</t>
        </is>
      </c>
      <c r="G2" s="27" t="inlineStr">
        <is>
          <t>🔘 Insérer un imprévu (clic)</t>
        </is>
      </c>
      <c r="I2" s="28" t="inlineStr">
        <is>
          <t>🔘 Effacer un imprévu (clic)</t>
        </is>
      </c>
      <c r="J2" s="29" t="inlineStr">
        <is>
          <t>🔘 Aller à aujourd'hui (clic)</t>
        </is>
      </c>
      <c r="K2" s="30" t="inlineStr">
        <is>
          <t>📅 Ajouter un repère daté (clic)</t>
        </is>
      </c>
      <c r="L2" s="31" t="inlineStr">
        <is>
          <t>📋 Cahier de texte de la semaine (clic)</t>
        </is>
      </c>
    </row>
    <row r="3" ht="27.75" customHeight="1">
      <c r="A3" s="30" t="inlineStr">
        <is>
          <t>Sem.</t>
        </is>
      </c>
      <c r="B3" s="30" t="inlineStr">
        <is>
          <t>Lundi de la semaine</t>
        </is>
      </c>
      <c r="C3" s="30" t="inlineStr">
        <is>
          <t>Période</t>
        </is>
      </c>
      <c r="D3" s="30" t="inlineStr">
        <is>
          <t>Affectation (AUTO — se recalcule)</t>
        </is>
      </c>
      <c r="E3" s="30" t="inlineStr">
        <is>
          <t>Repères / jours fériés</t>
        </is>
      </c>
      <c r="F3" s="30" t="inlineStr">
        <is>
          <t>Aléas / notes (à remplir)</t>
        </is>
      </c>
      <c r="G3" s="27" t="inlineStr">
        <is>
          <t>⚠ Imprévu ? (menu déroulant)</t>
        </is>
      </c>
      <c r="H3" s="32" t="inlineStr">
        <is>
          <t>n° créneau (auto)</t>
        </is>
      </c>
    </row>
    <row r="4" ht="15" customHeight="1">
      <c r="A4" s="33" t="inlineStr">
        <is>
          <t>S01</t>
        </is>
      </c>
      <c r="B4" s="34" t="inlineStr">
        <is>
          <t>31/08/2026</t>
        </is>
      </c>
      <c r="C4" s="33" t="inlineStr">
        <is>
          <t>P1</t>
        </is>
      </c>
      <c r="D4" s="35">
        <f>IF($G4&lt;&gt;"",$G4&amp;" — les séances suivantes se décalent d'une semaine",INDEX('⚙ Moteur'!$B$5:$B$41,$H4))</f>
        <v/>
      </c>
      <c r="E4" s="36" t="inlineStr">
        <is>
          <t>Rentrée des élèves mardi 1er septembre.</t>
        </is>
      </c>
      <c r="F4" s="37" t="n"/>
      <c r="G4" s="38" t="n"/>
      <c r="H4" s="39">
        <f>IF($G4&lt;&gt;"",0,0+1)</f>
        <v/>
      </c>
    </row>
    <row r="5" ht="15" customHeight="1">
      <c r="A5" s="33" t="inlineStr">
        <is>
          <t>S02</t>
        </is>
      </c>
      <c r="B5" s="34" t="inlineStr">
        <is>
          <t>07/09/2026</t>
        </is>
      </c>
      <c r="C5" s="33" t="inlineStr">
        <is>
          <t>P1</t>
        </is>
      </c>
      <c r="D5" s="35">
        <f>IF($G5&lt;&gt;"",$G5&amp;" — les séances suivantes se décalent d'une semaine",INDEX('⚙ Moteur'!$B$5:$B$41,$H5))</f>
        <v/>
      </c>
      <c r="E5" s="35" t="n"/>
      <c r="F5" s="37" t="n"/>
      <c r="G5" s="38" t="n"/>
      <c r="H5" s="39">
        <f>IF($G5&lt;&gt;"",H4,H4+1)</f>
        <v/>
      </c>
    </row>
    <row r="6" ht="15" customHeight="1">
      <c r="A6" s="33" t="inlineStr">
        <is>
          <t>S03</t>
        </is>
      </c>
      <c r="B6" s="34" t="inlineStr">
        <is>
          <t>14/09/2026</t>
        </is>
      </c>
      <c r="C6" s="33" t="inlineStr">
        <is>
          <t>P1</t>
        </is>
      </c>
      <c r="D6" s="35">
        <f>IF($G6&lt;&gt;"",$G6&amp;" — les séances suivantes se décalent d'une semaine",INDEX('⚙ Moteur'!$B$5:$B$41,$H6))</f>
        <v/>
      </c>
      <c r="E6" s="35" t="n"/>
      <c r="F6" s="37" t="n"/>
      <c r="G6" s="38" t="n"/>
      <c r="H6" s="39">
        <f>IF($G6&lt;&gt;"",H5,H5+1)</f>
        <v/>
      </c>
    </row>
    <row r="7" ht="15" customHeight="1">
      <c r="A7" s="33" t="inlineStr">
        <is>
          <t>S04</t>
        </is>
      </c>
      <c r="B7" s="34" t="inlineStr">
        <is>
          <t>21/09/2026</t>
        </is>
      </c>
      <c r="C7" s="33" t="inlineStr">
        <is>
          <t>P1</t>
        </is>
      </c>
      <c r="D7" s="35">
        <f>IF($G7&lt;&gt;"",$G7&amp;" — les séances suivantes se décalent d'une semaine",INDEX('⚙ Moteur'!$B$5:$B$41,$H7))</f>
        <v/>
      </c>
      <c r="E7" s="35" t="n"/>
      <c r="F7" s="37" t="n"/>
      <c r="G7" s="38" t="n"/>
      <c r="H7" s="39">
        <f>IF($G7&lt;&gt;"",H6,H6+1)</f>
        <v/>
      </c>
    </row>
    <row r="8" ht="15" customHeight="1">
      <c r="A8" s="33" t="inlineStr">
        <is>
          <t>S05</t>
        </is>
      </c>
      <c r="B8" s="34" t="inlineStr">
        <is>
          <t>28/09/2026</t>
        </is>
      </c>
      <c r="C8" s="33" t="inlineStr">
        <is>
          <t>P1</t>
        </is>
      </c>
      <c r="D8" s="35">
        <f>IF($G8&lt;&gt;"",$G8&amp;" — les séances suivantes se décalent d'une semaine",INDEX('⚙ Moteur'!$B$5:$B$41,$H8))</f>
        <v/>
      </c>
      <c r="E8" s="35" t="n"/>
      <c r="F8" s="37" t="n"/>
      <c r="G8" s="38" t="n"/>
      <c r="H8" s="39">
        <f>IF($G8&lt;&gt;"",H7,H7+1)</f>
        <v/>
      </c>
    </row>
    <row r="9" ht="15" customHeight="1">
      <c r="A9" s="33" t="inlineStr">
        <is>
          <t>S06</t>
        </is>
      </c>
      <c r="B9" s="34" t="inlineStr">
        <is>
          <t>05/10/2026</t>
        </is>
      </c>
      <c r="C9" s="33" t="inlineStr">
        <is>
          <t>P1</t>
        </is>
      </c>
      <c r="D9" s="35">
        <f>IF($G9&lt;&gt;"",$G9&amp;" — les séances suivantes se décalent d'une semaine",INDEX('⚙ Moteur'!$B$5:$B$41,$H9))</f>
        <v/>
      </c>
      <c r="E9" s="35" t="n"/>
      <c r="F9" s="37" t="n"/>
      <c r="G9" s="38" t="n"/>
      <c r="H9" s="39">
        <f>IF($G9&lt;&gt;"",H8,H8+1)</f>
        <v/>
      </c>
    </row>
    <row r="10" ht="15" customHeight="1">
      <c r="A10" s="33" t="inlineStr">
        <is>
          <t>S07</t>
        </is>
      </c>
      <c r="B10" s="34" t="inlineStr">
        <is>
          <t>12/10/2026</t>
        </is>
      </c>
      <c r="C10" s="33" t="inlineStr">
        <is>
          <t>P1</t>
        </is>
      </c>
      <c r="D10" s="35">
        <f>IF($G10&lt;&gt;"",$G10&amp;" — les séances suivantes se décalent d'une semaine",INDEX('⚙ Moteur'!$B$5:$B$41,$H10))</f>
        <v/>
      </c>
      <c r="E10" s="35" t="n"/>
      <c r="F10" s="37" t="n"/>
      <c r="G10" s="38" t="n"/>
      <c r="H10" s="39">
        <f>IF($G10&lt;&gt;"",H9,H9+1)</f>
        <v/>
      </c>
    </row>
    <row r="11" ht="23.25" customHeight="1">
      <c r="A11" s="33" t="inlineStr">
        <is>
          <t>S08</t>
        </is>
      </c>
      <c r="B11" s="34" t="inlineStr">
        <is>
          <t>19/10/2026</t>
        </is>
      </c>
      <c r="C11" s="33" t="inlineStr">
        <is>
          <t>P1</t>
        </is>
      </c>
      <c r="D11" s="35">
        <f>IF($G11&lt;&gt;"",$G11&amp;" — les séances suivantes se décalent d'une semaine",INDEX('⚙ Moteur'!$B$5:$B$41,$H11))</f>
        <v/>
      </c>
      <c r="E11" s="35" t="n"/>
      <c r="F11" s="37" t="n"/>
      <c r="G11" s="38" t="n"/>
      <c r="H11" s="39">
        <f>IF($G11&lt;&gt;"",H10,H10+1)</f>
        <v/>
      </c>
    </row>
    <row r="12" ht="15" customHeight="1">
      <c r="A12" s="90" t="inlineStr">
        <is>
          <t>🏖 Vacances de la Toussaint : 20/10 → 3/11</t>
        </is>
      </c>
    </row>
    <row r="13" ht="15" customHeight="1">
      <c r="A13" s="40" t="inlineStr">
        <is>
          <t>S09</t>
        </is>
      </c>
      <c r="B13" s="41" t="inlineStr">
        <is>
          <t>02/11/2026</t>
        </is>
      </c>
      <c r="C13" s="40" t="inlineStr">
        <is>
          <t>P2</t>
        </is>
      </c>
      <c r="D13" s="35">
        <f>IF($G13&lt;&gt;"",$G13&amp;" — les séances suivantes se décalent d'une semaine",INDEX('⚙ Moteur'!$B$5:$B$41,$H13))</f>
        <v/>
      </c>
      <c r="E13" s="35" t="n"/>
      <c r="F13" s="37" t="n"/>
      <c r="G13" s="38" t="n"/>
      <c r="H13" s="39">
        <f>IF($G13&lt;&gt;"",H11,H11+1)</f>
        <v/>
      </c>
    </row>
    <row r="14" ht="15" customHeight="1">
      <c r="A14" s="40" t="inlineStr">
        <is>
          <t>S10</t>
        </is>
      </c>
      <c r="B14" s="41" t="inlineStr">
        <is>
          <t>09/11/2026</t>
        </is>
      </c>
      <c r="C14" s="40" t="inlineStr">
        <is>
          <t>P2</t>
        </is>
      </c>
      <c r="D14" s="35">
        <f>IF($G14&lt;&gt;"",$G14&amp;" — les séances suivantes se décalent d'une semaine",INDEX('⚙ Moteur'!$B$5:$B$41,$H14))</f>
        <v/>
      </c>
      <c r="E14" s="36" t="inlineStr">
        <is>
          <t>Mer. 11/11 férié (Armistice)</t>
        </is>
      </c>
      <c r="F14" s="37" t="n"/>
      <c r="G14" s="38" t="n"/>
      <c r="H14" s="39">
        <f>IF($G14&lt;&gt;"",H13,H13+1)</f>
        <v/>
      </c>
    </row>
    <row r="15" ht="15" customHeight="1">
      <c r="A15" s="40" t="inlineStr">
        <is>
          <t>S11</t>
        </is>
      </c>
      <c r="B15" s="41" t="inlineStr">
        <is>
          <t>16/11/2026</t>
        </is>
      </c>
      <c r="C15" s="40" t="inlineStr">
        <is>
          <t>P2</t>
        </is>
      </c>
      <c r="D15" s="35">
        <f>IF($G15&lt;&gt;"",$G15&amp;" — les séances suivantes se décalent d'une semaine",INDEX('⚙ Moteur'!$B$5:$B$41,$H15))</f>
        <v/>
      </c>
      <c r="E15" s="35" t="n"/>
      <c r="F15" s="37" t="n"/>
      <c r="G15" s="38" t="n"/>
      <c r="H15" s="39">
        <f>IF($G15&lt;&gt;"",H14,H14+1)</f>
        <v/>
      </c>
    </row>
    <row r="16" ht="15" customHeight="1">
      <c r="A16" s="40" t="inlineStr">
        <is>
          <t>S12</t>
        </is>
      </c>
      <c r="B16" s="41" t="inlineStr">
        <is>
          <t>23/11/2026</t>
        </is>
      </c>
      <c r="C16" s="40" t="inlineStr">
        <is>
          <t>P2</t>
        </is>
      </c>
      <c r="D16" s="35">
        <f>IF($G16&lt;&gt;"",$G16&amp;" — les séances suivantes se décalent d'une semaine",INDEX('⚙ Moteur'!$B$5:$B$41,$H16))</f>
        <v/>
      </c>
      <c r="E16" s="35" t="n"/>
      <c r="F16" s="37" t="n"/>
      <c r="G16" s="38" t="n"/>
      <c r="H16" s="39">
        <f>IF($G16&lt;&gt;"",H15,H15+1)</f>
        <v/>
      </c>
    </row>
    <row r="17" ht="15" customHeight="1">
      <c r="A17" s="40" t="inlineStr">
        <is>
          <t>S13</t>
        </is>
      </c>
      <c r="B17" s="41" t="inlineStr">
        <is>
          <t>30/11/2026</t>
        </is>
      </c>
      <c r="C17" s="40" t="inlineStr">
        <is>
          <t>P2</t>
        </is>
      </c>
      <c r="D17" s="35">
        <f>IF($G17&lt;&gt;"",$G17&amp;" — les séances suivantes se décalent d'une semaine",INDEX('⚙ Moteur'!$B$5:$B$41,$H17))</f>
        <v/>
      </c>
      <c r="E17" s="35" t="n"/>
      <c r="F17" s="37" t="n"/>
      <c r="G17" s="38" t="n"/>
      <c r="H17" s="39">
        <f>IF($G17&lt;&gt;"",H16,H16+1)</f>
        <v/>
      </c>
    </row>
    <row r="18" ht="15" customHeight="1">
      <c r="A18" s="40" t="inlineStr">
        <is>
          <t>S14</t>
        </is>
      </c>
      <c r="B18" s="41" t="inlineStr">
        <is>
          <t>07/12/2026</t>
        </is>
      </c>
      <c r="C18" s="40" t="inlineStr">
        <is>
          <t>P2</t>
        </is>
      </c>
      <c r="D18" s="35">
        <f>IF($G18&lt;&gt;"",$G18&amp;" — les séances suivantes se décalent d'une semaine",INDEX('⚙ Moteur'!$B$5:$B$41,$H18))</f>
        <v/>
      </c>
      <c r="E18" s="35" t="n"/>
      <c r="F18" s="37" t="n"/>
      <c r="G18" s="38" t="n"/>
      <c r="H18" s="39">
        <f>IF($G18&lt;&gt;"",H17,H17+1)</f>
        <v/>
      </c>
    </row>
    <row r="19" ht="23.25" customHeight="1">
      <c r="A19" s="40" t="inlineStr">
        <is>
          <t>S15</t>
        </is>
      </c>
      <c r="B19" s="41" t="inlineStr">
        <is>
          <t>14/12/2026</t>
        </is>
      </c>
      <c r="C19" s="40" t="inlineStr">
        <is>
          <t>P2</t>
        </is>
      </c>
      <c r="D19" s="35">
        <f>IF($G19&lt;&gt;"",$G19&amp;" — les séances suivantes se décalent d'une semaine",INDEX('⚙ Moteur'!$B$5:$B$41,$H19))</f>
        <v/>
      </c>
      <c r="E19" s="35" t="n"/>
      <c r="F19" s="37" t="n"/>
      <c r="G19" s="38" t="n"/>
      <c r="H19" s="39">
        <f>IF($G19&lt;&gt;"",H18,H18+1)</f>
        <v/>
      </c>
    </row>
    <row r="20" ht="15" customHeight="1">
      <c r="A20" s="90" t="inlineStr">
        <is>
          <t>🏖 Vacances de Noël : 19/12 → 4/01</t>
        </is>
      </c>
    </row>
    <row r="21" ht="15" customHeight="1">
      <c r="A21" s="42" t="inlineStr">
        <is>
          <t>S16</t>
        </is>
      </c>
      <c r="B21" s="43" t="inlineStr">
        <is>
          <t>04/01/2027</t>
        </is>
      </c>
      <c r="C21" s="42" t="inlineStr">
        <is>
          <t>P3</t>
        </is>
      </c>
      <c r="D21" s="35">
        <f>IF($G21&lt;&gt;"",$G21&amp;" — les séances suivantes se décalent d'une semaine",INDEX('⚙ Moteur'!$B$5:$B$41,$H21))</f>
        <v/>
      </c>
      <c r="E21" s="35" t="n"/>
      <c r="F21" s="37" t="n"/>
      <c r="G21" s="38" t="n"/>
      <c r="H21" s="39">
        <f>IF($G21&lt;&gt;"",H19,H19+1)</f>
        <v/>
      </c>
    </row>
    <row r="22" ht="15" customHeight="1">
      <c r="A22" s="42" t="inlineStr">
        <is>
          <t>S17</t>
        </is>
      </c>
      <c r="B22" s="43" t="inlineStr">
        <is>
          <t>11/01/2027</t>
        </is>
      </c>
      <c r="C22" s="42" t="inlineStr">
        <is>
          <t>P3</t>
        </is>
      </c>
      <c r="D22" s="35">
        <f>IF($G22&lt;&gt;"",$G22&amp;" — les séances suivantes se décalent d'une semaine",INDEX('⚙ Moteur'!$B$5:$B$41,$H22))</f>
        <v/>
      </c>
      <c r="E22" s="35" t="n"/>
      <c r="F22" s="37" t="n"/>
      <c r="G22" s="38" t="n"/>
      <c r="H22" s="39">
        <f>IF($G22&lt;&gt;"",H21,H21+1)</f>
        <v/>
      </c>
    </row>
    <row r="23" ht="15" customHeight="1">
      <c r="A23" s="42" t="inlineStr">
        <is>
          <t>S18</t>
        </is>
      </c>
      <c r="B23" s="43" t="inlineStr">
        <is>
          <t>18/01/2027</t>
        </is>
      </c>
      <c r="C23" s="42" t="inlineStr">
        <is>
          <t>P3</t>
        </is>
      </c>
      <c r="D23" s="35">
        <f>IF($G23&lt;&gt;"",$G23&amp;" — les séances suivantes se décalent d'une semaine",INDEX('⚙ Moteur'!$B$5:$B$41,$H23))</f>
        <v/>
      </c>
      <c r="E23" s="35" t="n"/>
      <c r="F23" s="37" t="n"/>
      <c r="G23" s="38" t="n"/>
      <c r="H23" s="39">
        <f>IF($G23&lt;&gt;"",H22,H22+1)</f>
        <v/>
      </c>
    </row>
    <row r="24" ht="15" customHeight="1">
      <c r="A24" s="42" t="inlineStr">
        <is>
          <t>S19</t>
        </is>
      </c>
      <c r="B24" s="43" t="inlineStr">
        <is>
          <t>25/01/2027</t>
        </is>
      </c>
      <c r="C24" s="42" t="inlineStr">
        <is>
          <t>P3</t>
        </is>
      </c>
      <c r="D24" s="35">
        <f>IF($G24&lt;&gt;"",$G24&amp;" — les séances suivantes se décalent d'une semaine",INDEX('⚙ Moteur'!$B$5:$B$41,$H24))</f>
        <v/>
      </c>
      <c r="E24" s="35" t="n"/>
      <c r="F24" s="37" t="n"/>
      <c r="G24" s="38" t="n"/>
      <c r="H24" s="39">
        <f>IF($G24&lt;&gt;"",H23,H23+1)</f>
        <v/>
      </c>
    </row>
    <row r="25" ht="23.25" customHeight="1">
      <c r="A25" s="42" t="inlineStr">
        <is>
          <t>S20</t>
        </is>
      </c>
      <c r="B25" s="43" t="inlineStr">
        <is>
          <t>01/02/2027</t>
        </is>
      </c>
      <c r="C25" s="42" t="inlineStr">
        <is>
          <t>P3</t>
        </is>
      </c>
      <c r="D25" s="35">
        <f>IF($G25&lt;&gt;"",$G25&amp;" — les séances suivantes se décalent d'une semaine",INDEX('⚙ Moteur'!$B$5:$B$41,$H25))</f>
        <v/>
      </c>
      <c r="E25" s="35" t="n"/>
      <c r="F25" s="37" t="n"/>
      <c r="G25" s="38" t="n"/>
      <c r="H25" s="39">
        <f>IF($G25&lt;&gt;"",H24,H24+1)</f>
        <v/>
      </c>
    </row>
    <row r="26" ht="15" customHeight="1">
      <c r="A26" s="90" t="inlineStr">
        <is>
          <t>🏖 Vacances de Carnaval : 6/02 → 22/02</t>
        </is>
      </c>
    </row>
    <row r="27" ht="15" customHeight="1">
      <c r="A27" s="44" t="inlineStr">
        <is>
          <t>S21</t>
        </is>
      </c>
      <c r="B27" s="45" t="inlineStr">
        <is>
          <t>22/02/2027</t>
        </is>
      </c>
      <c r="C27" s="44" t="inlineStr">
        <is>
          <t>P4</t>
        </is>
      </c>
      <c r="D27" s="35">
        <f>IF($G27&lt;&gt;"",$G27&amp;" — les séances suivantes se décalent d'une semaine",INDEX('⚙ Moteur'!$B$5:$B$41,$H27))</f>
        <v/>
      </c>
      <c r="E27" s="35" t="n"/>
      <c r="F27" s="37" t="n"/>
      <c r="G27" s="38" t="n"/>
      <c r="H27" s="39">
        <f>IF($G27&lt;&gt;"",H25,H25+1)</f>
        <v/>
      </c>
    </row>
    <row r="28" ht="15" customHeight="1">
      <c r="A28" s="44" t="inlineStr">
        <is>
          <t>S22</t>
        </is>
      </c>
      <c r="B28" s="45" t="inlineStr">
        <is>
          <t>01/03/2027</t>
        </is>
      </c>
      <c r="C28" s="44" t="inlineStr">
        <is>
          <t>P4</t>
        </is>
      </c>
      <c r="D28" s="35">
        <f>IF($G28&lt;&gt;"",$G28&amp;" — les séances suivantes se décalent d'une semaine",INDEX('⚙ Moteur'!$B$5:$B$41,$H28))</f>
        <v/>
      </c>
      <c r="E28" s="35" t="n"/>
      <c r="F28" s="37" t="n"/>
      <c r="G28" s="38" t="n"/>
      <c r="H28" s="39">
        <f>IF($G28&lt;&gt;"",H27,H27+1)</f>
        <v/>
      </c>
    </row>
    <row r="29" ht="15" customHeight="1">
      <c r="A29" s="44" t="inlineStr">
        <is>
          <t>S23</t>
        </is>
      </c>
      <c r="B29" s="45" t="inlineStr">
        <is>
          <t>08/03/2027</t>
        </is>
      </c>
      <c r="C29" s="44" t="inlineStr">
        <is>
          <t>P4</t>
        </is>
      </c>
      <c r="D29" s="35">
        <f>IF($G29&lt;&gt;"",$G29&amp;" — les séances suivantes se décalent d'une semaine",INDEX('⚙ Moteur'!$B$5:$B$41,$H29))</f>
        <v/>
      </c>
      <c r="E29" s="35" t="n"/>
      <c r="F29" s="37" t="n"/>
      <c r="G29" s="38" t="n"/>
      <c r="H29" s="39">
        <f>IF($G29&lt;&gt;"",H28,H28+1)</f>
        <v/>
      </c>
    </row>
    <row r="30" ht="15" customHeight="1">
      <c r="A30" s="44" t="inlineStr">
        <is>
          <t>S24</t>
        </is>
      </c>
      <c r="B30" s="45" t="inlineStr">
        <is>
          <t>15/03/2027</t>
        </is>
      </c>
      <c r="C30" s="44" t="inlineStr">
        <is>
          <t>P4</t>
        </is>
      </c>
      <c r="D30" s="35">
        <f>IF($G30&lt;&gt;"",$G30&amp;" — les séances suivantes se décalent d'une semaine",INDEX('⚙ Moteur'!$B$5:$B$41,$H30))</f>
        <v/>
      </c>
      <c r="E30" s="35" t="n"/>
      <c r="F30" s="37" t="n"/>
      <c r="G30" s="38" t="n"/>
      <c r="H30" s="39">
        <f>IF($G30&lt;&gt;"",H29,H29+1)</f>
        <v/>
      </c>
    </row>
    <row r="31" ht="23.25" customHeight="1">
      <c r="A31" s="44" t="inlineStr">
        <is>
          <t>S25</t>
        </is>
      </c>
      <c r="B31" s="45" t="inlineStr">
        <is>
          <t>22/03/2027</t>
        </is>
      </c>
      <c r="C31" s="44" t="inlineStr">
        <is>
          <t>P4</t>
        </is>
      </c>
      <c r="D31" s="35">
        <f>IF($G31&lt;&gt;"",$G31&amp;" — les séances suivantes se décalent d'une semaine",INDEX('⚙ Moteur'!$B$5:$B$41,$H31))</f>
        <v/>
      </c>
      <c r="E31" s="36" t="inlineStr">
        <is>
          <t>Ven. 26/03 férié (Vendredi saint, Martinique)</t>
        </is>
      </c>
      <c r="F31" s="37" t="n"/>
      <c r="G31" s="38" t="n"/>
      <c r="H31" s="39">
        <f>IF($G31&lt;&gt;"",H30,H30+1)</f>
        <v/>
      </c>
    </row>
    <row r="32" ht="15" customHeight="1">
      <c r="A32" s="44" t="inlineStr">
        <is>
          <t>S26</t>
        </is>
      </c>
      <c r="B32" s="45" t="inlineStr">
        <is>
          <t>29/03/2027</t>
        </is>
      </c>
      <c r="C32" s="44" t="inlineStr">
        <is>
          <t>P4</t>
        </is>
      </c>
      <c r="D32" s="35">
        <f>IF($G32&lt;&gt;"",$G32&amp;" — les séances suivantes se décalent d'une semaine",INDEX('⚙ Moteur'!$B$5:$B$41,$H32))</f>
        <v/>
      </c>
      <c r="E32" s="36" t="inlineStr">
        <is>
          <t>Lun. 29/03 férié (lundi de Pâques)</t>
        </is>
      </c>
      <c r="F32" s="37" t="n"/>
      <c r="G32" s="38" t="n"/>
      <c r="H32" s="39">
        <f>IF($G32&lt;&gt;"",H31,H31+1)</f>
        <v/>
      </c>
    </row>
    <row r="33" ht="15" customHeight="1">
      <c r="A33" s="44" t="inlineStr">
        <is>
          <t>S27</t>
        </is>
      </c>
      <c r="B33" s="45" t="inlineStr">
        <is>
          <t>05/04/2027</t>
        </is>
      </c>
      <c r="C33" s="44" t="inlineStr">
        <is>
          <t>P4</t>
        </is>
      </c>
      <c r="D33" s="35">
        <f>IF($G33&lt;&gt;"",$G33&amp;" — les séances suivantes se décalent d'une semaine",INDEX('⚙ Moteur'!$B$5:$B$41,$H33))</f>
        <v/>
      </c>
      <c r="E33" s="35" t="n"/>
      <c r="F33" s="37" t="n"/>
      <c r="G33" s="38" t="n"/>
      <c r="H33" s="39">
        <f>IF($G33&lt;&gt;"",H32,H32+1)</f>
        <v/>
      </c>
    </row>
    <row r="34" ht="15" customHeight="1">
      <c r="A34" s="44" t="inlineStr">
        <is>
          <t>S28</t>
        </is>
      </c>
      <c r="B34" s="45" t="inlineStr">
        <is>
          <t>12/04/2027</t>
        </is>
      </c>
      <c r="C34" s="44" t="inlineStr">
        <is>
          <t>P4</t>
        </is>
      </c>
      <c r="D34" s="35">
        <f>IF($G34&lt;&gt;"",$G34&amp;" — les séances suivantes se décalent d'une semaine",INDEX('⚙ Moteur'!$B$5:$B$41,$H34))</f>
        <v/>
      </c>
      <c r="E34" s="35" t="n"/>
      <c r="F34" s="37" t="n"/>
      <c r="G34" s="38" t="n"/>
      <c r="H34" s="39">
        <f>IF($G34&lt;&gt;"",H33,H33+1)</f>
        <v/>
      </c>
    </row>
    <row r="35" ht="15" customHeight="1">
      <c r="A35" s="90" t="inlineStr">
        <is>
          <t>🏖 Vacances de Pâques : 20/04 → 3/05</t>
        </is>
      </c>
    </row>
    <row r="36" ht="23.25" customHeight="1">
      <c r="A36" s="46" t="inlineStr">
        <is>
          <t>S29</t>
        </is>
      </c>
      <c r="B36" s="47" t="inlineStr">
        <is>
          <t>03/05/2027</t>
        </is>
      </c>
      <c r="C36" s="46" t="inlineStr">
        <is>
          <t>P5</t>
        </is>
      </c>
      <c r="D36" s="35">
        <f>IF($G36&lt;&gt;"",$G36&amp;" — les séances suivantes se décalent d'une semaine",INDEX('⚙ Moteur'!$B$5:$B$41,$H36))</f>
        <v/>
      </c>
      <c r="E36" s="36" t="inlineStr">
        <is>
          <t>Jeu. 6/05 férié (Ascension) — pont probable ven. 7/05</t>
        </is>
      </c>
      <c r="F36" s="37" t="n"/>
      <c r="G36" s="38" t="n"/>
      <c r="H36" s="39">
        <f>IF($G36&lt;&gt;"",H34,H34+1)</f>
        <v/>
      </c>
    </row>
    <row r="37" ht="15" customHeight="1">
      <c r="A37" s="46" t="inlineStr">
        <is>
          <t>S30</t>
        </is>
      </c>
      <c r="B37" s="47" t="inlineStr">
        <is>
          <t>10/05/2027</t>
        </is>
      </c>
      <c r="C37" s="46" t="inlineStr">
        <is>
          <t>P5</t>
        </is>
      </c>
      <c r="D37" s="35">
        <f>IF($G37&lt;&gt;"",$G37&amp;" — les séances suivantes se décalent d'une semaine",INDEX('⚙ Moteur'!$B$5:$B$41,$H37))</f>
        <v/>
      </c>
      <c r="E37" s="35" t="n"/>
      <c r="F37" s="37" t="n"/>
      <c r="G37" s="38" t="n"/>
      <c r="H37" s="39">
        <f>IF($G37&lt;&gt;"",H36,H36+1)</f>
        <v/>
      </c>
    </row>
    <row r="38" ht="34.5" customHeight="1">
      <c r="A38" s="46" t="inlineStr">
        <is>
          <t>S31</t>
        </is>
      </c>
      <c r="B38" s="47" t="inlineStr">
        <is>
          <t>17/05/2027</t>
        </is>
      </c>
      <c r="C38" s="46" t="inlineStr">
        <is>
          <t>P5</t>
        </is>
      </c>
      <c r="D38" s="35">
        <f>IF($G38&lt;&gt;"",$G38&amp;" — les séances suivantes se décalent d'une semaine",INDEX('⚙ Moteur'!$B$5:$B$41,$H38))</f>
        <v/>
      </c>
      <c r="E38" s="36" t="inlineStr">
        <is>
          <t>Lun. 17/05 férié (Pentecôte); Ven. 21/05 : veille du 22 mai (abolition) — commémorations</t>
        </is>
      </c>
      <c r="F38" s="37" t="n"/>
      <c r="G38" s="38" t="n"/>
      <c r="H38" s="39">
        <f>IF($G38&lt;&gt;"",H37,H37+1)</f>
        <v/>
      </c>
    </row>
    <row r="39" ht="15" customHeight="1">
      <c r="A39" s="46" t="inlineStr">
        <is>
          <t>S32</t>
        </is>
      </c>
      <c r="B39" s="47" t="inlineStr">
        <is>
          <t>24/05/2027</t>
        </is>
      </c>
      <c r="C39" s="46" t="inlineStr">
        <is>
          <t>P5</t>
        </is>
      </c>
      <c r="D39" s="35">
        <f>IF($G39&lt;&gt;"",$G39&amp;" — les séances suivantes se décalent d'une semaine",INDEX('⚙ Moteur'!$B$5:$B$41,$H39))</f>
        <v/>
      </c>
      <c r="E39" s="35" t="n"/>
      <c r="F39" s="37" t="n"/>
      <c r="G39" s="38" t="n"/>
      <c r="H39" s="39">
        <f>IF($G39&lt;&gt;"",H38,H38+1)</f>
        <v/>
      </c>
    </row>
    <row r="40" ht="15" customHeight="1">
      <c r="A40" s="46" t="inlineStr">
        <is>
          <t>S33</t>
        </is>
      </c>
      <c r="B40" s="47" t="inlineStr">
        <is>
          <t>31/05/2027</t>
        </is>
      </c>
      <c r="C40" s="46" t="inlineStr">
        <is>
          <t>P5</t>
        </is>
      </c>
      <c r="D40" s="35">
        <f>IF($G40&lt;&gt;"",$G40&amp;" — les séances suivantes se décalent d'une semaine",INDEX('⚙ Moteur'!$B$5:$B$41,$H40))</f>
        <v/>
      </c>
      <c r="E40" s="35" t="n"/>
      <c r="F40" s="37" t="n"/>
      <c r="G40" s="38" t="n"/>
      <c r="H40" s="39">
        <f>IF($G40&lt;&gt;"",H39,H39+1)</f>
        <v/>
      </c>
    </row>
    <row r="41" ht="15" customHeight="1">
      <c r="A41" s="46" t="inlineStr">
        <is>
          <t>S34</t>
        </is>
      </c>
      <c r="B41" s="47" t="inlineStr">
        <is>
          <t>07/06/2027</t>
        </is>
      </c>
      <c r="C41" s="46" t="inlineStr">
        <is>
          <t>P5</t>
        </is>
      </c>
      <c r="D41" s="35">
        <f>IF($G41&lt;&gt;"",$G41&amp;" — les séances suivantes se décalent d'une semaine",INDEX('⚙ Moteur'!$B$5:$B$41,$H41))</f>
        <v/>
      </c>
      <c r="E41" s="35" t="n"/>
      <c r="F41" s="37" t="n"/>
      <c r="G41" s="38" t="n"/>
      <c r="H41" s="39">
        <f>IF($G41&lt;&gt;"",H40,H40+1)</f>
        <v/>
      </c>
    </row>
    <row r="42" ht="23.25" customHeight="1">
      <c r="A42" s="46" t="inlineStr">
        <is>
          <t>S35</t>
        </is>
      </c>
      <c r="B42" s="47" t="inlineStr">
        <is>
          <t>14/06/2027</t>
        </is>
      </c>
      <c r="C42" s="46" t="inlineStr">
        <is>
          <t>P5</t>
        </is>
      </c>
      <c r="D42" s="35">
        <f>IF($G42&lt;&gt;"",$G42&amp;" — les séances suivantes se décalent d'une semaine",INDEX('⚙ Moteur'!$B$5:$B$41,$H42))</f>
        <v/>
      </c>
      <c r="E42" s="35" t="n"/>
      <c r="F42" s="37" t="n"/>
      <c r="G42" s="38" t="n"/>
      <c r="H42" s="39">
        <f>IF($G42&lt;&gt;"",H41,H41+1)</f>
        <v/>
      </c>
    </row>
    <row r="43" ht="23.25" customHeight="1">
      <c r="A43" s="46" t="inlineStr">
        <is>
          <t>S36</t>
        </is>
      </c>
      <c r="B43" s="47" t="inlineStr">
        <is>
          <t>21/06/2027</t>
        </is>
      </c>
      <c r="C43" s="46" t="inlineStr">
        <is>
          <t>P5</t>
        </is>
      </c>
      <c r="D43" s="35">
        <f>IF($G43&lt;&gt;"",$G43&amp;" — les séances suivantes se décalent d'une semaine",INDEX('⚙ Moteur'!$B$5:$B$41,$H43))</f>
        <v/>
      </c>
      <c r="E43" s="35" t="n"/>
      <c r="F43" s="37" t="n"/>
      <c r="G43" s="38" t="n"/>
      <c r="H43" s="39">
        <f>IF($G43&lt;&gt;"",H42,H42+1)</f>
        <v/>
      </c>
    </row>
    <row r="44" ht="23.25" customHeight="1">
      <c r="A44" s="46" t="inlineStr">
        <is>
          <t>S37</t>
        </is>
      </c>
      <c r="B44" s="47" t="inlineStr">
        <is>
          <t>28/06/2027</t>
        </is>
      </c>
      <c r="C44" s="46" t="inlineStr">
        <is>
          <t>P5</t>
        </is>
      </c>
      <c r="D44" s="35">
        <f>IF($G44&lt;&gt;"",$G44&amp;" — les séances suivantes se décalent d'une semaine",INDEX('⚙ Moteur'!$B$5:$B$41,$H44))</f>
        <v/>
      </c>
      <c r="E44" s="35" t="n"/>
      <c r="F44" s="37" t="n"/>
      <c r="G44" s="38" t="n"/>
      <c r="H44" s="39">
        <f>IF($G44&lt;&gt;"",H43,H43+1)</f>
        <v/>
      </c>
    </row>
    <row r="45" ht="15" customHeight="1">
      <c r="A45" s="90" t="inlineStr">
        <is>
          <t>🏖 Fin des cours : 3 juillet 2027</t>
        </is>
      </c>
    </row>
    <row r="47" ht="15" customHeight="1">
      <c r="A47" s="48" t="inlineStr">
        <is>
          <t>Synthèse</t>
        </is>
      </c>
    </row>
    <row r="48" ht="15" customHeight="1">
      <c r="B48" s="49" t="inlineStr">
        <is>
          <t>Semaines de cours au total</t>
        </is>
      </c>
      <c r="C48" s="49" t="n">
        <v>37</v>
      </c>
    </row>
    <row r="49" ht="15" customHeight="1">
      <c r="B49" s="49" t="inlineStr">
        <is>
          <t>… dont semaines tampon</t>
        </is>
      </c>
      <c r="C49" s="49">
        <f>COUNTIF(D4:D44,"⏳*")</f>
        <v/>
      </c>
    </row>
    <row r="50" ht="15" customHeight="1">
      <c r="B50" s="49" t="inlineStr">
        <is>
          <t>… dont semaines avec séance planifiée</t>
        </is>
      </c>
      <c r="C50" s="49">
        <f>COUNTIF(D4:D44,"S*")</f>
        <v/>
      </c>
    </row>
    <row r="51" ht="15" customHeight="1">
      <c r="B51" s="91" t="inlineStr">
        <is>
          <t>Moteur automatique : marquer un ⚠ imprévu en colonne G décale toutes les séances suivantes (calendrier, frise et progression se recalculent). Un jour férié sur ton créneau = un imprévu à marquer aussi.</t>
        </is>
      </c>
    </row>
  </sheetData>
  <mergeCells count="7">
    <mergeCell ref="A12:H12"/>
    <mergeCell ref="A26:H26"/>
    <mergeCell ref="A35:H35"/>
    <mergeCell ref="D2:E2"/>
    <mergeCell ref="A20:H20"/>
    <mergeCell ref="A45:H45"/>
    <mergeCell ref="B51:H51"/>
  </mergeCells>
  <conditionalFormatting sqref="D4:D44">
    <cfRule type="expression" priority="2" dxfId="10">
      <formula>LEFT(D4,1)="⏳"</formula>
    </cfRule>
    <cfRule type="expression" priority="3" dxfId="9">
      <formula>LEFT(D4,1)="⚠"</formula>
    </cfRule>
  </conditionalFormatting>
  <dataValidations count="1">
    <dataValidation sqref="G4:G11 G13:G19 G21:G25 G27:G34 G36:G44" showDropDown="0" showInputMessage="0" showErrorMessage="0" allowBlank="1" type="list">
      <formula1>"⚠ Absence professeur,⚠ Formation / réunion,⚠ Sortie scolaire,⚠ Voyage,⚠ Fête de la science,⚠ Manifestation (collègue),⚠ Classe absente,⚠ Jour férié / pont,⚠ Intempéries,⚠ Problème technique,⚠ Remplacement,⚠ Autre imprévu"</formula1>
      <formula2>0</formula2>
    </dataValidation>
  </dataValidations>
  <hyperlinks>
    <hyperlink xmlns:r="http://schemas.openxmlformats.org/officeDocument/2006/relationships" ref="F2" location="'🏠%20Accueil'!A1" r:id="rId1"/>
  </hyperlinks>
  <pageMargins left="0.75" right="0.75" top="1" bottom="1" header="0.511811023622047" footer="0.511811023622047"/>
  <pageSetup orientation="landscape" horizontalDpi="300" verticalDpi="300"/>
</worksheet>
</file>

<file path=xl/worksheets/sheet3.xml><?xml version="1.0" encoding="utf-8"?>
<worksheet xmlns="http://schemas.openxmlformats.org/spreadsheetml/2006/main">
  <sheetPr codeName="Feuil3">
    <tabColor rgb="FF1F7A6E"/>
    <outlinePr summaryBelow="1" summaryRight="1"/>
    <pageSetUpPr/>
  </sheetPr>
  <dimension ref="A1:AM16"/>
  <sheetViews>
    <sheetView showGridLines="0" zoomScaleNormal="100" workbookViewId="0">
      <selection activeCell="A1" sqref="A1"/>
    </sheetView>
  </sheetViews>
  <sheetFormatPr baseColWidth="10" defaultColWidth="8.69140625" defaultRowHeight="14.6"/>
  <cols>
    <col width="5" customWidth="1" min="1" max="1"/>
    <col width="36" customWidth="1" min="2" max="2"/>
    <col width="4.23046875" customWidth="1" min="3" max="39"/>
  </cols>
  <sheetData>
    <row r="1" ht="18" customHeight="1">
      <c r="A1" s="92" t="inlineStr">
        <is>
          <t>FRISE DE L'ANNÉE 4e — se recalcule automatiquement selon les imprévus du Calendrier</t>
        </is>
      </c>
    </row>
    <row r="2" ht="30" customHeight="1">
      <c r="B2" s="93">
        <f>'📅 Calendrier'!D2</f>
        <v/>
      </c>
      <c r="P2" s="90" t="inlineStr">
        <is>
          <t>◀ Accueil</t>
        </is>
      </c>
    </row>
    <row r="3" ht="15" customHeight="1">
      <c r="C3" s="94" t="inlineStr">
        <is>
          <t>P1 (8 sem.)</t>
        </is>
      </c>
      <c r="K3" s="95" t="inlineStr">
        <is>
          <t>P2 (7 sem.)</t>
        </is>
      </c>
      <c r="R3" s="96" t="inlineStr">
        <is>
          <t>P3 (5 sem.)</t>
        </is>
      </c>
      <c r="W3" s="97" t="inlineStr">
        <is>
          <t>P4 (8 sem.)</t>
        </is>
      </c>
      <c r="AE3" s="98" t="inlineStr">
        <is>
          <t>P5 (9 sem.)</t>
        </is>
      </c>
    </row>
    <row r="4" ht="15" customHeight="1">
      <c r="C4" s="51" t="inlineStr">
        <is>
          <t>S01</t>
        </is>
      </c>
      <c r="D4" s="51" t="inlineStr">
        <is>
          <t>S02</t>
        </is>
      </c>
      <c r="E4" s="51" t="inlineStr">
        <is>
          <t>S03</t>
        </is>
      </c>
      <c r="F4" s="51" t="inlineStr">
        <is>
          <t>S04</t>
        </is>
      </c>
      <c r="G4" s="51" t="inlineStr">
        <is>
          <t>S05</t>
        </is>
      </c>
      <c r="H4" s="51" t="inlineStr">
        <is>
          <t>S06</t>
        </is>
      </c>
      <c r="I4" s="51" t="inlineStr">
        <is>
          <t>S07</t>
        </is>
      </c>
      <c r="J4" s="51" t="inlineStr">
        <is>
          <t>S08</t>
        </is>
      </c>
      <c r="K4" s="52" t="inlineStr">
        <is>
          <t>S09</t>
        </is>
      </c>
      <c r="L4" s="52" t="inlineStr">
        <is>
          <t>S10</t>
        </is>
      </c>
      <c r="M4" s="52" t="inlineStr">
        <is>
          <t>S11</t>
        </is>
      </c>
      <c r="N4" s="52" t="inlineStr">
        <is>
          <t>S12</t>
        </is>
      </c>
      <c r="O4" s="52" t="inlineStr">
        <is>
          <t>S13</t>
        </is>
      </c>
      <c r="P4" s="52" t="inlineStr">
        <is>
          <t>S14</t>
        </is>
      </c>
      <c r="Q4" s="52" t="inlineStr">
        <is>
          <t>S15</t>
        </is>
      </c>
      <c r="R4" s="53" t="inlineStr">
        <is>
          <t>S16</t>
        </is>
      </c>
      <c r="S4" s="53" t="inlineStr">
        <is>
          <t>S17</t>
        </is>
      </c>
      <c r="T4" s="53" t="inlineStr">
        <is>
          <t>S18</t>
        </is>
      </c>
      <c r="U4" s="53" t="inlineStr">
        <is>
          <t>S19</t>
        </is>
      </c>
      <c r="V4" s="53" t="inlineStr">
        <is>
          <t>S20</t>
        </is>
      </c>
      <c r="W4" s="54" t="inlineStr">
        <is>
          <t>S21</t>
        </is>
      </c>
      <c r="X4" s="54" t="inlineStr">
        <is>
          <t>S22</t>
        </is>
      </c>
      <c r="Y4" s="54" t="inlineStr">
        <is>
          <t>S23</t>
        </is>
      </c>
      <c r="Z4" s="54" t="inlineStr">
        <is>
          <t>S24</t>
        </is>
      </c>
      <c r="AA4" s="54" t="inlineStr">
        <is>
          <t>S25</t>
        </is>
      </c>
      <c r="AB4" s="54" t="inlineStr">
        <is>
          <t>S26</t>
        </is>
      </c>
      <c r="AC4" s="54" t="inlineStr">
        <is>
          <t>S27</t>
        </is>
      </c>
      <c r="AD4" s="54" t="inlineStr">
        <is>
          <t>S28</t>
        </is>
      </c>
      <c r="AE4" s="55" t="inlineStr">
        <is>
          <t>S29</t>
        </is>
      </c>
      <c r="AF4" s="55" t="inlineStr">
        <is>
          <t>S30</t>
        </is>
      </c>
      <c r="AG4" s="55" t="inlineStr">
        <is>
          <t>S31</t>
        </is>
      </c>
      <c r="AH4" s="55" t="inlineStr">
        <is>
          <t>S32</t>
        </is>
      </c>
      <c r="AI4" s="55" t="inlineStr">
        <is>
          <t>S33</t>
        </is>
      </c>
      <c r="AJ4" s="55" t="inlineStr">
        <is>
          <t>S34</t>
        </is>
      </c>
      <c r="AK4" s="55" t="inlineStr">
        <is>
          <t>S35</t>
        </is>
      </c>
      <c r="AL4" s="55" t="inlineStr">
        <is>
          <t>S36</t>
        </is>
      </c>
      <c r="AM4" s="55" t="inlineStr">
        <is>
          <t>S37</t>
        </is>
      </c>
    </row>
    <row r="5" ht="33.75" customHeight="1">
      <c r="C5" s="56" t="inlineStr">
        <is>
          <t>31/08</t>
        </is>
      </c>
      <c r="D5" s="56" t="inlineStr">
        <is>
          <t>07/09</t>
        </is>
      </c>
      <c r="E5" s="56" t="inlineStr">
        <is>
          <t>14/09</t>
        </is>
      </c>
      <c r="F5" s="56" t="inlineStr">
        <is>
          <t>21/09</t>
        </is>
      </c>
      <c r="G5" s="56" t="inlineStr">
        <is>
          <t>28/09</t>
        </is>
      </c>
      <c r="H5" s="56" t="inlineStr">
        <is>
          <t>05/10</t>
        </is>
      </c>
      <c r="I5" s="56" t="inlineStr">
        <is>
          <t>12/10</t>
        </is>
      </c>
      <c r="J5" s="56" t="inlineStr">
        <is>
          <t>19/10</t>
        </is>
      </c>
      <c r="K5" s="56" t="inlineStr">
        <is>
          <t>02/11</t>
        </is>
      </c>
      <c r="L5" s="56" t="inlineStr">
        <is>
          <t>09/11</t>
        </is>
      </c>
      <c r="M5" s="56" t="inlineStr">
        <is>
          <t>16/11</t>
        </is>
      </c>
      <c r="N5" s="56" t="inlineStr">
        <is>
          <t>23/11</t>
        </is>
      </c>
      <c r="O5" s="56" t="inlineStr">
        <is>
          <t>30/11</t>
        </is>
      </c>
      <c r="P5" s="56" t="inlineStr">
        <is>
          <t>07/12</t>
        </is>
      </c>
      <c r="Q5" s="56" t="inlineStr">
        <is>
          <t>14/12</t>
        </is>
      </c>
      <c r="R5" s="56" t="inlineStr">
        <is>
          <t>04/01</t>
        </is>
      </c>
      <c r="S5" s="56" t="inlineStr">
        <is>
          <t>11/01</t>
        </is>
      </c>
      <c r="T5" s="56" t="inlineStr">
        <is>
          <t>18/01</t>
        </is>
      </c>
      <c r="U5" s="56" t="inlineStr">
        <is>
          <t>25/01</t>
        </is>
      </c>
      <c r="V5" s="56" t="inlineStr">
        <is>
          <t>01/02</t>
        </is>
      </c>
      <c r="W5" s="56" t="inlineStr">
        <is>
          <t>22/02</t>
        </is>
      </c>
      <c r="X5" s="56" t="inlineStr">
        <is>
          <t>01/03</t>
        </is>
      </c>
      <c r="Y5" s="56" t="inlineStr">
        <is>
          <t>08/03</t>
        </is>
      </c>
      <c r="Z5" s="56" t="inlineStr">
        <is>
          <t>15/03</t>
        </is>
      </c>
      <c r="AA5" s="56" t="inlineStr">
        <is>
          <t>22/03</t>
        </is>
      </c>
      <c r="AB5" s="56" t="inlineStr">
        <is>
          <t>29/03</t>
        </is>
      </c>
      <c r="AC5" s="56" t="inlineStr">
        <is>
          <t>05/04</t>
        </is>
      </c>
      <c r="AD5" s="56" t="inlineStr">
        <is>
          <t>12/04</t>
        </is>
      </c>
      <c r="AE5" s="56" t="inlineStr">
        <is>
          <t>03/05</t>
        </is>
      </c>
      <c r="AF5" s="56" t="inlineStr">
        <is>
          <t>10/05</t>
        </is>
      </c>
      <c r="AG5" s="56" t="inlineStr">
        <is>
          <t>17/05</t>
        </is>
      </c>
      <c r="AH5" s="56" t="inlineStr">
        <is>
          <t>24/05</t>
        </is>
      </c>
      <c r="AI5" s="56" t="inlineStr">
        <is>
          <t>31/05</t>
        </is>
      </c>
      <c r="AJ5" s="56" t="inlineStr">
        <is>
          <t>07/06</t>
        </is>
      </c>
      <c r="AK5" s="56" t="inlineStr">
        <is>
          <t>14/06</t>
        </is>
      </c>
      <c r="AL5" s="56" t="inlineStr">
        <is>
          <t>21/06</t>
        </is>
      </c>
      <c r="AM5" s="56" t="inlineStr">
        <is>
          <t>28/06</t>
        </is>
      </c>
    </row>
    <row r="6" ht="15" customHeight="1">
      <c r="B6" s="57" t="inlineStr">
        <is>
          <t>S1 · Objets qui évoluent</t>
        </is>
      </c>
      <c r="C6" s="58">
        <f>IF(LEFT('📅 Calendrier'!$D4,2)="S1",MID('📅 Calendrier'!$D4,SEARCH("séance",'📅 Calendrier'!$D4)+7,2),"")</f>
        <v/>
      </c>
      <c r="D6" s="58">
        <f>IF(LEFT('📅 Calendrier'!$D5,2)="S1",MID('📅 Calendrier'!$D5,SEARCH("séance",'📅 Calendrier'!$D5)+7,2),"")</f>
        <v/>
      </c>
      <c r="E6" s="58">
        <f>IF(LEFT('📅 Calendrier'!$D6,2)="S1",MID('📅 Calendrier'!$D6,SEARCH("séance",'📅 Calendrier'!$D6)+7,2),"")</f>
        <v/>
      </c>
      <c r="F6" s="58">
        <f>IF(LEFT('📅 Calendrier'!$D7,2)="S1",MID('📅 Calendrier'!$D7,SEARCH("séance",'📅 Calendrier'!$D7)+7,2),"")</f>
        <v/>
      </c>
      <c r="G6" s="58">
        <f>IF(LEFT('📅 Calendrier'!$D8,2)="S1",MID('📅 Calendrier'!$D8,SEARCH("séance",'📅 Calendrier'!$D8)+7,2),"")</f>
        <v/>
      </c>
      <c r="H6" s="58">
        <f>IF(LEFT('📅 Calendrier'!$D9,2)="S1",MID('📅 Calendrier'!$D9,SEARCH("séance",'📅 Calendrier'!$D9)+7,2),"")</f>
        <v/>
      </c>
      <c r="I6" s="58">
        <f>IF(LEFT('📅 Calendrier'!$D10,2)="S1",MID('📅 Calendrier'!$D10,SEARCH("séance",'📅 Calendrier'!$D10)+7,2),"")</f>
        <v/>
      </c>
      <c r="J6" s="58">
        <f>IF(LEFT('📅 Calendrier'!$D11,2)="S1",MID('📅 Calendrier'!$D11,SEARCH("séance",'📅 Calendrier'!$D11)+7,2),"")</f>
        <v/>
      </c>
      <c r="K6" s="58">
        <f>IF(LEFT('📅 Calendrier'!$D13,2)="S1",MID('📅 Calendrier'!$D13,SEARCH("séance",'📅 Calendrier'!$D13)+7,2),"")</f>
        <v/>
      </c>
      <c r="L6" s="58">
        <f>IF(LEFT('📅 Calendrier'!$D14,2)="S1",MID('📅 Calendrier'!$D14,SEARCH("séance",'📅 Calendrier'!$D14)+7,2),"")</f>
        <v/>
      </c>
      <c r="M6" s="58">
        <f>IF(LEFT('📅 Calendrier'!$D15,2)="S1",MID('📅 Calendrier'!$D15,SEARCH("séance",'📅 Calendrier'!$D15)+7,2),"")</f>
        <v/>
      </c>
      <c r="N6" s="58">
        <f>IF(LEFT('📅 Calendrier'!$D16,2)="S1",MID('📅 Calendrier'!$D16,SEARCH("séance",'📅 Calendrier'!$D16)+7,2),"")</f>
        <v/>
      </c>
      <c r="O6" s="58">
        <f>IF(LEFT('📅 Calendrier'!$D17,2)="S1",MID('📅 Calendrier'!$D17,SEARCH("séance",'📅 Calendrier'!$D17)+7,2),"")</f>
        <v/>
      </c>
      <c r="P6" s="58">
        <f>IF(LEFT('📅 Calendrier'!$D18,2)="S1",MID('📅 Calendrier'!$D18,SEARCH("séance",'📅 Calendrier'!$D18)+7,2),"")</f>
        <v/>
      </c>
      <c r="Q6" s="58">
        <f>IF(LEFT('📅 Calendrier'!$D19,2)="S1",MID('📅 Calendrier'!$D19,SEARCH("séance",'📅 Calendrier'!$D19)+7,2),"")</f>
        <v/>
      </c>
      <c r="R6" s="58">
        <f>IF(LEFT('📅 Calendrier'!$D21,2)="S1",MID('📅 Calendrier'!$D21,SEARCH("séance",'📅 Calendrier'!$D21)+7,2),"")</f>
        <v/>
      </c>
      <c r="S6" s="58">
        <f>IF(LEFT('📅 Calendrier'!$D22,2)="S1",MID('📅 Calendrier'!$D22,SEARCH("séance",'📅 Calendrier'!$D22)+7,2),"")</f>
        <v/>
      </c>
      <c r="T6" s="58">
        <f>IF(LEFT('📅 Calendrier'!$D23,2)="S1",MID('📅 Calendrier'!$D23,SEARCH("séance",'📅 Calendrier'!$D23)+7,2),"")</f>
        <v/>
      </c>
      <c r="U6" s="58">
        <f>IF(LEFT('📅 Calendrier'!$D24,2)="S1",MID('📅 Calendrier'!$D24,SEARCH("séance",'📅 Calendrier'!$D24)+7,2),"")</f>
        <v/>
      </c>
      <c r="V6" s="58">
        <f>IF(LEFT('📅 Calendrier'!$D25,2)="S1",MID('📅 Calendrier'!$D25,SEARCH("séance",'📅 Calendrier'!$D25)+7,2),"")</f>
        <v/>
      </c>
      <c r="W6" s="58">
        <f>IF(LEFT('📅 Calendrier'!$D27,2)="S1",MID('📅 Calendrier'!$D27,SEARCH("séance",'📅 Calendrier'!$D27)+7,2),"")</f>
        <v/>
      </c>
      <c r="X6" s="58">
        <f>IF(LEFT('📅 Calendrier'!$D28,2)="S1",MID('📅 Calendrier'!$D28,SEARCH("séance",'📅 Calendrier'!$D28)+7,2),"")</f>
        <v/>
      </c>
      <c r="Y6" s="58">
        <f>IF(LEFT('📅 Calendrier'!$D29,2)="S1",MID('📅 Calendrier'!$D29,SEARCH("séance",'📅 Calendrier'!$D29)+7,2),"")</f>
        <v/>
      </c>
      <c r="Z6" s="58">
        <f>IF(LEFT('📅 Calendrier'!$D30,2)="S1",MID('📅 Calendrier'!$D30,SEARCH("séance",'📅 Calendrier'!$D30)+7,2),"")</f>
        <v/>
      </c>
      <c r="AA6" s="58">
        <f>IF(LEFT('📅 Calendrier'!$D31,2)="S1",MID('📅 Calendrier'!$D31,SEARCH("séance",'📅 Calendrier'!$D31)+7,2),"")</f>
        <v/>
      </c>
      <c r="AB6" s="58">
        <f>IF(LEFT('📅 Calendrier'!$D32,2)="S1",MID('📅 Calendrier'!$D32,SEARCH("séance",'📅 Calendrier'!$D32)+7,2),"")</f>
        <v/>
      </c>
      <c r="AC6" s="58">
        <f>IF(LEFT('📅 Calendrier'!$D33,2)="S1",MID('📅 Calendrier'!$D33,SEARCH("séance",'📅 Calendrier'!$D33)+7,2),"")</f>
        <v/>
      </c>
      <c r="AD6" s="58">
        <f>IF(LEFT('📅 Calendrier'!$D34,2)="S1",MID('📅 Calendrier'!$D34,SEARCH("séance",'📅 Calendrier'!$D34)+7,2),"")</f>
        <v/>
      </c>
      <c r="AE6" s="58">
        <f>IF(LEFT('📅 Calendrier'!$D36,2)="S1",MID('📅 Calendrier'!$D36,SEARCH("séance",'📅 Calendrier'!$D36)+7,2),"")</f>
        <v/>
      </c>
      <c r="AF6" s="58">
        <f>IF(LEFT('📅 Calendrier'!$D37,2)="S1",MID('📅 Calendrier'!$D37,SEARCH("séance",'📅 Calendrier'!$D37)+7,2),"")</f>
        <v/>
      </c>
      <c r="AG6" s="58">
        <f>IF(LEFT('📅 Calendrier'!$D38,2)="S1",MID('📅 Calendrier'!$D38,SEARCH("séance",'📅 Calendrier'!$D38)+7,2),"")</f>
        <v/>
      </c>
      <c r="AH6" s="58">
        <f>IF(LEFT('📅 Calendrier'!$D39,2)="S1",MID('📅 Calendrier'!$D39,SEARCH("séance",'📅 Calendrier'!$D39)+7,2),"")</f>
        <v/>
      </c>
      <c r="AI6" s="58">
        <f>IF(LEFT('📅 Calendrier'!$D40,2)="S1",MID('📅 Calendrier'!$D40,SEARCH("séance",'📅 Calendrier'!$D40)+7,2),"")</f>
        <v/>
      </c>
      <c r="AJ6" s="58">
        <f>IF(LEFT('📅 Calendrier'!$D41,2)="S1",MID('📅 Calendrier'!$D41,SEARCH("séance",'📅 Calendrier'!$D41)+7,2),"")</f>
        <v/>
      </c>
      <c r="AK6" s="58">
        <f>IF(LEFT('📅 Calendrier'!$D42,2)="S1",MID('📅 Calendrier'!$D42,SEARCH("séance",'📅 Calendrier'!$D42)+7,2),"")</f>
        <v/>
      </c>
      <c r="AL6" s="58">
        <f>IF(LEFT('📅 Calendrier'!$D43,2)="S1",MID('📅 Calendrier'!$D43,SEARCH("séance",'📅 Calendrier'!$D43)+7,2),"")</f>
        <v/>
      </c>
      <c r="AM6" s="58">
        <f>IF(LEFT('📅 Calendrier'!$D44,2)="S1",MID('📅 Calendrier'!$D44,SEARCH("séance",'📅 Calendrier'!$D44)+7,2),"")</f>
        <v/>
      </c>
    </row>
    <row r="7" ht="15" customHeight="1">
      <c r="B7" s="57" t="inlineStr">
        <is>
          <t>S2 · Identité numérique</t>
        </is>
      </c>
      <c r="C7" s="58">
        <f>IF(LEFT('📅 Calendrier'!$D4,2)="S2",MID('📅 Calendrier'!$D4,SEARCH("séance",'📅 Calendrier'!$D4)+7,2),"")</f>
        <v/>
      </c>
      <c r="D7" s="58">
        <f>IF(LEFT('📅 Calendrier'!$D5,2)="S2",MID('📅 Calendrier'!$D5,SEARCH("séance",'📅 Calendrier'!$D5)+7,2),"")</f>
        <v/>
      </c>
      <c r="E7" s="58">
        <f>IF(LEFT('📅 Calendrier'!$D6,2)="S2",MID('📅 Calendrier'!$D6,SEARCH("séance",'📅 Calendrier'!$D6)+7,2),"")</f>
        <v/>
      </c>
      <c r="F7" s="58">
        <f>IF(LEFT('📅 Calendrier'!$D7,2)="S2",MID('📅 Calendrier'!$D7,SEARCH("séance",'📅 Calendrier'!$D7)+7,2),"")</f>
        <v/>
      </c>
      <c r="G7" s="58">
        <f>IF(LEFT('📅 Calendrier'!$D8,2)="S2",MID('📅 Calendrier'!$D8,SEARCH("séance",'📅 Calendrier'!$D8)+7,2),"")</f>
        <v/>
      </c>
      <c r="H7" s="58">
        <f>IF(LEFT('📅 Calendrier'!$D9,2)="S2",MID('📅 Calendrier'!$D9,SEARCH("séance",'📅 Calendrier'!$D9)+7,2),"")</f>
        <v/>
      </c>
      <c r="I7" s="58">
        <f>IF(LEFT('📅 Calendrier'!$D10,2)="S2",MID('📅 Calendrier'!$D10,SEARCH("séance",'📅 Calendrier'!$D10)+7,2),"")</f>
        <v/>
      </c>
      <c r="J7" s="58">
        <f>IF(LEFT('📅 Calendrier'!$D11,2)="S2",MID('📅 Calendrier'!$D11,SEARCH("séance",'📅 Calendrier'!$D11)+7,2),"")</f>
        <v/>
      </c>
      <c r="K7" s="58">
        <f>IF(LEFT('📅 Calendrier'!$D13,2)="S2",MID('📅 Calendrier'!$D13,SEARCH("séance",'📅 Calendrier'!$D13)+7,2),"")</f>
        <v/>
      </c>
      <c r="L7" s="58">
        <f>IF(LEFT('📅 Calendrier'!$D14,2)="S2",MID('📅 Calendrier'!$D14,SEARCH("séance",'📅 Calendrier'!$D14)+7,2),"")</f>
        <v/>
      </c>
      <c r="M7" s="58">
        <f>IF(LEFT('📅 Calendrier'!$D15,2)="S2",MID('📅 Calendrier'!$D15,SEARCH("séance",'📅 Calendrier'!$D15)+7,2),"")</f>
        <v/>
      </c>
      <c r="N7" s="58">
        <f>IF(LEFT('📅 Calendrier'!$D16,2)="S2",MID('📅 Calendrier'!$D16,SEARCH("séance",'📅 Calendrier'!$D16)+7,2),"")</f>
        <v/>
      </c>
      <c r="O7" s="58">
        <f>IF(LEFT('📅 Calendrier'!$D17,2)="S2",MID('📅 Calendrier'!$D17,SEARCH("séance",'📅 Calendrier'!$D17)+7,2),"")</f>
        <v/>
      </c>
      <c r="P7" s="58">
        <f>IF(LEFT('📅 Calendrier'!$D18,2)="S2",MID('📅 Calendrier'!$D18,SEARCH("séance",'📅 Calendrier'!$D18)+7,2),"")</f>
        <v/>
      </c>
      <c r="Q7" s="58">
        <f>IF(LEFT('📅 Calendrier'!$D19,2)="S2",MID('📅 Calendrier'!$D19,SEARCH("séance",'📅 Calendrier'!$D19)+7,2),"")</f>
        <v/>
      </c>
      <c r="R7" s="58">
        <f>IF(LEFT('📅 Calendrier'!$D21,2)="S2",MID('📅 Calendrier'!$D21,SEARCH("séance",'📅 Calendrier'!$D21)+7,2),"")</f>
        <v/>
      </c>
      <c r="S7" s="58">
        <f>IF(LEFT('📅 Calendrier'!$D22,2)="S2",MID('📅 Calendrier'!$D22,SEARCH("séance",'📅 Calendrier'!$D22)+7,2),"")</f>
        <v/>
      </c>
      <c r="T7" s="58">
        <f>IF(LEFT('📅 Calendrier'!$D23,2)="S2",MID('📅 Calendrier'!$D23,SEARCH("séance",'📅 Calendrier'!$D23)+7,2),"")</f>
        <v/>
      </c>
      <c r="U7" s="58">
        <f>IF(LEFT('📅 Calendrier'!$D24,2)="S2",MID('📅 Calendrier'!$D24,SEARCH("séance",'📅 Calendrier'!$D24)+7,2),"")</f>
        <v/>
      </c>
      <c r="V7" s="58">
        <f>IF(LEFT('📅 Calendrier'!$D25,2)="S2",MID('📅 Calendrier'!$D25,SEARCH("séance",'📅 Calendrier'!$D25)+7,2),"")</f>
        <v/>
      </c>
      <c r="W7" s="58">
        <f>IF(LEFT('📅 Calendrier'!$D27,2)="S2",MID('📅 Calendrier'!$D27,SEARCH("séance",'📅 Calendrier'!$D27)+7,2),"")</f>
        <v/>
      </c>
      <c r="X7" s="58">
        <f>IF(LEFT('📅 Calendrier'!$D28,2)="S2",MID('📅 Calendrier'!$D28,SEARCH("séance",'📅 Calendrier'!$D28)+7,2),"")</f>
        <v/>
      </c>
      <c r="Y7" s="58">
        <f>IF(LEFT('📅 Calendrier'!$D29,2)="S2",MID('📅 Calendrier'!$D29,SEARCH("séance",'📅 Calendrier'!$D29)+7,2),"")</f>
        <v/>
      </c>
      <c r="Z7" s="58">
        <f>IF(LEFT('📅 Calendrier'!$D30,2)="S2",MID('📅 Calendrier'!$D30,SEARCH("séance",'📅 Calendrier'!$D30)+7,2),"")</f>
        <v/>
      </c>
      <c r="AA7" s="58">
        <f>IF(LEFT('📅 Calendrier'!$D31,2)="S2",MID('📅 Calendrier'!$D31,SEARCH("séance",'📅 Calendrier'!$D31)+7,2),"")</f>
        <v/>
      </c>
      <c r="AB7" s="58">
        <f>IF(LEFT('📅 Calendrier'!$D32,2)="S2",MID('📅 Calendrier'!$D32,SEARCH("séance",'📅 Calendrier'!$D32)+7,2),"")</f>
        <v/>
      </c>
      <c r="AC7" s="58">
        <f>IF(LEFT('📅 Calendrier'!$D33,2)="S2",MID('📅 Calendrier'!$D33,SEARCH("séance",'📅 Calendrier'!$D33)+7,2),"")</f>
        <v/>
      </c>
      <c r="AD7" s="58">
        <f>IF(LEFT('📅 Calendrier'!$D34,2)="S2",MID('📅 Calendrier'!$D34,SEARCH("séance",'📅 Calendrier'!$D34)+7,2),"")</f>
        <v/>
      </c>
      <c r="AE7" s="58">
        <f>IF(LEFT('📅 Calendrier'!$D36,2)="S2",MID('📅 Calendrier'!$D36,SEARCH("séance",'📅 Calendrier'!$D36)+7,2),"")</f>
        <v/>
      </c>
      <c r="AF7" s="58">
        <f>IF(LEFT('📅 Calendrier'!$D37,2)="S2",MID('📅 Calendrier'!$D37,SEARCH("séance",'📅 Calendrier'!$D37)+7,2),"")</f>
        <v/>
      </c>
      <c r="AG7" s="58">
        <f>IF(LEFT('📅 Calendrier'!$D38,2)="S2",MID('📅 Calendrier'!$D38,SEARCH("séance",'📅 Calendrier'!$D38)+7,2),"")</f>
        <v/>
      </c>
      <c r="AH7" s="58">
        <f>IF(LEFT('📅 Calendrier'!$D39,2)="S2",MID('📅 Calendrier'!$D39,SEARCH("séance",'📅 Calendrier'!$D39)+7,2),"")</f>
        <v/>
      </c>
      <c r="AI7" s="58">
        <f>IF(LEFT('📅 Calendrier'!$D40,2)="S2",MID('📅 Calendrier'!$D40,SEARCH("séance",'📅 Calendrier'!$D40)+7,2),"")</f>
        <v/>
      </c>
      <c r="AJ7" s="58">
        <f>IF(LEFT('📅 Calendrier'!$D41,2)="S2",MID('📅 Calendrier'!$D41,SEARCH("séance",'📅 Calendrier'!$D41)+7,2),"")</f>
        <v/>
      </c>
      <c r="AK7" s="58">
        <f>IF(LEFT('📅 Calendrier'!$D42,2)="S2",MID('📅 Calendrier'!$D42,SEARCH("séance",'📅 Calendrier'!$D42)+7,2),"")</f>
        <v/>
      </c>
      <c r="AL7" s="58">
        <f>IF(LEFT('📅 Calendrier'!$D43,2)="S2",MID('📅 Calendrier'!$D43,SEARCH("séance",'📅 Calendrier'!$D43)+7,2),"")</f>
        <v/>
      </c>
      <c r="AM7" s="58">
        <f>IF(LEFT('📅 Calendrier'!$D44,2)="S2",MID('📅 Calendrier'!$D44,SEARCH("séance",'📅 Calendrier'!$D44)+7,2),"")</f>
        <v/>
      </c>
    </row>
    <row r="8" ht="15" customHeight="1">
      <c r="B8" s="57" t="inlineStr">
        <is>
          <t>S3 · Ergonomie &amp; choix argumenté</t>
        </is>
      </c>
      <c r="C8" s="58">
        <f>IF(LEFT('📅 Calendrier'!$D4,2)="S3",MID('📅 Calendrier'!$D4,SEARCH("séance",'📅 Calendrier'!$D4)+7,2),"")</f>
        <v/>
      </c>
      <c r="D8" s="58">
        <f>IF(LEFT('📅 Calendrier'!$D5,2)="S3",MID('📅 Calendrier'!$D5,SEARCH("séance",'📅 Calendrier'!$D5)+7,2),"")</f>
        <v/>
      </c>
      <c r="E8" s="58">
        <f>IF(LEFT('📅 Calendrier'!$D6,2)="S3",MID('📅 Calendrier'!$D6,SEARCH("séance",'📅 Calendrier'!$D6)+7,2),"")</f>
        <v/>
      </c>
      <c r="F8" s="58">
        <f>IF(LEFT('📅 Calendrier'!$D7,2)="S3",MID('📅 Calendrier'!$D7,SEARCH("séance",'📅 Calendrier'!$D7)+7,2),"")</f>
        <v/>
      </c>
      <c r="G8" s="58">
        <f>IF(LEFT('📅 Calendrier'!$D8,2)="S3",MID('📅 Calendrier'!$D8,SEARCH("séance",'📅 Calendrier'!$D8)+7,2),"")</f>
        <v/>
      </c>
      <c r="H8" s="58">
        <f>IF(LEFT('📅 Calendrier'!$D9,2)="S3",MID('📅 Calendrier'!$D9,SEARCH("séance",'📅 Calendrier'!$D9)+7,2),"")</f>
        <v/>
      </c>
      <c r="I8" s="58">
        <f>IF(LEFT('📅 Calendrier'!$D10,2)="S3",MID('📅 Calendrier'!$D10,SEARCH("séance",'📅 Calendrier'!$D10)+7,2),"")</f>
        <v/>
      </c>
      <c r="J8" s="58">
        <f>IF(LEFT('📅 Calendrier'!$D11,2)="S3",MID('📅 Calendrier'!$D11,SEARCH("séance",'📅 Calendrier'!$D11)+7,2),"")</f>
        <v/>
      </c>
      <c r="K8" s="58">
        <f>IF(LEFT('📅 Calendrier'!$D13,2)="S3",MID('📅 Calendrier'!$D13,SEARCH("séance",'📅 Calendrier'!$D13)+7,2),"")</f>
        <v/>
      </c>
      <c r="L8" s="58">
        <f>IF(LEFT('📅 Calendrier'!$D14,2)="S3",MID('📅 Calendrier'!$D14,SEARCH("séance",'📅 Calendrier'!$D14)+7,2),"")</f>
        <v/>
      </c>
      <c r="M8" s="58">
        <f>IF(LEFT('📅 Calendrier'!$D15,2)="S3",MID('📅 Calendrier'!$D15,SEARCH("séance",'📅 Calendrier'!$D15)+7,2),"")</f>
        <v/>
      </c>
      <c r="N8" s="58">
        <f>IF(LEFT('📅 Calendrier'!$D16,2)="S3",MID('📅 Calendrier'!$D16,SEARCH("séance",'📅 Calendrier'!$D16)+7,2),"")</f>
        <v/>
      </c>
      <c r="O8" s="58">
        <f>IF(LEFT('📅 Calendrier'!$D17,2)="S3",MID('📅 Calendrier'!$D17,SEARCH("séance",'📅 Calendrier'!$D17)+7,2),"")</f>
        <v/>
      </c>
      <c r="P8" s="58">
        <f>IF(LEFT('📅 Calendrier'!$D18,2)="S3",MID('📅 Calendrier'!$D18,SEARCH("séance",'📅 Calendrier'!$D18)+7,2),"")</f>
        <v/>
      </c>
      <c r="Q8" s="58">
        <f>IF(LEFT('📅 Calendrier'!$D19,2)="S3",MID('📅 Calendrier'!$D19,SEARCH("séance",'📅 Calendrier'!$D19)+7,2),"")</f>
        <v/>
      </c>
      <c r="R8" s="58">
        <f>IF(LEFT('📅 Calendrier'!$D21,2)="S3",MID('📅 Calendrier'!$D21,SEARCH("séance",'📅 Calendrier'!$D21)+7,2),"")</f>
        <v/>
      </c>
      <c r="S8" s="58">
        <f>IF(LEFT('📅 Calendrier'!$D22,2)="S3",MID('📅 Calendrier'!$D22,SEARCH("séance",'📅 Calendrier'!$D22)+7,2),"")</f>
        <v/>
      </c>
      <c r="T8" s="58">
        <f>IF(LEFT('📅 Calendrier'!$D23,2)="S3",MID('📅 Calendrier'!$D23,SEARCH("séance",'📅 Calendrier'!$D23)+7,2),"")</f>
        <v/>
      </c>
      <c r="U8" s="58">
        <f>IF(LEFT('📅 Calendrier'!$D24,2)="S3",MID('📅 Calendrier'!$D24,SEARCH("séance",'📅 Calendrier'!$D24)+7,2),"")</f>
        <v/>
      </c>
      <c r="V8" s="58">
        <f>IF(LEFT('📅 Calendrier'!$D25,2)="S3",MID('📅 Calendrier'!$D25,SEARCH("séance",'📅 Calendrier'!$D25)+7,2),"")</f>
        <v/>
      </c>
      <c r="W8" s="58">
        <f>IF(LEFT('📅 Calendrier'!$D27,2)="S3",MID('📅 Calendrier'!$D27,SEARCH("séance",'📅 Calendrier'!$D27)+7,2),"")</f>
        <v/>
      </c>
      <c r="X8" s="58">
        <f>IF(LEFT('📅 Calendrier'!$D28,2)="S3",MID('📅 Calendrier'!$D28,SEARCH("séance",'📅 Calendrier'!$D28)+7,2),"")</f>
        <v/>
      </c>
      <c r="Y8" s="58">
        <f>IF(LEFT('📅 Calendrier'!$D29,2)="S3",MID('📅 Calendrier'!$D29,SEARCH("séance",'📅 Calendrier'!$D29)+7,2),"")</f>
        <v/>
      </c>
      <c r="Z8" s="58">
        <f>IF(LEFT('📅 Calendrier'!$D30,2)="S3",MID('📅 Calendrier'!$D30,SEARCH("séance",'📅 Calendrier'!$D30)+7,2),"")</f>
        <v/>
      </c>
      <c r="AA8" s="58">
        <f>IF(LEFT('📅 Calendrier'!$D31,2)="S3",MID('📅 Calendrier'!$D31,SEARCH("séance",'📅 Calendrier'!$D31)+7,2),"")</f>
        <v/>
      </c>
      <c r="AB8" s="58">
        <f>IF(LEFT('📅 Calendrier'!$D32,2)="S3",MID('📅 Calendrier'!$D32,SEARCH("séance",'📅 Calendrier'!$D32)+7,2),"")</f>
        <v/>
      </c>
      <c r="AC8" s="58">
        <f>IF(LEFT('📅 Calendrier'!$D33,2)="S3",MID('📅 Calendrier'!$D33,SEARCH("séance",'📅 Calendrier'!$D33)+7,2),"")</f>
        <v/>
      </c>
      <c r="AD8" s="58">
        <f>IF(LEFT('📅 Calendrier'!$D34,2)="S3",MID('📅 Calendrier'!$D34,SEARCH("séance",'📅 Calendrier'!$D34)+7,2),"")</f>
        <v/>
      </c>
      <c r="AE8" s="58">
        <f>IF(LEFT('📅 Calendrier'!$D36,2)="S3",MID('📅 Calendrier'!$D36,SEARCH("séance",'📅 Calendrier'!$D36)+7,2),"")</f>
        <v/>
      </c>
      <c r="AF8" s="58">
        <f>IF(LEFT('📅 Calendrier'!$D37,2)="S3",MID('📅 Calendrier'!$D37,SEARCH("séance",'📅 Calendrier'!$D37)+7,2),"")</f>
        <v/>
      </c>
      <c r="AG8" s="58">
        <f>IF(LEFT('📅 Calendrier'!$D38,2)="S3",MID('📅 Calendrier'!$D38,SEARCH("séance",'📅 Calendrier'!$D38)+7,2),"")</f>
        <v/>
      </c>
      <c r="AH8" s="58">
        <f>IF(LEFT('📅 Calendrier'!$D39,2)="S3",MID('📅 Calendrier'!$D39,SEARCH("séance",'📅 Calendrier'!$D39)+7,2),"")</f>
        <v/>
      </c>
      <c r="AI8" s="58">
        <f>IF(LEFT('📅 Calendrier'!$D40,2)="S3",MID('📅 Calendrier'!$D40,SEARCH("séance",'📅 Calendrier'!$D40)+7,2),"")</f>
        <v/>
      </c>
      <c r="AJ8" s="58">
        <f>IF(LEFT('📅 Calendrier'!$D41,2)="S3",MID('📅 Calendrier'!$D41,SEARCH("séance",'📅 Calendrier'!$D41)+7,2),"")</f>
        <v/>
      </c>
      <c r="AK8" s="58">
        <f>IF(LEFT('📅 Calendrier'!$D42,2)="S3",MID('📅 Calendrier'!$D42,SEARCH("séance",'📅 Calendrier'!$D42)+7,2),"")</f>
        <v/>
      </c>
      <c r="AL8" s="58">
        <f>IF(LEFT('📅 Calendrier'!$D43,2)="S3",MID('📅 Calendrier'!$D43,SEARCH("séance",'📅 Calendrier'!$D43)+7,2),"")</f>
        <v/>
      </c>
      <c r="AM8" s="58">
        <f>IF(LEFT('📅 Calendrier'!$D44,2)="S3",MID('📅 Calendrier'!$D44,SEARCH("séance",'📅 Calendrier'!$D44)+7,2),"")</f>
        <v/>
      </c>
    </row>
    <row r="9" ht="15" customHeight="1">
      <c r="B9" s="59" t="inlineStr">
        <is>
          <t>S4 · Jardin connecté : chaînes</t>
        </is>
      </c>
      <c r="C9" s="58">
        <f>IF(LEFT('📅 Calendrier'!$D4,2)="S4",MID('📅 Calendrier'!$D4,SEARCH("séance",'📅 Calendrier'!$D4)+7,2),"")</f>
        <v/>
      </c>
      <c r="D9" s="58">
        <f>IF(LEFT('📅 Calendrier'!$D5,2)="S4",MID('📅 Calendrier'!$D5,SEARCH("séance",'📅 Calendrier'!$D5)+7,2),"")</f>
        <v/>
      </c>
      <c r="E9" s="58">
        <f>IF(LEFT('📅 Calendrier'!$D6,2)="S4",MID('📅 Calendrier'!$D6,SEARCH("séance",'📅 Calendrier'!$D6)+7,2),"")</f>
        <v/>
      </c>
      <c r="F9" s="58">
        <f>IF(LEFT('📅 Calendrier'!$D7,2)="S4",MID('📅 Calendrier'!$D7,SEARCH("séance",'📅 Calendrier'!$D7)+7,2),"")</f>
        <v/>
      </c>
      <c r="G9" s="58">
        <f>IF(LEFT('📅 Calendrier'!$D8,2)="S4",MID('📅 Calendrier'!$D8,SEARCH("séance",'📅 Calendrier'!$D8)+7,2),"")</f>
        <v/>
      </c>
      <c r="H9" s="58">
        <f>IF(LEFT('📅 Calendrier'!$D9,2)="S4",MID('📅 Calendrier'!$D9,SEARCH("séance",'📅 Calendrier'!$D9)+7,2),"")</f>
        <v/>
      </c>
      <c r="I9" s="58">
        <f>IF(LEFT('📅 Calendrier'!$D10,2)="S4",MID('📅 Calendrier'!$D10,SEARCH("séance",'📅 Calendrier'!$D10)+7,2),"")</f>
        <v/>
      </c>
      <c r="J9" s="58">
        <f>IF(LEFT('📅 Calendrier'!$D11,2)="S4",MID('📅 Calendrier'!$D11,SEARCH("séance",'📅 Calendrier'!$D11)+7,2),"")</f>
        <v/>
      </c>
      <c r="K9" s="58">
        <f>IF(LEFT('📅 Calendrier'!$D13,2)="S4",MID('📅 Calendrier'!$D13,SEARCH("séance",'📅 Calendrier'!$D13)+7,2),"")</f>
        <v/>
      </c>
      <c r="L9" s="58">
        <f>IF(LEFT('📅 Calendrier'!$D14,2)="S4",MID('📅 Calendrier'!$D14,SEARCH("séance",'📅 Calendrier'!$D14)+7,2),"")</f>
        <v/>
      </c>
      <c r="M9" s="58">
        <f>IF(LEFT('📅 Calendrier'!$D15,2)="S4",MID('📅 Calendrier'!$D15,SEARCH("séance",'📅 Calendrier'!$D15)+7,2),"")</f>
        <v/>
      </c>
      <c r="N9" s="58">
        <f>IF(LEFT('📅 Calendrier'!$D16,2)="S4",MID('📅 Calendrier'!$D16,SEARCH("séance",'📅 Calendrier'!$D16)+7,2),"")</f>
        <v/>
      </c>
      <c r="O9" s="58">
        <f>IF(LEFT('📅 Calendrier'!$D17,2)="S4",MID('📅 Calendrier'!$D17,SEARCH("séance",'📅 Calendrier'!$D17)+7,2),"")</f>
        <v/>
      </c>
      <c r="P9" s="58">
        <f>IF(LEFT('📅 Calendrier'!$D18,2)="S4",MID('📅 Calendrier'!$D18,SEARCH("séance",'📅 Calendrier'!$D18)+7,2),"")</f>
        <v/>
      </c>
      <c r="Q9" s="58">
        <f>IF(LEFT('📅 Calendrier'!$D19,2)="S4",MID('📅 Calendrier'!$D19,SEARCH("séance",'📅 Calendrier'!$D19)+7,2),"")</f>
        <v/>
      </c>
      <c r="R9" s="58">
        <f>IF(LEFT('📅 Calendrier'!$D21,2)="S4",MID('📅 Calendrier'!$D21,SEARCH("séance",'📅 Calendrier'!$D21)+7,2),"")</f>
        <v/>
      </c>
      <c r="S9" s="58">
        <f>IF(LEFT('📅 Calendrier'!$D22,2)="S4",MID('📅 Calendrier'!$D22,SEARCH("séance",'📅 Calendrier'!$D22)+7,2),"")</f>
        <v/>
      </c>
      <c r="T9" s="58">
        <f>IF(LEFT('📅 Calendrier'!$D23,2)="S4",MID('📅 Calendrier'!$D23,SEARCH("séance",'📅 Calendrier'!$D23)+7,2),"")</f>
        <v/>
      </c>
      <c r="U9" s="58">
        <f>IF(LEFT('📅 Calendrier'!$D24,2)="S4",MID('📅 Calendrier'!$D24,SEARCH("séance",'📅 Calendrier'!$D24)+7,2),"")</f>
        <v/>
      </c>
      <c r="V9" s="58">
        <f>IF(LEFT('📅 Calendrier'!$D25,2)="S4",MID('📅 Calendrier'!$D25,SEARCH("séance",'📅 Calendrier'!$D25)+7,2),"")</f>
        <v/>
      </c>
      <c r="W9" s="58">
        <f>IF(LEFT('📅 Calendrier'!$D27,2)="S4",MID('📅 Calendrier'!$D27,SEARCH("séance",'📅 Calendrier'!$D27)+7,2),"")</f>
        <v/>
      </c>
      <c r="X9" s="58">
        <f>IF(LEFT('📅 Calendrier'!$D28,2)="S4",MID('📅 Calendrier'!$D28,SEARCH("séance",'📅 Calendrier'!$D28)+7,2),"")</f>
        <v/>
      </c>
      <c r="Y9" s="58">
        <f>IF(LEFT('📅 Calendrier'!$D29,2)="S4",MID('📅 Calendrier'!$D29,SEARCH("séance",'📅 Calendrier'!$D29)+7,2),"")</f>
        <v/>
      </c>
      <c r="Z9" s="58">
        <f>IF(LEFT('📅 Calendrier'!$D30,2)="S4",MID('📅 Calendrier'!$D30,SEARCH("séance",'📅 Calendrier'!$D30)+7,2),"")</f>
        <v/>
      </c>
      <c r="AA9" s="58">
        <f>IF(LEFT('📅 Calendrier'!$D31,2)="S4",MID('📅 Calendrier'!$D31,SEARCH("séance",'📅 Calendrier'!$D31)+7,2),"")</f>
        <v/>
      </c>
      <c r="AB9" s="58">
        <f>IF(LEFT('📅 Calendrier'!$D32,2)="S4",MID('📅 Calendrier'!$D32,SEARCH("séance",'📅 Calendrier'!$D32)+7,2),"")</f>
        <v/>
      </c>
      <c r="AC9" s="58">
        <f>IF(LEFT('📅 Calendrier'!$D33,2)="S4",MID('📅 Calendrier'!$D33,SEARCH("séance",'📅 Calendrier'!$D33)+7,2),"")</f>
        <v/>
      </c>
      <c r="AD9" s="58">
        <f>IF(LEFT('📅 Calendrier'!$D34,2)="S4",MID('📅 Calendrier'!$D34,SEARCH("séance",'📅 Calendrier'!$D34)+7,2),"")</f>
        <v/>
      </c>
      <c r="AE9" s="58">
        <f>IF(LEFT('📅 Calendrier'!$D36,2)="S4",MID('📅 Calendrier'!$D36,SEARCH("séance",'📅 Calendrier'!$D36)+7,2),"")</f>
        <v/>
      </c>
      <c r="AF9" s="58">
        <f>IF(LEFT('📅 Calendrier'!$D37,2)="S4",MID('📅 Calendrier'!$D37,SEARCH("séance",'📅 Calendrier'!$D37)+7,2),"")</f>
        <v/>
      </c>
      <c r="AG9" s="58">
        <f>IF(LEFT('📅 Calendrier'!$D38,2)="S4",MID('📅 Calendrier'!$D38,SEARCH("séance",'📅 Calendrier'!$D38)+7,2),"")</f>
        <v/>
      </c>
      <c r="AH9" s="58">
        <f>IF(LEFT('📅 Calendrier'!$D39,2)="S4",MID('📅 Calendrier'!$D39,SEARCH("séance",'📅 Calendrier'!$D39)+7,2),"")</f>
        <v/>
      </c>
      <c r="AI9" s="58">
        <f>IF(LEFT('📅 Calendrier'!$D40,2)="S4",MID('📅 Calendrier'!$D40,SEARCH("séance",'📅 Calendrier'!$D40)+7,2),"")</f>
        <v/>
      </c>
      <c r="AJ9" s="58">
        <f>IF(LEFT('📅 Calendrier'!$D41,2)="S4",MID('📅 Calendrier'!$D41,SEARCH("séance",'📅 Calendrier'!$D41)+7,2),"")</f>
        <v/>
      </c>
      <c r="AK9" s="58">
        <f>IF(LEFT('📅 Calendrier'!$D42,2)="S4",MID('📅 Calendrier'!$D42,SEARCH("séance",'📅 Calendrier'!$D42)+7,2),"")</f>
        <v/>
      </c>
      <c r="AL9" s="58">
        <f>IF(LEFT('📅 Calendrier'!$D43,2)="S4",MID('📅 Calendrier'!$D43,SEARCH("séance",'📅 Calendrier'!$D43)+7,2),"")</f>
        <v/>
      </c>
      <c r="AM9" s="58">
        <f>IF(LEFT('📅 Calendrier'!$D44,2)="S4",MID('📅 Calendrier'!$D44,SEARCH("séance",'📅 Calendrier'!$D44)+7,2),"")</f>
        <v/>
      </c>
    </row>
    <row r="10" ht="15" customHeight="1">
      <c r="B10" s="59" t="inlineStr">
        <is>
          <t>S5 · Objets connectés en réseau</t>
        </is>
      </c>
      <c r="C10" s="58">
        <f>IF(LEFT('📅 Calendrier'!$D4,2)="S5",MID('📅 Calendrier'!$D4,SEARCH("séance",'📅 Calendrier'!$D4)+7,2),"")</f>
        <v/>
      </c>
      <c r="D10" s="58">
        <f>IF(LEFT('📅 Calendrier'!$D5,2)="S5",MID('📅 Calendrier'!$D5,SEARCH("séance",'📅 Calendrier'!$D5)+7,2),"")</f>
        <v/>
      </c>
      <c r="E10" s="58">
        <f>IF(LEFT('📅 Calendrier'!$D6,2)="S5",MID('📅 Calendrier'!$D6,SEARCH("séance",'📅 Calendrier'!$D6)+7,2),"")</f>
        <v/>
      </c>
      <c r="F10" s="58">
        <f>IF(LEFT('📅 Calendrier'!$D7,2)="S5",MID('📅 Calendrier'!$D7,SEARCH("séance",'📅 Calendrier'!$D7)+7,2),"")</f>
        <v/>
      </c>
      <c r="G10" s="58">
        <f>IF(LEFT('📅 Calendrier'!$D8,2)="S5",MID('📅 Calendrier'!$D8,SEARCH("séance",'📅 Calendrier'!$D8)+7,2),"")</f>
        <v/>
      </c>
      <c r="H10" s="58">
        <f>IF(LEFT('📅 Calendrier'!$D9,2)="S5",MID('📅 Calendrier'!$D9,SEARCH("séance",'📅 Calendrier'!$D9)+7,2),"")</f>
        <v/>
      </c>
      <c r="I10" s="58">
        <f>IF(LEFT('📅 Calendrier'!$D10,2)="S5",MID('📅 Calendrier'!$D10,SEARCH("séance",'📅 Calendrier'!$D10)+7,2),"")</f>
        <v/>
      </c>
      <c r="J10" s="58">
        <f>IF(LEFT('📅 Calendrier'!$D11,2)="S5",MID('📅 Calendrier'!$D11,SEARCH("séance",'📅 Calendrier'!$D11)+7,2),"")</f>
        <v/>
      </c>
      <c r="K10" s="58">
        <f>IF(LEFT('📅 Calendrier'!$D13,2)="S5",MID('📅 Calendrier'!$D13,SEARCH("séance",'📅 Calendrier'!$D13)+7,2),"")</f>
        <v/>
      </c>
      <c r="L10" s="58">
        <f>IF(LEFT('📅 Calendrier'!$D14,2)="S5",MID('📅 Calendrier'!$D14,SEARCH("séance",'📅 Calendrier'!$D14)+7,2),"")</f>
        <v/>
      </c>
      <c r="M10" s="58">
        <f>IF(LEFT('📅 Calendrier'!$D15,2)="S5",MID('📅 Calendrier'!$D15,SEARCH("séance",'📅 Calendrier'!$D15)+7,2),"")</f>
        <v/>
      </c>
      <c r="N10" s="58">
        <f>IF(LEFT('📅 Calendrier'!$D16,2)="S5",MID('📅 Calendrier'!$D16,SEARCH("séance",'📅 Calendrier'!$D16)+7,2),"")</f>
        <v/>
      </c>
      <c r="O10" s="58">
        <f>IF(LEFT('📅 Calendrier'!$D17,2)="S5",MID('📅 Calendrier'!$D17,SEARCH("séance",'📅 Calendrier'!$D17)+7,2),"")</f>
        <v/>
      </c>
      <c r="P10" s="58">
        <f>IF(LEFT('📅 Calendrier'!$D18,2)="S5",MID('📅 Calendrier'!$D18,SEARCH("séance",'📅 Calendrier'!$D18)+7,2),"")</f>
        <v/>
      </c>
      <c r="Q10" s="58">
        <f>IF(LEFT('📅 Calendrier'!$D19,2)="S5",MID('📅 Calendrier'!$D19,SEARCH("séance",'📅 Calendrier'!$D19)+7,2),"")</f>
        <v/>
      </c>
      <c r="R10" s="58">
        <f>IF(LEFT('📅 Calendrier'!$D21,2)="S5",MID('📅 Calendrier'!$D21,SEARCH("séance",'📅 Calendrier'!$D21)+7,2),"")</f>
        <v/>
      </c>
      <c r="S10" s="58">
        <f>IF(LEFT('📅 Calendrier'!$D22,2)="S5",MID('📅 Calendrier'!$D22,SEARCH("séance",'📅 Calendrier'!$D22)+7,2),"")</f>
        <v/>
      </c>
      <c r="T10" s="58">
        <f>IF(LEFT('📅 Calendrier'!$D23,2)="S5",MID('📅 Calendrier'!$D23,SEARCH("séance",'📅 Calendrier'!$D23)+7,2),"")</f>
        <v/>
      </c>
      <c r="U10" s="58">
        <f>IF(LEFT('📅 Calendrier'!$D24,2)="S5",MID('📅 Calendrier'!$D24,SEARCH("séance",'📅 Calendrier'!$D24)+7,2),"")</f>
        <v/>
      </c>
      <c r="V10" s="58">
        <f>IF(LEFT('📅 Calendrier'!$D25,2)="S5",MID('📅 Calendrier'!$D25,SEARCH("séance",'📅 Calendrier'!$D25)+7,2),"")</f>
        <v/>
      </c>
      <c r="W10" s="58">
        <f>IF(LEFT('📅 Calendrier'!$D27,2)="S5",MID('📅 Calendrier'!$D27,SEARCH("séance",'📅 Calendrier'!$D27)+7,2),"")</f>
        <v/>
      </c>
      <c r="X10" s="58">
        <f>IF(LEFT('📅 Calendrier'!$D28,2)="S5",MID('📅 Calendrier'!$D28,SEARCH("séance",'📅 Calendrier'!$D28)+7,2),"")</f>
        <v/>
      </c>
      <c r="Y10" s="58">
        <f>IF(LEFT('📅 Calendrier'!$D29,2)="S5",MID('📅 Calendrier'!$D29,SEARCH("séance",'📅 Calendrier'!$D29)+7,2),"")</f>
        <v/>
      </c>
      <c r="Z10" s="58">
        <f>IF(LEFT('📅 Calendrier'!$D30,2)="S5",MID('📅 Calendrier'!$D30,SEARCH("séance",'📅 Calendrier'!$D30)+7,2),"")</f>
        <v/>
      </c>
      <c r="AA10" s="58">
        <f>IF(LEFT('📅 Calendrier'!$D31,2)="S5",MID('📅 Calendrier'!$D31,SEARCH("séance",'📅 Calendrier'!$D31)+7,2),"")</f>
        <v/>
      </c>
      <c r="AB10" s="58">
        <f>IF(LEFT('📅 Calendrier'!$D32,2)="S5",MID('📅 Calendrier'!$D32,SEARCH("séance",'📅 Calendrier'!$D32)+7,2),"")</f>
        <v/>
      </c>
      <c r="AC10" s="58">
        <f>IF(LEFT('📅 Calendrier'!$D33,2)="S5",MID('📅 Calendrier'!$D33,SEARCH("séance",'📅 Calendrier'!$D33)+7,2),"")</f>
        <v/>
      </c>
      <c r="AD10" s="58">
        <f>IF(LEFT('📅 Calendrier'!$D34,2)="S5",MID('📅 Calendrier'!$D34,SEARCH("séance",'📅 Calendrier'!$D34)+7,2),"")</f>
        <v/>
      </c>
      <c r="AE10" s="58">
        <f>IF(LEFT('📅 Calendrier'!$D36,2)="S5",MID('📅 Calendrier'!$D36,SEARCH("séance",'📅 Calendrier'!$D36)+7,2),"")</f>
        <v/>
      </c>
      <c r="AF10" s="58">
        <f>IF(LEFT('📅 Calendrier'!$D37,2)="S5",MID('📅 Calendrier'!$D37,SEARCH("séance",'📅 Calendrier'!$D37)+7,2),"")</f>
        <v/>
      </c>
      <c r="AG10" s="58">
        <f>IF(LEFT('📅 Calendrier'!$D38,2)="S5",MID('📅 Calendrier'!$D38,SEARCH("séance",'📅 Calendrier'!$D38)+7,2),"")</f>
        <v/>
      </c>
      <c r="AH10" s="58">
        <f>IF(LEFT('📅 Calendrier'!$D39,2)="S5",MID('📅 Calendrier'!$D39,SEARCH("séance",'📅 Calendrier'!$D39)+7,2),"")</f>
        <v/>
      </c>
      <c r="AI10" s="58">
        <f>IF(LEFT('📅 Calendrier'!$D40,2)="S5",MID('📅 Calendrier'!$D40,SEARCH("séance",'📅 Calendrier'!$D40)+7,2),"")</f>
        <v/>
      </c>
      <c r="AJ10" s="58">
        <f>IF(LEFT('📅 Calendrier'!$D41,2)="S5",MID('📅 Calendrier'!$D41,SEARCH("séance",'📅 Calendrier'!$D41)+7,2),"")</f>
        <v/>
      </c>
      <c r="AK10" s="58">
        <f>IF(LEFT('📅 Calendrier'!$D42,2)="S5",MID('📅 Calendrier'!$D42,SEARCH("séance",'📅 Calendrier'!$D42)+7,2),"")</f>
        <v/>
      </c>
      <c r="AL10" s="58">
        <f>IF(LEFT('📅 Calendrier'!$D43,2)="S5",MID('📅 Calendrier'!$D43,SEARCH("séance",'📅 Calendrier'!$D43)+7,2),"")</f>
        <v/>
      </c>
      <c r="AM10" s="58">
        <f>IF(LEFT('📅 Calendrier'!$D44,2)="S5",MID('📅 Calendrier'!$D44,SEARCH("séance",'📅 Calendrier'!$D44)+7,2),"")</f>
        <v/>
      </c>
    </row>
    <row r="11" ht="15" customHeight="1">
      <c r="B11" s="59" t="inlineStr">
        <is>
          <t>S6 · Réparer sans notice (+C4.3)</t>
        </is>
      </c>
      <c r="C11" s="58">
        <f>IF(LEFT('📅 Calendrier'!$D4,2)="S6",MID('📅 Calendrier'!$D4,SEARCH("séance",'📅 Calendrier'!$D4)+7,2),"")</f>
        <v/>
      </c>
      <c r="D11" s="58">
        <f>IF(LEFT('📅 Calendrier'!$D5,2)="S6",MID('📅 Calendrier'!$D5,SEARCH("séance",'📅 Calendrier'!$D5)+7,2),"")</f>
        <v/>
      </c>
      <c r="E11" s="58">
        <f>IF(LEFT('📅 Calendrier'!$D6,2)="S6",MID('📅 Calendrier'!$D6,SEARCH("séance",'📅 Calendrier'!$D6)+7,2),"")</f>
        <v/>
      </c>
      <c r="F11" s="58">
        <f>IF(LEFT('📅 Calendrier'!$D7,2)="S6",MID('📅 Calendrier'!$D7,SEARCH("séance",'📅 Calendrier'!$D7)+7,2),"")</f>
        <v/>
      </c>
      <c r="G11" s="58">
        <f>IF(LEFT('📅 Calendrier'!$D8,2)="S6",MID('📅 Calendrier'!$D8,SEARCH("séance",'📅 Calendrier'!$D8)+7,2),"")</f>
        <v/>
      </c>
      <c r="H11" s="58">
        <f>IF(LEFT('📅 Calendrier'!$D9,2)="S6",MID('📅 Calendrier'!$D9,SEARCH("séance",'📅 Calendrier'!$D9)+7,2),"")</f>
        <v/>
      </c>
      <c r="I11" s="58">
        <f>IF(LEFT('📅 Calendrier'!$D10,2)="S6",MID('📅 Calendrier'!$D10,SEARCH("séance",'📅 Calendrier'!$D10)+7,2),"")</f>
        <v/>
      </c>
      <c r="J11" s="58">
        <f>IF(LEFT('📅 Calendrier'!$D11,2)="S6",MID('📅 Calendrier'!$D11,SEARCH("séance",'📅 Calendrier'!$D11)+7,2),"")</f>
        <v/>
      </c>
      <c r="K11" s="58">
        <f>IF(LEFT('📅 Calendrier'!$D13,2)="S6",MID('📅 Calendrier'!$D13,SEARCH("séance",'📅 Calendrier'!$D13)+7,2),"")</f>
        <v/>
      </c>
      <c r="L11" s="58">
        <f>IF(LEFT('📅 Calendrier'!$D14,2)="S6",MID('📅 Calendrier'!$D14,SEARCH("séance",'📅 Calendrier'!$D14)+7,2),"")</f>
        <v/>
      </c>
      <c r="M11" s="58">
        <f>IF(LEFT('📅 Calendrier'!$D15,2)="S6",MID('📅 Calendrier'!$D15,SEARCH("séance",'📅 Calendrier'!$D15)+7,2),"")</f>
        <v/>
      </c>
      <c r="N11" s="58">
        <f>IF(LEFT('📅 Calendrier'!$D16,2)="S6",MID('📅 Calendrier'!$D16,SEARCH("séance",'📅 Calendrier'!$D16)+7,2),"")</f>
        <v/>
      </c>
      <c r="O11" s="58">
        <f>IF(LEFT('📅 Calendrier'!$D17,2)="S6",MID('📅 Calendrier'!$D17,SEARCH("séance",'📅 Calendrier'!$D17)+7,2),"")</f>
        <v/>
      </c>
      <c r="P11" s="58">
        <f>IF(LEFT('📅 Calendrier'!$D18,2)="S6",MID('📅 Calendrier'!$D18,SEARCH("séance",'📅 Calendrier'!$D18)+7,2),"")</f>
        <v/>
      </c>
      <c r="Q11" s="58">
        <f>IF(LEFT('📅 Calendrier'!$D19,2)="S6",MID('📅 Calendrier'!$D19,SEARCH("séance",'📅 Calendrier'!$D19)+7,2),"")</f>
        <v/>
      </c>
      <c r="R11" s="58">
        <f>IF(LEFT('📅 Calendrier'!$D21,2)="S6",MID('📅 Calendrier'!$D21,SEARCH("séance",'📅 Calendrier'!$D21)+7,2),"")</f>
        <v/>
      </c>
      <c r="S11" s="58">
        <f>IF(LEFT('📅 Calendrier'!$D22,2)="S6",MID('📅 Calendrier'!$D22,SEARCH("séance",'📅 Calendrier'!$D22)+7,2),"")</f>
        <v/>
      </c>
      <c r="T11" s="58">
        <f>IF(LEFT('📅 Calendrier'!$D23,2)="S6",MID('📅 Calendrier'!$D23,SEARCH("séance",'📅 Calendrier'!$D23)+7,2),"")</f>
        <v/>
      </c>
      <c r="U11" s="58">
        <f>IF(LEFT('📅 Calendrier'!$D24,2)="S6",MID('📅 Calendrier'!$D24,SEARCH("séance",'📅 Calendrier'!$D24)+7,2),"")</f>
        <v/>
      </c>
      <c r="V11" s="58">
        <f>IF(LEFT('📅 Calendrier'!$D25,2)="S6",MID('📅 Calendrier'!$D25,SEARCH("séance",'📅 Calendrier'!$D25)+7,2),"")</f>
        <v/>
      </c>
      <c r="W11" s="58">
        <f>IF(LEFT('📅 Calendrier'!$D27,2)="S6",MID('📅 Calendrier'!$D27,SEARCH("séance",'📅 Calendrier'!$D27)+7,2),"")</f>
        <v/>
      </c>
      <c r="X11" s="58">
        <f>IF(LEFT('📅 Calendrier'!$D28,2)="S6",MID('📅 Calendrier'!$D28,SEARCH("séance",'📅 Calendrier'!$D28)+7,2),"")</f>
        <v/>
      </c>
      <c r="Y11" s="58">
        <f>IF(LEFT('📅 Calendrier'!$D29,2)="S6",MID('📅 Calendrier'!$D29,SEARCH("séance",'📅 Calendrier'!$D29)+7,2),"")</f>
        <v/>
      </c>
      <c r="Z11" s="58">
        <f>IF(LEFT('📅 Calendrier'!$D30,2)="S6",MID('📅 Calendrier'!$D30,SEARCH("séance",'📅 Calendrier'!$D30)+7,2),"")</f>
        <v/>
      </c>
      <c r="AA11" s="58">
        <f>IF(LEFT('📅 Calendrier'!$D31,2)="S6",MID('📅 Calendrier'!$D31,SEARCH("séance",'📅 Calendrier'!$D31)+7,2),"")</f>
        <v/>
      </c>
      <c r="AB11" s="58">
        <f>IF(LEFT('📅 Calendrier'!$D32,2)="S6",MID('📅 Calendrier'!$D32,SEARCH("séance",'📅 Calendrier'!$D32)+7,2),"")</f>
        <v/>
      </c>
      <c r="AC11" s="58">
        <f>IF(LEFT('📅 Calendrier'!$D33,2)="S6",MID('📅 Calendrier'!$D33,SEARCH("séance",'📅 Calendrier'!$D33)+7,2),"")</f>
        <v/>
      </c>
      <c r="AD11" s="58">
        <f>IF(LEFT('📅 Calendrier'!$D34,2)="S6",MID('📅 Calendrier'!$D34,SEARCH("séance",'📅 Calendrier'!$D34)+7,2),"")</f>
        <v/>
      </c>
      <c r="AE11" s="58">
        <f>IF(LEFT('📅 Calendrier'!$D36,2)="S6",MID('📅 Calendrier'!$D36,SEARCH("séance",'📅 Calendrier'!$D36)+7,2),"")</f>
        <v/>
      </c>
      <c r="AF11" s="58">
        <f>IF(LEFT('📅 Calendrier'!$D37,2)="S6",MID('📅 Calendrier'!$D37,SEARCH("séance",'📅 Calendrier'!$D37)+7,2),"")</f>
        <v/>
      </c>
      <c r="AG11" s="58">
        <f>IF(LEFT('📅 Calendrier'!$D38,2)="S6",MID('📅 Calendrier'!$D38,SEARCH("séance",'📅 Calendrier'!$D38)+7,2),"")</f>
        <v/>
      </c>
      <c r="AH11" s="58">
        <f>IF(LEFT('📅 Calendrier'!$D39,2)="S6",MID('📅 Calendrier'!$D39,SEARCH("séance",'📅 Calendrier'!$D39)+7,2),"")</f>
        <v/>
      </c>
      <c r="AI11" s="58">
        <f>IF(LEFT('📅 Calendrier'!$D40,2)="S6",MID('📅 Calendrier'!$D40,SEARCH("séance",'📅 Calendrier'!$D40)+7,2),"")</f>
        <v/>
      </c>
      <c r="AJ11" s="58">
        <f>IF(LEFT('📅 Calendrier'!$D41,2)="S6",MID('📅 Calendrier'!$D41,SEARCH("séance",'📅 Calendrier'!$D41)+7,2),"")</f>
        <v/>
      </c>
      <c r="AK11" s="58">
        <f>IF(LEFT('📅 Calendrier'!$D42,2)="S6",MID('📅 Calendrier'!$D42,SEARCH("séance",'📅 Calendrier'!$D42)+7,2),"")</f>
        <v/>
      </c>
      <c r="AL11" s="58">
        <f>IF(LEFT('📅 Calendrier'!$D43,2)="S6",MID('📅 Calendrier'!$D43,SEARCH("séance",'📅 Calendrier'!$D43)+7,2),"")</f>
        <v/>
      </c>
      <c r="AM11" s="58">
        <f>IF(LEFT('📅 Calendrier'!$D44,2)="S6",MID('📅 Calendrier'!$D44,SEARCH("séance",'📅 Calendrier'!$D44)+7,2),"")</f>
        <v/>
      </c>
    </row>
    <row r="12" ht="15" customHeight="1">
      <c r="B12" s="60" t="inlineStr">
        <is>
          <t>S7 · Projet nouvelle fonction</t>
        </is>
      </c>
      <c r="C12" s="58">
        <f>IF(LEFT('📅 Calendrier'!$D4,2)="S7",MID('📅 Calendrier'!$D4,SEARCH("séance",'📅 Calendrier'!$D4)+7,2),"")</f>
        <v/>
      </c>
      <c r="D12" s="58">
        <f>IF(LEFT('📅 Calendrier'!$D5,2)="S7",MID('📅 Calendrier'!$D5,SEARCH("séance",'📅 Calendrier'!$D5)+7,2),"")</f>
        <v/>
      </c>
      <c r="E12" s="58">
        <f>IF(LEFT('📅 Calendrier'!$D6,2)="S7",MID('📅 Calendrier'!$D6,SEARCH("séance",'📅 Calendrier'!$D6)+7,2),"")</f>
        <v/>
      </c>
      <c r="F12" s="58">
        <f>IF(LEFT('📅 Calendrier'!$D7,2)="S7",MID('📅 Calendrier'!$D7,SEARCH("séance",'📅 Calendrier'!$D7)+7,2),"")</f>
        <v/>
      </c>
      <c r="G12" s="58">
        <f>IF(LEFT('📅 Calendrier'!$D8,2)="S7",MID('📅 Calendrier'!$D8,SEARCH("séance",'📅 Calendrier'!$D8)+7,2),"")</f>
        <v/>
      </c>
      <c r="H12" s="58">
        <f>IF(LEFT('📅 Calendrier'!$D9,2)="S7",MID('📅 Calendrier'!$D9,SEARCH("séance",'📅 Calendrier'!$D9)+7,2),"")</f>
        <v/>
      </c>
      <c r="I12" s="58">
        <f>IF(LEFT('📅 Calendrier'!$D10,2)="S7",MID('📅 Calendrier'!$D10,SEARCH("séance",'📅 Calendrier'!$D10)+7,2),"")</f>
        <v/>
      </c>
      <c r="J12" s="58">
        <f>IF(LEFT('📅 Calendrier'!$D11,2)="S7",MID('📅 Calendrier'!$D11,SEARCH("séance",'📅 Calendrier'!$D11)+7,2),"")</f>
        <v/>
      </c>
      <c r="K12" s="58">
        <f>IF(LEFT('📅 Calendrier'!$D13,2)="S7",MID('📅 Calendrier'!$D13,SEARCH("séance",'📅 Calendrier'!$D13)+7,2),"")</f>
        <v/>
      </c>
      <c r="L12" s="58">
        <f>IF(LEFT('📅 Calendrier'!$D14,2)="S7",MID('📅 Calendrier'!$D14,SEARCH("séance",'📅 Calendrier'!$D14)+7,2),"")</f>
        <v/>
      </c>
      <c r="M12" s="58">
        <f>IF(LEFT('📅 Calendrier'!$D15,2)="S7",MID('📅 Calendrier'!$D15,SEARCH("séance",'📅 Calendrier'!$D15)+7,2),"")</f>
        <v/>
      </c>
      <c r="N12" s="58">
        <f>IF(LEFT('📅 Calendrier'!$D16,2)="S7",MID('📅 Calendrier'!$D16,SEARCH("séance",'📅 Calendrier'!$D16)+7,2),"")</f>
        <v/>
      </c>
      <c r="O12" s="58">
        <f>IF(LEFT('📅 Calendrier'!$D17,2)="S7",MID('📅 Calendrier'!$D17,SEARCH("séance",'📅 Calendrier'!$D17)+7,2),"")</f>
        <v/>
      </c>
      <c r="P12" s="58">
        <f>IF(LEFT('📅 Calendrier'!$D18,2)="S7",MID('📅 Calendrier'!$D18,SEARCH("séance",'📅 Calendrier'!$D18)+7,2),"")</f>
        <v/>
      </c>
      <c r="Q12" s="58">
        <f>IF(LEFT('📅 Calendrier'!$D19,2)="S7",MID('📅 Calendrier'!$D19,SEARCH("séance",'📅 Calendrier'!$D19)+7,2),"")</f>
        <v/>
      </c>
      <c r="R12" s="58">
        <f>IF(LEFT('📅 Calendrier'!$D21,2)="S7",MID('📅 Calendrier'!$D21,SEARCH("séance",'📅 Calendrier'!$D21)+7,2),"")</f>
        <v/>
      </c>
      <c r="S12" s="58">
        <f>IF(LEFT('📅 Calendrier'!$D22,2)="S7",MID('📅 Calendrier'!$D22,SEARCH("séance",'📅 Calendrier'!$D22)+7,2),"")</f>
        <v/>
      </c>
      <c r="T12" s="58">
        <f>IF(LEFT('📅 Calendrier'!$D23,2)="S7",MID('📅 Calendrier'!$D23,SEARCH("séance",'📅 Calendrier'!$D23)+7,2),"")</f>
        <v/>
      </c>
      <c r="U12" s="58">
        <f>IF(LEFT('📅 Calendrier'!$D24,2)="S7",MID('📅 Calendrier'!$D24,SEARCH("séance",'📅 Calendrier'!$D24)+7,2),"")</f>
        <v/>
      </c>
      <c r="V12" s="58">
        <f>IF(LEFT('📅 Calendrier'!$D25,2)="S7",MID('📅 Calendrier'!$D25,SEARCH("séance",'📅 Calendrier'!$D25)+7,2),"")</f>
        <v/>
      </c>
      <c r="W12" s="58">
        <f>IF(LEFT('📅 Calendrier'!$D27,2)="S7",MID('📅 Calendrier'!$D27,SEARCH("séance",'📅 Calendrier'!$D27)+7,2),"")</f>
        <v/>
      </c>
      <c r="X12" s="58">
        <f>IF(LEFT('📅 Calendrier'!$D28,2)="S7",MID('📅 Calendrier'!$D28,SEARCH("séance",'📅 Calendrier'!$D28)+7,2),"")</f>
        <v/>
      </c>
      <c r="Y12" s="58">
        <f>IF(LEFT('📅 Calendrier'!$D29,2)="S7",MID('📅 Calendrier'!$D29,SEARCH("séance",'📅 Calendrier'!$D29)+7,2),"")</f>
        <v/>
      </c>
      <c r="Z12" s="58">
        <f>IF(LEFT('📅 Calendrier'!$D30,2)="S7",MID('📅 Calendrier'!$D30,SEARCH("séance",'📅 Calendrier'!$D30)+7,2),"")</f>
        <v/>
      </c>
      <c r="AA12" s="58">
        <f>IF(LEFT('📅 Calendrier'!$D31,2)="S7",MID('📅 Calendrier'!$D31,SEARCH("séance",'📅 Calendrier'!$D31)+7,2),"")</f>
        <v/>
      </c>
      <c r="AB12" s="58">
        <f>IF(LEFT('📅 Calendrier'!$D32,2)="S7",MID('📅 Calendrier'!$D32,SEARCH("séance",'📅 Calendrier'!$D32)+7,2),"")</f>
        <v/>
      </c>
      <c r="AC12" s="58">
        <f>IF(LEFT('📅 Calendrier'!$D33,2)="S7",MID('📅 Calendrier'!$D33,SEARCH("séance",'📅 Calendrier'!$D33)+7,2),"")</f>
        <v/>
      </c>
      <c r="AD12" s="58">
        <f>IF(LEFT('📅 Calendrier'!$D34,2)="S7",MID('📅 Calendrier'!$D34,SEARCH("séance",'📅 Calendrier'!$D34)+7,2),"")</f>
        <v/>
      </c>
      <c r="AE12" s="58">
        <f>IF(LEFT('📅 Calendrier'!$D36,2)="S7",MID('📅 Calendrier'!$D36,SEARCH("séance",'📅 Calendrier'!$D36)+7,2),"")</f>
        <v/>
      </c>
      <c r="AF12" s="58">
        <f>IF(LEFT('📅 Calendrier'!$D37,2)="S7",MID('📅 Calendrier'!$D37,SEARCH("séance",'📅 Calendrier'!$D37)+7,2),"")</f>
        <v/>
      </c>
      <c r="AG12" s="58">
        <f>IF(LEFT('📅 Calendrier'!$D38,2)="S7",MID('📅 Calendrier'!$D38,SEARCH("séance",'📅 Calendrier'!$D38)+7,2),"")</f>
        <v/>
      </c>
      <c r="AH12" s="58">
        <f>IF(LEFT('📅 Calendrier'!$D39,2)="S7",MID('📅 Calendrier'!$D39,SEARCH("séance",'📅 Calendrier'!$D39)+7,2),"")</f>
        <v/>
      </c>
      <c r="AI12" s="58">
        <f>IF(LEFT('📅 Calendrier'!$D40,2)="S7",MID('📅 Calendrier'!$D40,SEARCH("séance",'📅 Calendrier'!$D40)+7,2),"")</f>
        <v/>
      </c>
      <c r="AJ12" s="58">
        <f>IF(LEFT('📅 Calendrier'!$D41,2)="S7",MID('📅 Calendrier'!$D41,SEARCH("séance",'📅 Calendrier'!$D41)+7,2),"")</f>
        <v/>
      </c>
      <c r="AK12" s="58">
        <f>IF(LEFT('📅 Calendrier'!$D42,2)="S7",MID('📅 Calendrier'!$D42,SEARCH("séance",'📅 Calendrier'!$D42)+7,2),"")</f>
        <v/>
      </c>
      <c r="AL12" s="58">
        <f>IF(LEFT('📅 Calendrier'!$D43,2)="S7",MID('📅 Calendrier'!$D43,SEARCH("séance",'📅 Calendrier'!$D43)+7,2),"")</f>
        <v/>
      </c>
      <c r="AM12" s="58">
        <f>IF(LEFT('📅 Calendrier'!$D44,2)="S7",MID('📅 Calendrier'!$D44,SEARCH("séance",'📅 Calendrier'!$D44)+7,2),"")</f>
        <v/>
      </c>
    </row>
    <row r="13" ht="15" customHeight="1">
      <c r="B13" s="61" t="inlineStr">
        <is>
          <t>⏳ Tampons (rattrapage)</t>
        </is>
      </c>
      <c r="C13" s="62">
        <f>IF(LEFT('📅 Calendrier'!$D4,1)="⏳","⏳","")</f>
        <v/>
      </c>
      <c r="D13" s="62">
        <f>IF(LEFT('📅 Calendrier'!$D5,1)="⏳","⏳","")</f>
        <v/>
      </c>
      <c r="E13" s="62">
        <f>IF(LEFT('📅 Calendrier'!$D6,1)="⏳","⏳","")</f>
        <v/>
      </c>
      <c r="F13" s="62">
        <f>IF(LEFT('📅 Calendrier'!$D7,1)="⏳","⏳","")</f>
        <v/>
      </c>
      <c r="G13" s="62">
        <f>IF(LEFT('📅 Calendrier'!$D8,1)="⏳","⏳","")</f>
        <v/>
      </c>
      <c r="H13" s="62">
        <f>IF(LEFT('📅 Calendrier'!$D9,1)="⏳","⏳","")</f>
        <v/>
      </c>
      <c r="I13" s="62">
        <f>IF(LEFT('📅 Calendrier'!$D10,1)="⏳","⏳","")</f>
        <v/>
      </c>
      <c r="J13" s="62">
        <f>IF(LEFT('📅 Calendrier'!$D11,1)="⏳","⏳","")</f>
        <v/>
      </c>
      <c r="K13" s="62">
        <f>IF(LEFT('📅 Calendrier'!$D13,1)="⏳","⏳","")</f>
        <v/>
      </c>
      <c r="L13" s="62">
        <f>IF(LEFT('📅 Calendrier'!$D14,1)="⏳","⏳","")</f>
        <v/>
      </c>
      <c r="M13" s="62">
        <f>IF(LEFT('📅 Calendrier'!$D15,1)="⏳","⏳","")</f>
        <v/>
      </c>
      <c r="N13" s="62">
        <f>IF(LEFT('📅 Calendrier'!$D16,1)="⏳","⏳","")</f>
        <v/>
      </c>
      <c r="O13" s="62">
        <f>IF(LEFT('📅 Calendrier'!$D17,1)="⏳","⏳","")</f>
        <v/>
      </c>
      <c r="P13" s="62">
        <f>IF(LEFT('📅 Calendrier'!$D18,1)="⏳","⏳","")</f>
        <v/>
      </c>
      <c r="Q13" s="62">
        <f>IF(LEFT('📅 Calendrier'!$D19,1)="⏳","⏳","")</f>
        <v/>
      </c>
      <c r="R13" s="62">
        <f>IF(LEFT('📅 Calendrier'!$D21,1)="⏳","⏳","")</f>
        <v/>
      </c>
      <c r="S13" s="62">
        <f>IF(LEFT('📅 Calendrier'!$D22,1)="⏳","⏳","")</f>
        <v/>
      </c>
      <c r="T13" s="62">
        <f>IF(LEFT('📅 Calendrier'!$D23,1)="⏳","⏳","")</f>
        <v/>
      </c>
      <c r="U13" s="62">
        <f>IF(LEFT('📅 Calendrier'!$D24,1)="⏳","⏳","")</f>
        <v/>
      </c>
      <c r="V13" s="62">
        <f>IF(LEFT('📅 Calendrier'!$D25,1)="⏳","⏳","")</f>
        <v/>
      </c>
      <c r="W13" s="62">
        <f>IF(LEFT('📅 Calendrier'!$D27,1)="⏳","⏳","")</f>
        <v/>
      </c>
      <c r="X13" s="62">
        <f>IF(LEFT('📅 Calendrier'!$D28,1)="⏳","⏳","")</f>
        <v/>
      </c>
      <c r="Y13" s="62">
        <f>IF(LEFT('📅 Calendrier'!$D29,1)="⏳","⏳","")</f>
        <v/>
      </c>
      <c r="Z13" s="62">
        <f>IF(LEFT('📅 Calendrier'!$D30,1)="⏳","⏳","")</f>
        <v/>
      </c>
      <c r="AA13" s="62">
        <f>IF(LEFT('📅 Calendrier'!$D31,1)="⏳","⏳","")</f>
        <v/>
      </c>
      <c r="AB13" s="62">
        <f>IF(LEFT('📅 Calendrier'!$D32,1)="⏳","⏳","")</f>
        <v/>
      </c>
      <c r="AC13" s="62">
        <f>IF(LEFT('📅 Calendrier'!$D33,1)="⏳","⏳","")</f>
        <v/>
      </c>
      <c r="AD13" s="62">
        <f>IF(LEFT('📅 Calendrier'!$D34,1)="⏳","⏳","")</f>
        <v/>
      </c>
      <c r="AE13" s="62">
        <f>IF(LEFT('📅 Calendrier'!$D36,1)="⏳","⏳","")</f>
        <v/>
      </c>
      <c r="AF13" s="62">
        <f>IF(LEFT('📅 Calendrier'!$D37,1)="⏳","⏳","")</f>
        <v/>
      </c>
      <c r="AG13" s="62">
        <f>IF(LEFT('📅 Calendrier'!$D38,1)="⏳","⏳","")</f>
        <v/>
      </c>
      <c r="AH13" s="62">
        <f>IF(LEFT('📅 Calendrier'!$D39,1)="⏳","⏳","")</f>
        <v/>
      </c>
      <c r="AI13" s="62">
        <f>IF(LEFT('📅 Calendrier'!$D40,1)="⏳","⏳","")</f>
        <v/>
      </c>
      <c r="AJ13" s="62">
        <f>IF(LEFT('📅 Calendrier'!$D41,1)="⏳","⏳","")</f>
        <v/>
      </c>
      <c r="AK13" s="62">
        <f>IF(LEFT('📅 Calendrier'!$D42,1)="⏳","⏳","")</f>
        <v/>
      </c>
      <c r="AL13" s="62">
        <f>IF(LEFT('📅 Calendrier'!$D43,1)="⏳","⏳","")</f>
        <v/>
      </c>
      <c r="AM13" s="62">
        <f>IF(LEFT('📅 Calendrier'!$D44,1)="⏳","⏳","")</f>
        <v/>
      </c>
    </row>
    <row r="14" ht="15" customHeight="1">
      <c r="B14" s="63" t="inlineStr">
        <is>
          <t>⚠ Imprévus (saisis au Calendrier)</t>
        </is>
      </c>
      <c r="C14" s="64">
        <f>IF('📅 Calendrier'!$G4&lt;&gt;"","⚠","")</f>
        <v/>
      </c>
      <c r="D14" s="64">
        <f>IF('📅 Calendrier'!$G5&lt;&gt;"","⚠","")</f>
        <v/>
      </c>
      <c r="E14" s="64">
        <f>IF('📅 Calendrier'!$G6&lt;&gt;"","⚠","")</f>
        <v/>
      </c>
      <c r="F14" s="64">
        <f>IF('📅 Calendrier'!$G7&lt;&gt;"","⚠","")</f>
        <v/>
      </c>
      <c r="G14" s="64">
        <f>IF('📅 Calendrier'!$G8&lt;&gt;"","⚠","")</f>
        <v/>
      </c>
      <c r="H14" s="64">
        <f>IF('📅 Calendrier'!$G9&lt;&gt;"","⚠","")</f>
        <v/>
      </c>
      <c r="I14" s="64">
        <f>IF('📅 Calendrier'!$G10&lt;&gt;"","⚠","")</f>
        <v/>
      </c>
      <c r="J14" s="64">
        <f>IF('📅 Calendrier'!$G11&lt;&gt;"","⚠","")</f>
        <v/>
      </c>
      <c r="K14" s="64">
        <f>IF('📅 Calendrier'!$G13&lt;&gt;"","⚠","")</f>
        <v/>
      </c>
      <c r="L14" s="64">
        <f>IF('📅 Calendrier'!$G14&lt;&gt;"","⚠","")</f>
        <v/>
      </c>
      <c r="M14" s="64">
        <f>IF('📅 Calendrier'!$G15&lt;&gt;"","⚠","")</f>
        <v/>
      </c>
      <c r="N14" s="64">
        <f>IF('📅 Calendrier'!$G16&lt;&gt;"","⚠","")</f>
        <v/>
      </c>
      <c r="O14" s="64">
        <f>IF('📅 Calendrier'!$G17&lt;&gt;"","⚠","")</f>
        <v/>
      </c>
      <c r="P14" s="64">
        <f>IF('📅 Calendrier'!$G18&lt;&gt;"","⚠","")</f>
        <v/>
      </c>
      <c r="Q14" s="64">
        <f>IF('📅 Calendrier'!$G19&lt;&gt;"","⚠","")</f>
        <v/>
      </c>
      <c r="R14" s="64">
        <f>IF('📅 Calendrier'!$G21&lt;&gt;"","⚠","")</f>
        <v/>
      </c>
      <c r="S14" s="64">
        <f>IF('📅 Calendrier'!$G22&lt;&gt;"","⚠","")</f>
        <v/>
      </c>
      <c r="T14" s="64">
        <f>IF('📅 Calendrier'!$G23&lt;&gt;"","⚠","")</f>
        <v/>
      </c>
      <c r="U14" s="64">
        <f>IF('📅 Calendrier'!$G24&lt;&gt;"","⚠","")</f>
        <v/>
      </c>
      <c r="V14" s="64">
        <f>IF('📅 Calendrier'!$G25&lt;&gt;"","⚠","")</f>
        <v/>
      </c>
      <c r="W14" s="64">
        <f>IF('📅 Calendrier'!$G27&lt;&gt;"","⚠","")</f>
        <v/>
      </c>
      <c r="X14" s="64">
        <f>IF('📅 Calendrier'!$G28&lt;&gt;"","⚠","")</f>
        <v/>
      </c>
      <c r="Y14" s="64">
        <f>IF('📅 Calendrier'!$G29&lt;&gt;"","⚠","")</f>
        <v/>
      </c>
      <c r="Z14" s="64">
        <f>IF('📅 Calendrier'!$G30&lt;&gt;"","⚠","")</f>
        <v/>
      </c>
      <c r="AA14" s="64">
        <f>IF('📅 Calendrier'!$G31&lt;&gt;"","⚠","")</f>
        <v/>
      </c>
      <c r="AB14" s="64">
        <f>IF('📅 Calendrier'!$G32&lt;&gt;"","⚠","")</f>
        <v/>
      </c>
      <c r="AC14" s="64">
        <f>IF('📅 Calendrier'!$G33&lt;&gt;"","⚠","")</f>
        <v/>
      </c>
      <c r="AD14" s="64">
        <f>IF('📅 Calendrier'!$G34&lt;&gt;"","⚠","")</f>
        <v/>
      </c>
      <c r="AE14" s="64">
        <f>IF('📅 Calendrier'!$G36&lt;&gt;"","⚠","")</f>
        <v/>
      </c>
      <c r="AF14" s="64">
        <f>IF('📅 Calendrier'!$G37&lt;&gt;"","⚠","")</f>
        <v/>
      </c>
      <c r="AG14" s="64">
        <f>IF('📅 Calendrier'!$G38&lt;&gt;"","⚠","")</f>
        <v/>
      </c>
      <c r="AH14" s="64">
        <f>IF('📅 Calendrier'!$G39&lt;&gt;"","⚠","")</f>
        <v/>
      </c>
      <c r="AI14" s="64">
        <f>IF('📅 Calendrier'!$G40&lt;&gt;"","⚠","")</f>
        <v/>
      </c>
      <c r="AJ14" s="64">
        <f>IF('📅 Calendrier'!$G41&lt;&gt;"","⚠","")</f>
        <v/>
      </c>
      <c r="AK14" s="64">
        <f>IF('📅 Calendrier'!$G42&lt;&gt;"","⚠","")</f>
        <v/>
      </c>
      <c r="AL14" s="64">
        <f>IF('📅 Calendrier'!$G43&lt;&gt;"","⚠","")</f>
        <v/>
      </c>
      <c r="AM14" s="64">
        <f>IF('📅 Calendrier'!$G44&lt;&gt;"","⚠","")</f>
        <v/>
      </c>
    </row>
    <row r="16" ht="39.75" customHeight="1">
      <c r="B16" s="99" t="inlineStr">
        <is>
          <t>Une case = 1 semaine (1 séance de 1 h 30) ; le numéro = n° de séance dans la séquence. Imprévu : onglet 📅 Calendrier, colonne « ⚠ Imprévu ? » (ou la grande fenêtre de la version macros) — tout se recalcule immédiatement.</t>
        </is>
      </c>
    </row>
  </sheetData>
  <mergeCells count="9">
    <mergeCell ref="C3:J3"/>
    <mergeCell ref="A1:AM1"/>
    <mergeCell ref="B2:N2"/>
    <mergeCell ref="K3:Q3"/>
    <mergeCell ref="B16:X16"/>
    <mergeCell ref="R3:V3"/>
    <mergeCell ref="P2:T2"/>
    <mergeCell ref="W3:AD3"/>
    <mergeCell ref="AE3:AM3"/>
  </mergeCells>
  <conditionalFormatting sqref="C6:AM6">
    <cfRule type="expression" priority="2" dxfId="6">
      <formula>C6&lt;&gt;""</formula>
    </cfRule>
  </conditionalFormatting>
  <conditionalFormatting sqref="C7:AM7">
    <cfRule type="expression" priority="3" dxfId="6">
      <formula>C7&lt;&gt;""</formula>
    </cfRule>
  </conditionalFormatting>
  <conditionalFormatting sqref="C8:AM8">
    <cfRule type="expression" priority="4" dxfId="6">
      <formula>C8&lt;&gt;""</formula>
    </cfRule>
  </conditionalFormatting>
  <conditionalFormatting sqref="C9:AM9">
    <cfRule type="expression" priority="5" dxfId="3">
      <formula>C9&lt;&gt;""</formula>
    </cfRule>
  </conditionalFormatting>
  <conditionalFormatting sqref="C10:AM10">
    <cfRule type="expression" priority="6" dxfId="3">
      <formula>C10&lt;&gt;""</formula>
    </cfRule>
  </conditionalFormatting>
  <conditionalFormatting sqref="C11:AM11">
    <cfRule type="expression" priority="7" dxfId="3">
      <formula>C11&lt;&gt;""</formula>
    </cfRule>
  </conditionalFormatting>
  <conditionalFormatting sqref="C12:AM12">
    <cfRule type="expression" priority="8" dxfId="2">
      <formula>C12&lt;&gt;""</formula>
    </cfRule>
  </conditionalFormatting>
  <conditionalFormatting sqref="C13:AM13">
    <cfRule type="expression" priority="9" dxfId="1">
      <formula>C13&lt;&gt;""</formula>
    </cfRule>
  </conditionalFormatting>
  <conditionalFormatting sqref="C14:AM14">
    <cfRule type="expression" priority="10" dxfId="0">
      <formula>C14&lt;&gt;""</formula>
    </cfRule>
  </conditionalFormatting>
  <hyperlinks>
    <hyperlink xmlns:r="http://schemas.openxmlformats.org/officeDocument/2006/relationships" ref="P2" location="'🏠%20Accueil'!A1" r:id="rId1"/>
    <hyperlink xmlns:r="http://schemas.openxmlformats.org/officeDocument/2006/relationships" ref="B6" location="'S1'!A1" r:id="rId2"/>
    <hyperlink xmlns:r="http://schemas.openxmlformats.org/officeDocument/2006/relationships" ref="B7" location="'S2'!A1" r:id="rId3"/>
    <hyperlink xmlns:r="http://schemas.openxmlformats.org/officeDocument/2006/relationships" ref="B8" location="'S3'!A1" r:id="rId4"/>
    <hyperlink xmlns:r="http://schemas.openxmlformats.org/officeDocument/2006/relationships" ref="B9" location="'S4'!A1" r:id="rId5"/>
    <hyperlink xmlns:r="http://schemas.openxmlformats.org/officeDocument/2006/relationships" ref="B10" location="'S5'!A1" r:id="rId6"/>
    <hyperlink xmlns:r="http://schemas.openxmlformats.org/officeDocument/2006/relationships" ref="B11" location="'S6'!A1" r:id="rId7"/>
    <hyperlink xmlns:r="http://schemas.openxmlformats.org/officeDocument/2006/relationships" ref="B12" location="'S7'!A1" r:id="rId8"/>
  </hyperlinks>
  <pageMargins left="0.75" right="0.75" top="1" bottom="1" header="0.511811023622047" footer="0.511811023622047"/>
  <pageSetup orientation="landscape" horizontalDpi="300" verticalDpi="300"/>
</worksheet>
</file>

<file path=xl/worksheets/sheet4.xml><?xml version="1.0" encoding="utf-8"?>
<worksheet xmlns="http://schemas.openxmlformats.org/spreadsheetml/2006/main">
  <sheetPr codeName="Feuil4">
    <tabColor rgb="FF7030A0"/>
    <outlinePr summaryBelow="1" summaryRight="1"/>
    <pageSetUpPr/>
  </sheetPr>
  <dimension ref="A1:F129"/>
  <sheetViews>
    <sheetView showGridLines="0" zoomScaleNormal="100" workbookViewId="0">
      <pane ySplit="4" topLeftCell="A5" activePane="bottomLeft" state="frozen"/>
      <selection pane="bottomLeft" activeCell="A1" sqref="A1"/>
    </sheetView>
  </sheetViews>
  <sheetFormatPr baseColWidth="10" defaultColWidth="8.69140625" defaultRowHeight="14.6"/>
  <cols>
    <col width="10" customWidth="1" min="1" max="1"/>
    <col width="8" customWidth="1" min="2" max="2"/>
    <col width="78" customWidth="1" min="3" max="3"/>
    <col width="12" customWidth="1" min="4" max="4"/>
    <col width="16" customWidth="1" min="5" max="5"/>
    <col width="11" customWidth="1" min="6" max="6"/>
  </cols>
  <sheetData>
    <row r="1" ht="18" customHeight="1">
      <c r="A1" s="92" t="inlineStr">
        <is>
          <t>RÉFÉRENTIEL DE COMPÉTENCES — TECHNOLOGIE CYCLE 4</t>
        </is>
      </c>
    </row>
    <row r="2" ht="15" customHeight="1">
      <c r="A2" s="91" t="inlineStr">
        <is>
          <t>9 compétences × 3 niveaux (5e / 4e / 3e) — programme 2024 · vision complète du cycle pour situer la 4e</t>
        </is>
      </c>
    </row>
    <row r="3" ht="15" customHeight="1">
      <c r="F3" s="90" t="inlineStr">
        <is>
          <t>◀ Accueil</t>
        </is>
      </c>
    </row>
    <row r="4" ht="15" customHeight="1">
      <c r="A4" s="30" t="inlineStr">
        <is>
          <t>Code</t>
        </is>
      </c>
      <c r="B4" s="30" t="inlineStr">
        <is>
          <t>Niveau</t>
        </is>
      </c>
      <c r="C4" s="30" t="inlineStr">
        <is>
          <t>Compétence / sous-compétence (intitulé officiel 2024)</t>
        </is>
      </c>
      <c r="D4" s="30" t="inlineStr">
        <is>
          <t>Thème</t>
        </is>
      </c>
      <c r="E4" s="30" t="inlineStr">
        <is>
          <t>Domaine(s) socle</t>
        </is>
      </c>
      <c r="F4" s="30" t="inlineStr">
        <is>
          <t>Évaluable</t>
        </is>
      </c>
    </row>
    <row r="5" ht="30" customHeight="1">
      <c r="A5" s="65" t="inlineStr">
        <is>
          <t>C1</t>
        </is>
      </c>
      <c r="B5" s="65" t="inlineStr">
        <is>
          <t>—</t>
        </is>
      </c>
      <c r="C5" s="65" t="inlineStr">
        <is>
          <t>Décrire les liens entre usages et évolutions technologiques des objets et des systèmes techniques</t>
        </is>
      </c>
      <c r="D5" s="65" t="inlineStr">
        <is>
          <t>Thème 1 : Les objets et les systèmes techniques : leurs usages et leurs interactions à découvrir et à analyser</t>
        </is>
      </c>
      <c r="E5" s="65" t="inlineStr">
        <is>
          <t>D2, D3, D4, D5</t>
        </is>
      </c>
      <c r="F5" s="65" t="inlineStr">
        <is>
          <t>Oui</t>
        </is>
      </c>
    </row>
    <row r="6" ht="25.5" customHeight="1">
      <c r="A6" s="66" t="inlineStr">
        <is>
          <t>5e_C1.1</t>
        </is>
      </c>
      <c r="B6" s="35" t="inlineStr">
        <is>
          <t>5e</t>
        </is>
      </c>
      <c r="C6" s="35" t="inlineStr">
        <is>
          <t>Collecter, trier et analyser des données.</t>
        </is>
      </c>
      <c r="D6" s="35" t="inlineStr">
        <is>
          <t>Thème 1</t>
        </is>
      </c>
      <c r="E6" s="35" t="inlineStr">
        <is>
          <t>D2, D4</t>
        </is>
      </c>
      <c r="F6" s="35" t="inlineStr">
        <is>
          <t>Oui</t>
        </is>
      </c>
    </row>
    <row r="7" ht="25.5" customHeight="1">
      <c r="A7" s="66" t="inlineStr">
        <is>
          <t>5e_C1.2</t>
        </is>
      </c>
      <c r="B7" s="35" t="inlineStr">
        <is>
          <t>5e</t>
        </is>
      </c>
      <c r="C7" s="35" t="inlineStr">
        <is>
          <t>Comparer des principes techniques pour une même fonction technique.</t>
        </is>
      </c>
      <c r="D7" s="35" t="inlineStr">
        <is>
          <t>Thème 1</t>
        </is>
      </c>
      <c r="E7" s="35" t="inlineStr">
        <is>
          <t>D2, D4</t>
        </is>
      </c>
      <c r="F7" s="35" t="inlineStr">
        <is>
          <t>Oui</t>
        </is>
      </c>
    </row>
    <row r="8" ht="25.5" customHeight="1">
      <c r="A8" s="66" t="inlineStr">
        <is>
          <t>5e_C1.3</t>
        </is>
      </c>
      <c r="B8" s="35" t="inlineStr">
        <is>
          <t>5e</t>
        </is>
      </c>
      <c r="C8" s="35" t="inlineStr">
        <is>
          <t>Décrire le rôle des systèmes d’information dans le partage d’information.</t>
        </is>
      </c>
      <c r="D8" s="35" t="inlineStr">
        <is>
          <t>Thème 1</t>
        </is>
      </c>
      <c r="E8" s="35" t="inlineStr">
        <is>
          <t>D2, D5</t>
        </is>
      </c>
      <c r="F8" s="35" t="inlineStr">
        <is>
          <t>Oui</t>
        </is>
      </c>
    </row>
    <row r="9" ht="25.5" customHeight="1">
      <c r="A9" s="66" t="inlineStr">
        <is>
          <t>5e_C1.4</t>
        </is>
      </c>
      <c r="B9" s="35" t="inlineStr">
        <is>
          <t>5e</t>
        </is>
      </c>
      <c r="C9" s="35" t="inlineStr">
        <is>
          <t>Recenser des données, les identifier, les classer, les représenter, les stocker, les retrouver dans une arborescence.</t>
        </is>
      </c>
      <c r="D9" s="35" t="inlineStr">
        <is>
          <t>Thème 1</t>
        </is>
      </c>
      <c r="E9" s="35" t="inlineStr">
        <is>
          <t>D2</t>
        </is>
      </c>
      <c r="F9" s="35" t="inlineStr">
        <is>
          <t>Oui</t>
        </is>
      </c>
    </row>
    <row r="10" ht="25.5" customHeight="1">
      <c r="A10" s="66" t="inlineStr">
        <is>
          <t>5e_C1.5</t>
        </is>
      </c>
      <c r="B10" s="35" t="inlineStr">
        <is>
          <t>5e</t>
        </is>
      </c>
      <c r="C10" s="35" t="inlineStr">
        <is>
          <t>Identifier des règles permettant de sécuriser un environnement numérique (bases de la cybersécurité) et des règles de respect de la propriété intellectuelle.</t>
        </is>
      </c>
      <c r="D10" s="35" t="inlineStr">
        <is>
          <t>Thème 1</t>
        </is>
      </c>
      <c r="E10" s="35" t="inlineStr">
        <is>
          <t>D3</t>
        </is>
      </c>
      <c r="F10" s="35" t="inlineStr">
        <is>
          <t>Oui</t>
        </is>
      </c>
    </row>
    <row r="11" ht="25.5" customHeight="1">
      <c r="A11" s="66" t="inlineStr">
        <is>
          <t>5e_C1.6</t>
        </is>
      </c>
      <c r="B11" s="35" t="inlineStr">
        <is>
          <t>5e</t>
        </is>
      </c>
      <c r="C11" s="35" t="inlineStr">
        <is>
          <t>Appréhender la responsabilité de chacun dans les dérives (cyberviolence, atteinte à la vie privée, aux données personnelles, usurpation d’identité).</t>
        </is>
      </c>
      <c r="D11" s="35" t="inlineStr">
        <is>
          <t>Thème 1</t>
        </is>
      </c>
      <c r="E11" s="35" t="inlineStr">
        <is>
          <t>D3</t>
        </is>
      </c>
      <c r="F11" s="35" t="inlineStr">
        <is>
          <t>Oui</t>
        </is>
      </c>
    </row>
    <row r="12" ht="25.5" customHeight="1">
      <c r="A12" s="66" t="inlineStr">
        <is>
          <t>4e_C1.1</t>
        </is>
      </c>
      <c r="B12" s="35" t="inlineStr">
        <is>
          <t>4e</t>
        </is>
      </c>
      <c r="C12" s="35" t="inlineStr">
        <is>
          <t>Mettre en relation les OST avec leurs usages.</t>
        </is>
      </c>
      <c r="D12" s="35" t="inlineStr">
        <is>
          <t>Thème 1</t>
        </is>
      </c>
      <c r="E12" s="35" t="inlineStr">
        <is>
          <t>D4, D5</t>
        </is>
      </c>
      <c r="F12" s="35" t="inlineStr">
        <is>
          <t>Oui</t>
        </is>
      </c>
    </row>
    <row r="13" ht="25.5" customHeight="1">
      <c r="A13" s="66" t="inlineStr">
        <is>
          <t>4e_C1.2</t>
        </is>
      </c>
      <c r="B13" s="35" t="inlineStr">
        <is>
          <t>4e</t>
        </is>
      </c>
      <c r="C13" s="35" t="inlineStr">
        <is>
          <t>Identifier les avantages et les inconvénients associés aux évolutions technologiques et informatiques.</t>
        </is>
      </c>
      <c r="D13" s="35" t="inlineStr">
        <is>
          <t>Thème 1</t>
        </is>
      </c>
      <c r="E13" s="35" t="inlineStr">
        <is>
          <t>D3, D4, D5</t>
        </is>
      </c>
      <c r="F13" s="35" t="inlineStr">
        <is>
          <t>Oui</t>
        </is>
      </c>
    </row>
    <row r="14" ht="25.5" customHeight="1">
      <c r="A14" s="66" t="inlineStr">
        <is>
          <t>4e_C1.3</t>
        </is>
      </c>
      <c r="B14" s="35" t="inlineStr">
        <is>
          <t>4e</t>
        </is>
      </c>
      <c r="C14" s="35" t="inlineStr">
        <is>
          <t>Justifier l’évolution d’un OST pour répondre à l’évolution des besoins.</t>
        </is>
      </c>
      <c r="D14" s="35" t="inlineStr">
        <is>
          <t>Thème 1</t>
        </is>
      </c>
      <c r="E14" s="35" t="inlineStr">
        <is>
          <t>D3, D4, D5</t>
        </is>
      </c>
      <c r="F14" s="35" t="inlineStr">
        <is>
          <t>Oui</t>
        </is>
      </c>
    </row>
    <row r="15" ht="39" customHeight="1">
      <c r="A15" s="66" t="inlineStr">
        <is>
          <t>4e_C1.4</t>
        </is>
      </c>
      <c r="B15" s="35" t="inlineStr">
        <is>
          <t>4e</t>
        </is>
      </c>
      <c r="C15" s="35" t="inlineStr">
        <is>
          <t>Identifier et appliquer les règles pour un usage raisonné des objets communicants et des environnements numériques (propriété intellectuelle, identité numérique, témoins de connexion, géolocalisation).</t>
        </is>
      </c>
      <c r="D15" s="35" t="inlineStr">
        <is>
          <t>Thème 1</t>
        </is>
      </c>
      <c r="E15" s="35" t="inlineStr">
        <is>
          <t>D1.3, D2, D3, D4</t>
        </is>
      </c>
      <c r="F15" s="35" t="inlineStr">
        <is>
          <t>Oui</t>
        </is>
      </c>
    </row>
    <row r="16" ht="25.5" customHeight="1">
      <c r="A16" s="66" t="inlineStr">
        <is>
          <t>3e_C1.1</t>
        </is>
      </c>
      <c r="B16" s="35" t="inlineStr">
        <is>
          <t>3e</t>
        </is>
      </c>
      <c r="C16" s="35" t="inlineStr">
        <is>
          <t>Identifier les innovations de rupture qui sont attachées à l’évolution d’un OST.</t>
        </is>
      </c>
      <c r="D16" s="35" t="inlineStr">
        <is>
          <t>Thème 1</t>
        </is>
      </c>
      <c r="E16" s="35" t="inlineStr">
        <is>
          <t>D3, D4, D5</t>
        </is>
      </c>
      <c r="F16" s="35" t="inlineStr">
        <is>
          <t>Oui</t>
        </is>
      </c>
    </row>
    <row r="17" ht="25.5" customHeight="1">
      <c r="A17" s="66" t="inlineStr">
        <is>
          <t>3e_C1.2</t>
        </is>
      </c>
      <c r="B17" s="35" t="inlineStr">
        <is>
          <t>3e</t>
        </is>
      </c>
      <c r="C17" s="35" t="inlineStr">
        <is>
          <t>Mettre en relation une découverte scientifique avec ses développements technologiques et leurs effets sur la société.</t>
        </is>
      </c>
      <c r="D17" s="35" t="inlineStr">
        <is>
          <t>Thème 1</t>
        </is>
      </c>
      <c r="E17" s="35" t="inlineStr">
        <is>
          <t>D3, D4, D5</t>
        </is>
      </c>
      <c r="F17" s="35" t="inlineStr">
        <is>
          <t>Oui</t>
        </is>
      </c>
    </row>
    <row r="18" ht="25.5" customHeight="1">
      <c r="A18" s="66" t="inlineStr">
        <is>
          <t>3e_C1.3</t>
        </is>
      </c>
      <c r="B18" s="35" t="inlineStr">
        <is>
          <t>3e</t>
        </is>
      </c>
      <c r="C18" s="35" t="inlineStr">
        <is>
          <t>Exprimer dans un argumentaire court l’incidence d’un OST sur la société.</t>
        </is>
      </c>
      <c r="D18" s="35" t="inlineStr">
        <is>
          <t>Thème 1</t>
        </is>
      </c>
      <c r="E18" s="35" t="inlineStr">
        <is>
          <t>D3, D4, D5</t>
        </is>
      </c>
      <c r="F18" s="35" t="inlineStr">
        <is>
          <t>Oui</t>
        </is>
      </c>
    </row>
    <row r="19" ht="25.5" customHeight="1">
      <c r="A19" s="66" t="inlineStr">
        <is>
          <t>3e_C1.4</t>
        </is>
      </c>
      <c r="B19" s="35" t="inlineStr">
        <is>
          <t>3e</t>
        </is>
      </c>
      <c r="C19" s="35" t="inlineStr">
        <is>
          <t>Exprimer dans un argumentaire court l’incidence des contraintes sociétales sur les OST.</t>
        </is>
      </c>
      <c r="D19" s="35" t="inlineStr">
        <is>
          <t>Thème 1</t>
        </is>
      </c>
      <c r="E19" s="35" t="inlineStr">
        <is>
          <t>D3, D4, D5</t>
        </is>
      </c>
      <c r="F19" s="35" t="inlineStr">
        <is>
          <t>Oui</t>
        </is>
      </c>
    </row>
    <row r="20" ht="25.5" customHeight="1">
      <c r="A20" s="66" t="inlineStr">
        <is>
          <t>3e_C1.5</t>
        </is>
      </c>
      <c r="B20" s="35" t="inlineStr">
        <is>
          <t>3e</t>
        </is>
      </c>
      <c r="C20" s="35" t="inlineStr">
        <is>
          <t>Exprimer dans un argumentaire court le rôle du développement stratégique du numérique au sein de la société et des environnements professionnels (ou des métiers).</t>
        </is>
      </c>
      <c r="D20" s="35" t="inlineStr">
        <is>
          <t>Thème 1</t>
        </is>
      </c>
      <c r="E20" s="35" t="inlineStr">
        <is>
          <t>D1.3, D2, D3</t>
        </is>
      </c>
      <c r="F20" s="35" t="inlineStr">
        <is>
          <t>Oui</t>
        </is>
      </c>
    </row>
    <row r="21" ht="30" customHeight="1">
      <c r="A21" s="65" t="inlineStr">
        <is>
          <t>C2</t>
        </is>
      </c>
      <c r="B21" s="65" t="inlineStr">
        <is>
          <t>—</t>
        </is>
      </c>
      <c r="C21" s="65" t="inlineStr">
        <is>
          <t>Décrire les interactions entre un objet ou un système technique, son environnement et les utilisateurs</t>
        </is>
      </c>
      <c r="D21" s="65" t="inlineStr">
        <is>
          <t>Thème 1</t>
        </is>
      </c>
      <c r="E21" s="65" t="inlineStr">
        <is>
          <t>D4, D5</t>
        </is>
      </c>
      <c r="F21" s="65" t="inlineStr">
        <is>
          <t>Oui</t>
        </is>
      </c>
    </row>
    <row r="22" ht="25.5" customHeight="1">
      <c r="A22" s="66" t="inlineStr">
        <is>
          <t>5e_C2.1</t>
        </is>
      </c>
      <c r="B22" s="35" t="inlineStr">
        <is>
          <t>5e</t>
        </is>
      </c>
      <c r="C22" s="35" t="inlineStr">
        <is>
          <t>Faire la liste des interacteurs extérieurs d’un OST.</t>
        </is>
      </c>
      <c r="D22" s="35" t="inlineStr">
        <is>
          <t>Thème 1</t>
        </is>
      </c>
      <c r="E22" s="35" t="inlineStr">
        <is>
          <t>D4</t>
        </is>
      </c>
      <c r="F22" s="35" t="inlineStr">
        <is>
          <t>Oui</t>
        </is>
      </c>
    </row>
    <row r="23" ht="25.5" customHeight="1">
      <c r="A23" s="66" t="inlineStr">
        <is>
          <t>5e_C2.2</t>
        </is>
      </c>
      <c r="B23" s="35" t="inlineStr">
        <is>
          <t>5e</t>
        </is>
      </c>
      <c r="C23" s="35" t="inlineStr">
        <is>
          <t>Repérer et expliquer les choix de conception dans les domaines de l’ergonomie et de la sécurité ou en lien avec des objectifs de développement durable.</t>
        </is>
      </c>
      <c r="D23" s="35" t="inlineStr">
        <is>
          <t>Thème 1</t>
        </is>
      </c>
      <c r="E23" s="35" t="inlineStr">
        <is>
          <t>D4, D5</t>
        </is>
      </c>
      <c r="F23" s="35" t="inlineStr">
        <is>
          <t>Oui</t>
        </is>
      </c>
    </row>
    <row r="24" ht="39" customHeight="1">
      <c r="A24" s="66" t="inlineStr">
        <is>
          <t>4e_C2.1</t>
        </is>
      </c>
      <c r="B24" s="35" t="inlineStr">
        <is>
          <t>4e</t>
        </is>
      </c>
      <c r="C24" s="35" t="inlineStr">
        <is>
          <t>Décrire l’expérience de l’utilisateur (ressenti et facilité d’usage) d’un OST en partant du langage naturel (texte, croquis) pour aboutir aux schémas, graphiques, algorithmes.</t>
        </is>
      </c>
      <c r="D24" s="35" t="inlineStr">
        <is>
          <t>Thème 1</t>
        </is>
      </c>
      <c r="E24" s="35" t="inlineStr">
        <is>
          <t>D1.3, D4, D5</t>
        </is>
      </c>
      <c r="F24" s="35" t="inlineStr">
        <is>
          <t>Oui</t>
        </is>
      </c>
    </row>
    <row r="25" ht="39" customHeight="1">
      <c r="A25" s="66" t="inlineStr">
        <is>
          <t>4e_C2.2</t>
        </is>
      </c>
      <c r="B25" s="35" t="inlineStr">
        <is>
          <t>4e</t>
        </is>
      </c>
      <c r="C25" s="35" t="inlineStr">
        <is>
          <t>Repérer et expliquer les contraintes, exigences prises en compte (sécurité, incidences environnementales, formes et fonctions, ergonomie, qualité, fiabilité) pour répondre aux attentes des utilisateurs.</t>
        </is>
      </c>
      <c r="D25" s="35" t="inlineStr">
        <is>
          <t>Thème 1</t>
        </is>
      </c>
      <c r="E25" s="35" t="inlineStr">
        <is>
          <t>D3, D4, D5</t>
        </is>
      </c>
      <c r="F25" s="35" t="inlineStr">
        <is>
          <t>Oui</t>
        </is>
      </c>
    </row>
    <row r="26" ht="25.5" customHeight="1">
      <c r="A26" s="66" t="inlineStr">
        <is>
          <t>3e_C2.1</t>
        </is>
      </c>
      <c r="B26" s="35" t="inlineStr">
        <is>
          <t>3e</t>
        </is>
      </c>
      <c r="C26" s="35" t="inlineStr">
        <is>
          <t>Décrire l’expérience de l’utilisateur d’un OST à l’aide de modes de représentation choisis.</t>
        </is>
      </c>
      <c r="D26" s="35" t="inlineStr">
        <is>
          <t>Thème 1</t>
        </is>
      </c>
      <c r="E26" s="35" t="inlineStr">
        <is>
          <t>D1.3, D4, D5</t>
        </is>
      </c>
      <c r="F26" s="35" t="inlineStr">
        <is>
          <t>Oui</t>
        </is>
      </c>
    </row>
    <row r="27" ht="30" customHeight="1">
      <c r="A27" s="65" t="inlineStr">
        <is>
          <t>C3</t>
        </is>
      </c>
      <c r="B27" s="65" t="inlineStr">
        <is>
          <t>—</t>
        </is>
      </c>
      <c r="C27" s="65" t="inlineStr">
        <is>
          <t>Caractériser et choisir un objet ou un système technique selon différents critères</t>
        </is>
      </c>
      <c r="D27" s="65" t="inlineStr">
        <is>
          <t>Thème 1</t>
        </is>
      </c>
      <c r="E27" s="65" t="inlineStr">
        <is>
          <t>D1.3, D2, D3, D4, D5</t>
        </is>
      </c>
      <c r="F27" s="65" t="inlineStr">
        <is>
          <t>Oui</t>
        </is>
      </c>
    </row>
    <row r="28" ht="25.5" customHeight="1">
      <c r="A28" s="66" t="inlineStr">
        <is>
          <t>5e_C3.1</t>
        </is>
      </c>
      <c r="B28" s="35" t="inlineStr">
        <is>
          <t>5e</t>
        </is>
      </c>
      <c r="C28" s="35" t="inlineStr">
        <is>
          <t>Repérer pour un OST les matériaux, les sources et les formes d’énergies, le traitement de l’information.</t>
        </is>
      </c>
      <c r="D28" s="35" t="inlineStr">
        <is>
          <t>Thème 1</t>
        </is>
      </c>
      <c r="E28" s="35" t="inlineStr">
        <is>
          <t>D2, D4</t>
        </is>
      </c>
      <c r="F28" s="35" t="inlineStr">
        <is>
          <t>Oui</t>
        </is>
      </c>
    </row>
    <row r="29" ht="25.5" customHeight="1">
      <c r="A29" s="66" t="inlineStr">
        <is>
          <t>5e_C3.2</t>
        </is>
      </c>
      <c r="B29" s="35" t="inlineStr">
        <is>
          <t>5e</t>
        </is>
      </c>
      <c r="C29" s="35" t="inlineStr">
        <is>
          <t>Identifier les étapes du cycle de vie d’un OST influencées par les choix de matériaux et d’énergie.</t>
        </is>
      </c>
      <c r="D29" s="35" t="inlineStr">
        <is>
          <t>Thème 1</t>
        </is>
      </c>
      <c r="E29" s="35" t="inlineStr">
        <is>
          <t>D3, D4, D5</t>
        </is>
      </c>
      <c r="F29" s="35" t="inlineStr">
        <is>
          <t>Oui</t>
        </is>
      </c>
    </row>
    <row r="30" ht="25.5" customHeight="1">
      <c r="A30" s="66" t="inlineStr">
        <is>
          <t>5e_C3.3</t>
        </is>
      </c>
      <c r="B30" s="35" t="inlineStr">
        <is>
          <t>5e</t>
        </is>
      </c>
      <c r="C30" s="35" t="inlineStr">
        <is>
          <t>Choisir un OST parmi plusieurs propositions en vue de répondre à un besoin.</t>
        </is>
      </c>
      <c r="D30" s="35" t="inlineStr">
        <is>
          <t>Thème 1</t>
        </is>
      </c>
      <c r="E30" s="35" t="inlineStr">
        <is>
          <t>D3, D4, D5</t>
        </is>
      </c>
      <c r="F30" s="35" t="inlineStr">
        <is>
          <t>Oui</t>
        </is>
      </c>
    </row>
    <row r="31" ht="25.5" customHeight="1">
      <c r="A31" s="66" t="inlineStr">
        <is>
          <t>5e_C3.4</t>
        </is>
      </c>
      <c r="B31" s="35" t="inlineStr">
        <is>
          <t>5e</t>
        </is>
      </c>
      <c r="C31" s="35" t="inlineStr">
        <is>
          <t>Mesurer et comparer une performance d’un OST à partir d’un protocole fourni.</t>
        </is>
      </c>
      <c r="D31" s="35" t="inlineStr">
        <is>
          <t>Thème 1</t>
        </is>
      </c>
      <c r="E31" s="35" t="inlineStr">
        <is>
          <t>D1.3, D2, D4</t>
        </is>
      </c>
      <c r="F31" s="35" t="inlineStr">
        <is>
          <t>Oui</t>
        </is>
      </c>
    </row>
    <row r="32" ht="25.5" customHeight="1">
      <c r="A32" s="66" t="inlineStr">
        <is>
          <t>4e_C3.1</t>
        </is>
      </c>
      <c r="B32" s="35" t="inlineStr">
        <is>
          <t>4e</t>
        </is>
      </c>
      <c r="C32" s="35" t="inlineStr">
        <is>
          <t>Identifier les caractéristiques à prendre en compte dans le choix d’un OST en vue de répondre à un besoin.</t>
        </is>
      </c>
      <c r="D32" s="35" t="inlineStr">
        <is>
          <t>Thème 1</t>
        </is>
      </c>
      <c r="E32" s="35" t="inlineStr">
        <is>
          <t>D3, D4, D5</t>
        </is>
      </c>
      <c r="F32" s="35" t="inlineStr">
        <is>
          <t>Oui</t>
        </is>
      </c>
    </row>
    <row r="33" ht="39" customHeight="1">
      <c r="A33" s="66" t="inlineStr">
        <is>
          <t>4e_C3.2</t>
        </is>
      </c>
      <c r="B33" s="35" t="inlineStr">
        <is>
          <t>4e</t>
        </is>
      </c>
      <c r="C33" s="35" t="inlineStr">
        <is>
          <t>Comparer qualitativement et/ou quantitativement (incidences environnementales, bilan carbone, efficacité énergétique) plusieurs OST répondant au même besoin et arrêter un choix.</t>
        </is>
      </c>
      <c r="D33" s="35" t="inlineStr">
        <is>
          <t>Thème 1</t>
        </is>
      </c>
      <c r="E33" s="35" t="inlineStr">
        <is>
          <t>D1.3, D2, D3, D4, D5</t>
        </is>
      </c>
      <c r="F33" s="35" t="inlineStr">
        <is>
          <t>Oui</t>
        </is>
      </c>
    </row>
    <row r="34" ht="25.5" customHeight="1">
      <c r="A34" s="66" t="inlineStr">
        <is>
          <t>4e_C3.3</t>
        </is>
      </c>
      <c r="B34" s="35" t="inlineStr">
        <is>
          <t>4e</t>
        </is>
      </c>
      <c r="C34" s="35" t="inlineStr">
        <is>
          <t>Choisir les appareils de mesure à utiliser pour mesurer une performance d’un OST à partir d’un protocole donné.</t>
        </is>
      </c>
      <c r="D34" s="35" t="inlineStr">
        <is>
          <t>Thème 1</t>
        </is>
      </c>
      <c r="E34" s="35" t="inlineStr">
        <is>
          <t>D1.3, D2, D4</t>
        </is>
      </c>
      <c r="F34" s="35" t="inlineStr">
        <is>
          <t>Oui</t>
        </is>
      </c>
    </row>
    <row r="35" ht="25.5" customHeight="1">
      <c r="A35" s="66" t="inlineStr">
        <is>
          <t>3e_C3.1</t>
        </is>
      </c>
      <c r="B35" s="35" t="inlineStr">
        <is>
          <t>3e</t>
        </is>
      </c>
      <c r="C35" s="35" t="inlineStr">
        <is>
          <t>Établir une liste d’OST possibles en vue de répondre à un besoin.</t>
        </is>
      </c>
      <c r="D35" s="35" t="inlineStr">
        <is>
          <t>Thème 1</t>
        </is>
      </c>
      <c r="E35" s="35" t="inlineStr">
        <is>
          <t>D3, D4, D5</t>
        </is>
      </c>
      <c r="F35" s="35" t="inlineStr">
        <is>
          <t>Oui</t>
        </is>
      </c>
    </row>
    <row r="36" ht="25.5" customHeight="1">
      <c r="A36" s="66" t="inlineStr">
        <is>
          <t>3e_C3.2</t>
        </is>
      </c>
      <c r="B36" s="35" t="inlineStr">
        <is>
          <t>3e</t>
        </is>
      </c>
      <c r="C36" s="35" t="inlineStr">
        <is>
          <t>Choisir un OST et argumenter ce choix en prenant en compte son cycle de vie et les trois piliers du développement durable.</t>
        </is>
      </c>
      <c r="D36" s="35" t="inlineStr">
        <is>
          <t>Thème 1</t>
        </is>
      </c>
      <c r="E36" s="35" t="inlineStr">
        <is>
          <t>D3, D4, D5</t>
        </is>
      </c>
      <c r="F36" s="35" t="inlineStr">
        <is>
          <t>Oui</t>
        </is>
      </c>
    </row>
    <row r="37" ht="25.5" customHeight="1">
      <c r="A37" s="66" t="inlineStr">
        <is>
          <t>3e_C3.3</t>
        </is>
      </c>
      <c r="B37" s="35" t="inlineStr">
        <is>
          <t>3e</t>
        </is>
      </c>
      <c r="C37" s="35" t="inlineStr">
        <is>
          <t>Évaluer les OST selon des exigences ou des critères identifiés (caractéristiques, performances, coût, indice de réparabilité).</t>
        </is>
      </c>
      <c r="D37" s="35" t="inlineStr">
        <is>
          <t>Thème 1</t>
        </is>
      </c>
      <c r="E37" s="35" t="inlineStr">
        <is>
          <t>D3, D4, D5</t>
        </is>
      </c>
      <c r="F37" s="35" t="inlineStr">
        <is>
          <t>Oui</t>
        </is>
      </c>
    </row>
    <row r="38" ht="25.5" customHeight="1">
      <c r="A38" s="66" t="inlineStr">
        <is>
          <t>3e_C3.4</t>
        </is>
      </c>
      <c r="B38" s="35" t="inlineStr">
        <is>
          <t>3e</t>
        </is>
      </c>
      <c r="C38" s="35" t="inlineStr">
        <is>
          <t>Définir et mettre en œuvre un protocole pour mesurer une caractéristique, une performance d’un OST.</t>
        </is>
      </c>
      <c r="D38" s="35" t="inlineStr">
        <is>
          <t>Thème 1</t>
        </is>
      </c>
      <c r="E38" s="35" t="inlineStr">
        <is>
          <t>D1.3, D2, D4</t>
        </is>
      </c>
      <c r="F38" s="35" t="inlineStr">
        <is>
          <t>Oui</t>
        </is>
      </c>
    </row>
    <row r="39" ht="30" customHeight="1">
      <c r="A39" s="65" t="inlineStr">
        <is>
          <t>C4</t>
        </is>
      </c>
      <c r="B39" s="65" t="inlineStr">
        <is>
          <t>—</t>
        </is>
      </c>
      <c r="C39" s="65" t="inlineStr">
        <is>
          <t>Décrire et caractériser l’organisation interne d’un objet ou d’un système technique et ses échanges avec son environnement (énergies, données)</t>
        </is>
      </c>
      <c r="D39" s="65" t="inlineStr">
        <is>
          <t>Thème 2 : Structure, fonctionnement, comportement : des objets et des systèmes techniques à comprendre</t>
        </is>
      </c>
      <c r="E39" s="65" t="inlineStr">
        <is>
          <t>D1.3, D1.4, D2, D4, D5</t>
        </is>
      </c>
      <c r="F39" s="65" t="inlineStr">
        <is>
          <t>Oui</t>
        </is>
      </c>
    </row>
    <row r="40" ht="25.5" customHeight="1">
      <c r="A40" s="66" t="inlineStr">
        <is>
          <t>5e_C4.1</t>
        </is>
      </c>
      <c r="B40" s="35" t="inlineStr">
        <is>
          <t>5e</t>
        </is>
      </c>
      <c r="C40" s="35" t="inlineStr">
        <is>
          <t>Associer des solutions techniques à une ou des fonctions techniques.</t>
        </is>
      </c>
      <c r="D40" s="35" t="inlineStr">
        <is>
          <t>Thème 2</t>
        </is>
      </c>
      <c r="E40" s="35" t="inlineStr">
        <is>
          <t>D2, D4, D5</t>
        </is>
      </c>
      <c r="F40" s="35" t="inlineStr">
        <is>
          <t>Oui</t>
        </is>
      </c>
    </row>
    <row r="41" ht="25.5" customHeight="1">
      <c r="A41" s="66" t="inlineStr">
        <is>
          <t>5e_C4.2</t>
        </is>
      </c>
      <c r="B41" s="35" t="inlineStr">
        <is>
          <t>5e</t>
        </is>
      </c>
      <c r="C41" s="35" t="inlineStr">
        <is>
          <t>Identifier des constituants de la chaîne d’énergie d’un objet technique (l’organisation de la chaîne d’énergie étant fournie).</t>
        </is>
      </c>
      <c r="D41" s="35" t="inlineStr">
        <is>
          <t>Thème 2</t>
        </is>
      </c>
      <c r="E41" s="35" t="inlineStr">
        <is>
          <t>D1.3, D2, D4</t>
        </is>
      </c>
      <c r="F41" s="35" t="inlineStr">
        <is>
          <t>Oui</t>
        </is>
      </c>
    </row>
    <row r="42" ht="25.5" customHeight="1">
      <c r="A42" s="66" t="inlineStr">
        <is>
          <t>5e_C4.3</t>
        </is>
      </c>
      <c r="B42" s="35" t="inlineStr">
        <is>
          <t>5e</t>
        </is>
      </c>
      <c r="C42" s="35" t="inlineStr">
        <is>
          <t>Indiquer la nature des énergies en entrée et en sortie des constituants de la chaîne d’énergie.</t>
        </is>
      </c>
      <c r="D42" s="35" t="inlineStr">
        <is>
          <t>Thème 2</t>
        </is>
      </c>
      <c r="E42" s="35" t="inlineStr">
        <is>
          <t>D1.3, D4</t>
        </is>
      </c>
      <c r="F42" s="35" t="inlineStr">
        <is>
          <t>Oui</t>
        </is>
      </c>
    </row>
    <row r="43" ht="25.5" customHeight="1">
      <c r="A43" s="66" t="inlineStr">
        <is>
          <t>5e_C4.4</t>
        </is>
      </c>
      <c r="B43" s="35" t="inlineStr">
        <is>
          <t>5e</t>
        </is>
      </c>
      <c r="C43" s="35" t="inlineStr">
        <is>
          <t>Identifier les principaux matériaux constitutifs d’un OST.</t>
        </is>
      </c>
      <c r="D43" s="35" t="inlineStr">
        <is>
          <t>Thème 2</t>
        </is>
      </c>
      <c r="E43" s="35" t="inlineStr">
        <is>
          <t>D3, D4, D5</t>
        </is>
      </c>
      <c r="F43" s="35" t="inlineStr">
        <is>
          <t>Oui</t>
        </is>
      </c>
    </row>
    <row r="44" ht="25.5" customHeight="1">
      <c r="A44" s="66" t="inlineStr">
        <is>
          <t>5e_C4.5</t>
        </is>
      </c>
      <c r="B44" s="35" t="inlineStr">
        <is>
          <t>5e</t>
        </is>
      </c>
      <c r="C44" s="35" t="inlineStr">
        <is>
          <t>Identifier des constituants de la chaîne d’information d’un OST (l’organisation de la chaîne d’information étant fournie).</t>
        </is>
      </c>
      <c r="D44" s="35" t="inlineStr">
        <is>
          <t>Thème 2</t>
        </is>
      </c>
      <c r="E44" s="35" t="inlineStr">
        <is>
          <t>D1.3, D2, D4</t>
        </is>
      </c>
      <c r="F44" s="35" t="inlineStr">
        <is>
          <t>Oui</t>
        </is>
      </c>
    </row>
    <row r="45" ht="25.5" customHeight="1">
      <c r="A45" s="66" t="inlineStr">
        <is>
          <t>5e_C4.6</t>
        </is>
      </c>
      <c r="B45" s="35" t="inlineStr">
        <is>
          <t>5e</t>
        </is>
      </c>
      <c r="C45" s="35" t="inlineStr">
        <is>
          <t>Déterminer des descripteurs permettant de décrire des objets sous forme de données en précisant leurs types et leurs formats.</t>
        </is>
      </c>
      <c r="D45" s="35" t="inlineStr">
        <is>
          <t>Thème 2</t>
        </is>
      </c>
      <c r="E45" s="35" t="inlineStr">
        <is>
          <t>D1.3, D2, D4</t>
        </is>
      </c>
      <c r="F45" s="35" t="inlineStr">
        <is>
          <t>Oui</t>
        </is>
      </c>
    </row>
    <row r="46" ht="25.5" customHeight="1">
      <c r="A46" s="66" t="inlineStr">
        <is>
          <t>5e_C4.7</t>
        </is>
      </c>
      <c r="B46" s="35" t="inlineStr">
        <is>
          <t>5e</t>
        </is>
      </c>
      <c r="C46" s="35" t="inlineStr">
        <is>
          <t>Identifier les composants qui constituent un réseau local (terminaux, commutateurs, liaisons filaires et sans fil (WiFi)) et sa topologie.</t>
        </is>
      </c>
      <c r="D46" s="35" t="inlineStr">
        <is>
          <t>Thème 2</t>
        </is>
      </c>
      <c r="E46" s="35" t="inlineStr">
        <is>
          <t>D2, D4</t>
        </is>
      </c>
      <c r="F46" s="35" t="inlineStr">
        <is>
          <t>Oui</t>
        </is>
      </c>
    </row>
    <row r="47" ht="25.5" customHeight="1">
      <c r="A47" s="66" t="inlineStr">
        <is>
          <t>5e_C4.8</t>
        </is>
      </c>
      <c r="B47" s="35" t="inlineStr">
        <is>
          <t>5e</t>
        </is>
      </c>
      <c r="C47" s="35" t="inlineStr">
        <is>
          <t>Justifier la nécessité d’identifier les terminaux pour communiquer sur un réseau local (activité débranchée et vérification par un outil de simulation).</t>
        </is>
      </c>
      <c r="D47" s="35" t="inlineStr">
        <is>
          <t>Thème 2</t>
        </is>
      </c>
      <c r="E47" s="35" t="inlineStr">
        <is>
          <t>D2, D4</t>
        </is>
      </c>
      <c r="F47" s="35" t="inlineStr">
        <is>
          <t>Oui</t>
        </is>
      </c>
    </row>
    <row r="48" ht="25.5" customHeight="1">
      <c r="A48" s="66" t="inlineStr">
        <is>
          <t>4e_C4.1</t>
        </is>
      </c>
      <c r="B48" s="35" t="inlineStr">
        <is>
          <t>4e</t>
        </is>
      </c>
      <c r="C48" s="35" t="inlineStr">
        <is>
          <t>Identifier les constituants d’une chaîne d’énergie et les associer à leurs fonctions.</t>
        </is>
      </c>
      <c r="D48" s="35" t="inlineStr">
        <is>
          <t>Thème 2</t>
        </is>
      </c>
      <c r="E48" s="35" t="inlineStr">
        <is>
          <t>D2, D4, D5</t>
        </is>
      </c>
      <c r="F48" s="35" t="inlineStr">
        <is>
          <t>Oui</t>
        </is>
      </c>
    </row>
    <row r="49" ht="25.5" customHeight="1">
      <c r="A49" s="66" t="inlineStr">
        <is>
          <t>4e_C4.2</t>
        </is>
      </c>
      <c r="B49" s="35" t="inlineStr">
        <is>
          <t>4e</t>
        </is>
      </c>
      <c r="C49" s="35" t="inlineStr">
        <is>
          <t>Repérer les transformations d’énergie et les flux d’énergie au sein de l’OST.</t>
        </is>
      </c>
      <c r="D49" s="35" t="inlineStr">
        <is>
          <t>Thème 2</t>
        </is>
      </c>
      <c r="E49" s="35" t="inlineStr">
        <is>
          <t>D1.3, D2, D4</t>
        </is>
      </c>
      <c r="F49" s="35" t="inlineStr">
        <is>
          <t>Oui</t>
        </is>
      </c>
    </row>
    <row r="50" ht="25.5" customHeight="1">
      <c r="A50" s="66" t="inlineStr">
        <is>
          <t>4e_C4.3</t>
        </is>
      </c>
      <c r="B50" s="35" t="inlineStr">
        <is>
          <t>4e</t>
        </is>
      </c>
      <c r="C50" s="35" t="inlineStr">
        <is>
          <t>Mettre en relation la forme d’une pièce avec le procédé de réalisation.</t>
        </is>
      </c>
      <c r="D50" s="35" t="inlineStr">
        <is>
          <t>Thème 2</t>
        </is>
      </c>
      <c r="E50" s="35" t="inlineStr">
        <is>
          <t>D3, D4, D5</t>
        </is>
      </c>
      <c r="F50" s="35" t="inlineStr">
        <is>
          <t>Oui</t>
        </is>
      </c>
    </row>
    <row r="51" ht="25.5" customHeight="1">
      <c r="A51" s="66" t="inlineStr">
        <is>
          <t>4e_C4.4</t>
        </is>
      </c>
      <c r="B51" s="35" t="inlineStr">
        <is>
          <t>4e</t>
        </is>
      </c>
      <c r="C51" s="35" t="inlineStr">
        <is>
          <t>Identifier les constituants de la chaîne d’information d’un objet réel et les associer à leur fonction.</t>
        </is>
      </c>
      <c r="D51" s="35" t="inlineStr">
        <is>
          <t>Thème 2</t>
        </is>
      </c>
      <c r="E51" s="35" t="inlineStr">
        <is>
          <t>D1.3, D2, D4</t>
        </is>
      </c>
      <c r="F51" s="35" t="inlineStr">
        <is>
          <t>Oui</t>
        </is>
      </c>
    </row>
    <row r="52" ht="25.5" customHeight="1">
      <c r="A52" s="66" t="inlineStr">
        <is>
          <t>4e_C4.5</t>
        </is>
      </c>
      <c r="B52" s="35" t="inlineStr">
        <is>
          <t>4e</t>
        </is>
      </c>
      <c r="C52" s="35" t="inlineStr">
        <is>
          <t>Décrire et analyser la transformation des données téléversées ou issues d’un OST.</t>
        </is>
      </c>
      <c r="D52" s="35" t="inlineStr">
        <is>
          <t>Thème 2</t>
        </is>
      </c>
      <c r="E52" s="35" t="inlineStr">
        <is>
          <t>D1.3, D2, D4</t>
        </is>
      </c>
      <c r="F52" s="35" t="inlineStr">
        <is>
          <t>Oui</t>
        </is>
      </c>
    </row>
    <row r="53" ht="25.5" customHeight="1">
      <c r="A53" s="66" t="inlineStr">
        <is>
          <t>4e_C4.6</t>
        </is>
      </c>
      <c r="B53" s="35" t="inlineStr">
        <is>
          <t>4e</t>
        </is>
      </c>
      <c r="C53" s="35" t="inlineStr">
        <is>
          <t>Décrire et analyser la structuration d’une table de données qui permet une exploitation et une interprétation du comportement d’un OST.</t>
        </is>
      </c>
      <c r="D53" s="35" t="inlineStr">
        <is>
          <t>Thème 2</t>
        </is>
      </c>
      <c r="E53" s="35" t="inlineStr">
        <is>
          <t>D1.3, D2, D4</t>
        </is>
      </c>
      <c r="F53" s="35" t="inlineStr">
        <is>
          <t>Oui</t>
        </is>
      </c>
    </row>
    <row r="54" ht="25.5" customHeight="1">
      <c r="A54" s="66" t="inlineStr">
        <is>
          <t>4e_C4.7</t>
        </is>
      </c>
      <c r="B54" s="35" t="inlineStr">
        <is>
          <t>4e</t>
        </is>
      </c>
      <c r="C54" s="35" t="inlineStr">
        <is>
          <t>Paramétrer une adresse IP fixe pour ajouter un objet connecté à un réseau local.</t>
        </is>
      </c>
      <c r="D54" s="35" t="inlineStr">
        <is>
          <t>Thème 2</t>
        </is>
      </c>
      <c r="E54" s="35" t="inlineStr">
        <is>
          <t>D2, D4</t>
        </is>
      </c>
      <c r="F54" s="35" t="inlineStr">
        <is>
          <t>Oui</t>
        </is>
      </c>
    </row>
    <row r="55" ht="39" customHeight="1">
      <c r="A55" s="66" t="inlineStr">
        <is>
          <t>4e_C4.8</t>
        </is>
      </c>
      <c r="B55" s="35" t="inlineStr">
        <is>
          <t>4e</t>
        </is>
      </c>
      <c r="C55" s="35" t="inlineStr">
        <is>
          <t>Résoudre des problèmes pour assurer la communication entre les différents terminaux dans un réseau informatique (simulation ou réseau local déconnecté du réseau pédagogique).</t>
        </is>
      </c>
      <c r="D55" s="35" t="inlineStr">
        <is>
          <t>Thème 2</t>
        </is>
      </c>
      <c r="E55" s="35" t="inlineStr">
        <is>
          <t>D2, D4</t>
        </is>
      </c>
      <c r="F55" s="35" t="inlineStr">
        <is>
          <t>Oui</t>
        </is>
      </c>
    </row>
    <row r="56" ht="25.5" customHeight="1">
      <c r="A56" s="66" t="inlineStr">
        <is>
          <t>4e_C4.9</t>
        </is>
      </c>
      <c r="B56" s="35" t="inlineStr">
        <is>
          <t>4e</t>
        </is>
      </c>
      <c r="C56" s="35" t="inlineStr">
        <is>
          <t>Compléter une simulation fournie pour valider le comportement d’un réseau informatique.</t>
        </is>
      </c>
      <c r="D56" s="35" t="inlineStr">
        <is>
          <t>Thème 2</t>
        </is>
      </c>
      <c r="E56" s="35" t="inlineStr">
        <is>
          <t>D2, D4</t>
        </is>
      </c>
      <c r="F56" s="35" t="inlineStr">
        <is>
          <t>Oui</t>
        </is>
      </c>
    </row>
    <row r="57" ht="25.5" customHeight="1">
      <c r="A57" s="66" t="inlineStr">
        <is>
          <t>3e_C4.1</t>
        </is>
      </c>
      <c r="B57" s="35" t="inlineStr">
        <is>
          <t>3e</t>
        </is>
      </c>
      <c r="C57" s="35" t="inlineStr">
        <is>
          <t>Élaborer, à l’aide d’un schéma bloc, la chaîne d’énergie d’un OST.</t>
        </is>
      </c>
      <c r="D57" s="35" t="inlineStr">
        <is>
          <t>Thème 2</t>
        </is>
      </c>
      <c r="E57" s="35" t="inlineStr">
        <is>
          <t>D1.3, D2, D4</t>
        </is>
      </c>
      <c r="F57" s="35" t="inlineStr">
        <is>
          <t>Oui</t>
        </is>
      </c>
    </row>
    <row r="58" ht="25.5" customHeight="1">
      <c r="A58" s="66" t="inlineStr">
        <is>
          <t>3e_C4.2</t>
        </is>
      </c>
      <c r="B58" s="35" t="inlineStr">
        <is>
          <t>3e</t>
        </is>
      </c>
      <c r="C58" s="35" t="inlineStr">
        <is>
          <t>Justifier le choix d’un matériau et de son procédé de mise en forme au regard des contraintes techniques et environnementales.</t>
        </is>
      </c>
      <c r="D58" s="35" t="inlineStr">
        <is>
          <t>Thème 2</t>
        </is>
      </c>
      <c r="E58" s="35" t="inlineStr">
        <is>
          <t>D3, D4, D5</t>
        </is>
      </c>
      <c r="F58" s="35" t="inlineStr">
        <is>
          <t>Oui</t>
        </is>
      </c>
    </row>
    <row r="59" ht="25.5" customHeight="1">
      <c r="A59" s="66" t="inlineStr">
        <is>
          <t>3e_C4.3</t>
        </is>
      </c>
      <c r="B59" s="35" t="inlineStr">
        <is>
          <t>3e</t>
        </is>
      </c>
      <c r="C59" s="35" t="inlineStr">
        <is>
          <t>Décrire un OST en caractérisant sa chaîne d’information.</t>
        </is>
      </c>
      <c r="D59" s="35" t="inlineStr">
        <is>
          <t>Thème 2</t>
        </is>
      </c>
      <c r="E59" s="35" t="inlineStr">
        <is>
          <t>D1.3, D2, D4</t>
        </is>
      </c>
      <c r="F59" s="35" t="inlineStr">
        <is>
          <t>Oui</t>
        </is>
      </c>
    </row>
    <row r="60" ht="25.5" customHeight="1">
      <c r="A60" s="66" t="inlineStr">
        <is>
          <t>3e_C4.4</t>
        </is>
      </c>
      <c r="B60" s="35" t="inlineStr">
        <is>
          <t>3e</t>
        </is>
      </c>
      <c r="C60" s="35" t="inlineStr">
        <is>
          <t>Associer des grandeurs analogiques issues d’un OST à des données exploitables.</t>
        </is>
      </c>
      <c r="D60" s="35" t="inlineStr">
        <is>
          <t>Thème 2</t>
        </is>
      </c>
      <c r="E60" s="35" t="inlineStr">
        <is>
          <t>D1.3, D2, D4</t>
        </is>
      </c>
      <c r="F60" s="35" t="inlineStr">
        <is>
          <t>Oui</t>
        </is>
      </c>
    </row>
    <row r="61" ht="25.5" customHeight="1">
      <c r="A61" s="66" t="inlineStr">
        <is>
          <t>3e_C4.5</t>
        </is>
      </c>
      <c r="B61" s="35" t="inlineStr">
        <is>
          <t>3e</t>
        </is>
      </c>
      <c r="C61" s="35" t="inlineStr">
        <is>
          <t>Représenter sous forme de données les informations de diverses natures utilisées par un OST.</t>
        </is>
      </c>
      <c r="D61" s="35" t="inlineStr">
        <is>
          <t>Thème 2</t>
        </is>
      </c>
      <c r="E61" s="35" t="inlineStr">
        <is>
          <t>D1.3, D2, D4</t>
        </is>
      </c>
      <c r="F61" s="35" t="inlineStr">
        <is>
          <t>Oui</t>
        </is>
      </c>
    </row>
    <row r="62" ht="25.5" customHeight="1">
      <c r="A62" s="66" t="inlineStr">
        <is>
          <t>3e_C4.6</t>
        </is>
      </c>
      <c r="B62" s="35" t="inlineStr">
        <is>
          <t>3e</t>
        </is>
      </c>
      <c r="C62" s="35" t="inlineStr">
        <is>
          <t>Identifier, selon les cas, leur mise en forme, leur transmission ou leur stockage dans des fichiers (texte, image, nombre) afin de comprendre le fonctionnement de l’OST.</t>
        </is>
      </c>
      <c r="D62" s="35" t="inlineStr">
        <is>
          <t>Thème 2</t>
        </is>
      </c>
      <c r="E62" s="35" t="inlineStr">
        <is>
          <t>D1.3, D2, D4</t>
        </is>
      </c>
      <c r="F62" s="35" t="inlineStr">
        <is>
          <t>Oui</t>
        </is>
      </c>
    </row>
    <row r="63" ht="25.5" customHeight="1">
      <c r="A63" s="66" t="inlineStr">
        <is>
          <t>3e_C4.7</t>
        </is>
      </c>
      <c r="B63" s="35" t="inlineStr">
        <is>
          <t>3e</t>
        </is>
      </c>
      <c r="C63" s="35" t="inlineStr">
        <is>
          <t>Identifier et représenter la circulation d’une information dans le réseau Internet.</t>
        </is>
      </c>
      <c r="D63" s="35" t="inlineStr">
        <is>
          <t>Thème 2</t>
        </is>
      </c>
      <c r="E63" s="35" t="inlineStr">
        <is>
          <t>D2, D4</t>
        </is>
      </c>
      <c r="F63" s="35" t="inlineStr">
        <is>
          <t>Oui</t>
        </is>
      </c>
    </row>
    <row r="64" ht="25.5" customHeight="1">
      <c r="A64" s="66" t="inlineStr">
        <is>
          <t>3e_C4.8</t>
        </is>
      </c>
      <c r="B64" s="35" t="inlineStr">
        <is>
          <t>3e</t>
        </is>
      </c>
      <c r="C64" s="35" t="inlineStr">
        <is>
          <t>Justifier la nécessité d’un protocole de routage pour faire communiquer plusieurs réseaux (activité débranchée, table de routage donnée).</t>
        </is>
      </c>
      <c r="D64" s="35" t="inlineStr">
        <is>
          <t>Thème 2</t>
        </is>
      </c>
      <c r="E64" s="35" t="inlineStr">
        <is>
          <t>D2, D4</t>
        </is>
      </c>
      <c r="F64" s="35" t="inlineStr">
        <is>
          <t>Oui</t>
        </is>
      </c>
    </row>
    <row r="65" ht="30" customHeight="1">
      <c r="A65" s="65" t="inlineStr">
        <is>
          <t>C5</t>
        </is>
      </c>
      <c r="B65" s="65" t="inlineStr">
        <is>
          <t>—</t>
        </is>
      </c>
      <c r="C65" s="65" t="inlineStr">
        <is>
          <t>Identifier un dysfonctionnement d’un objet technique et y remédier</t>
        </is>
      </c>
      <c r="D65" s="65" t="inlineStr">
        <is>
          <t>Thème 2</t>
        </is>
      </c>
      <c r="E65" s="65" t="inlineStr">
        <is>
          <t>D1.3, D2, D3, D4, D5</t>
        </is>
      </c>
      <c r="F65" s="65" t="inlineStr">
        <is>
          <t>Oui</t>
        </is>
      </c>
    </row>
    <row r="66" ht="25.5" customHeight="1">
      <c r="A66" s="66" t="inlineStr">
        <is>
          <t>5e_C5.1</t>
        </is>
      </c>
      <c r="B66" s="35" t="inlineStr">
        <is>
          <t>5e</t>
        </is>
      </c>
      <c r="C66" s="35" t="inlineStr">
        <is>
          <t>Repérer visuellement une pièce défectueuse.</t>
        </is>
      </c>
      <c r="D66" s="35" t="inlineStr">
        <is>
          <t>Thème 2</t>
        </is>
      </c>
      <c r="E66" s="35" t="inlineStr">
        <is>
          <t>D1.3, D2, D4</t>
        </is>
      </c>
      <c r="F66" s="35" t="inlineStr">
        <is>
          <t>Oui</t>
        </is>
      </c>
    </row>
    <row r="67" ht="25.5" customHeight="1">
      <c r="A67" s="66" t="inlineStr">
        <is>
          <t>5e_C5.2</t>
        </is>
      </c>
      <c r="B67" s="35" t="inlineStr">
        <is>
          <t>5e</t>
        </is>
      </c>
      <c r="C67" s="35" t="inlineStr">
        <is>
          <t>Réaliser une réparation en suivant un protocole fourni.</t>
        </is>
      </c>
      <c r="D67" s="35" t="inlineStr">
        <is>
          <t>Thème 2</t>
        </is>
      </c>
      <c r="E67" s="35" t="inlineStr">
        <is>
          <t>D2, D3, D4</t>
        </is>
      </c>
      <c r="F67" s="35" t="inlineStr">
        <is>
          <t>Oui</t>
        </is>
      </c>
    </row>
    <row r="68" ht="25.5" customHeight="1">
      <c r="A68" s="66" t="inlineStr">
        <is>
          <t>5e_C5.3</t>
        </is>
      </c>
      <c r="B68" s="35" t="inlineStr">
        <is>
          <t>5e</t>
        </is>
      </c>
      <c r="C68" s="35" t="inlineStr">
        <is>
          <t>Découvrir les procédés de réalisation présents dans un atelier de fabrication collaboratif.</t>
        </is>
      </c>
      <c r="D68" s="35" t="inlineStr">
        <is>
          <t>Thème 2</t>
        </is>
      </c>
      <c r="E68" s="35" t="inlineStr">
        <is>
          <t>D2, D3, D4, D5</t>
        </is>
      </c>
      <c r="F68" s="35" t="inlineStr">
        <is>
          <t>Oui</t>
        </is>
      </c>
    </row>
    <row r="69" ht="25.5" customHeight="1">
      <c r="A69" s="66" t="inlineStr">
        <is>
          <t>4e_C5.1</t>
        </is>
      </c>
      <c r="B69" s="35" t="inlineStr">
        <is>
          <t>4e</t>
        </is>
      </c>
      <c r="C69" s="35" t="inlineStr">
        <is>
          <t>Proposer un protocole permettant de vérifier l’origine d’un dysfonctionnement.</t>
        </is>
      </c>
      <c r="D69" s="35" t="inlineStr">
        <is>
          <t>Thème 2</t>
        </is>
      </c>
      <c r="E69" s="35" t="inlineStr">
        <is>
          <t>D1.3, D2, D4</t>
        </is>
      </c>
      <c r="F69" s="35" t="inlineStr">
        <is>
          <t>Oui</t>
        </is>
      </c>
    </row>
    <row r="70" ht="25.5" customHeight="1">
      <c r="A70" s="66" t="inlineStr">
        <is>
          <t>4e_C5.2</t>
        </is>
      </c>
      <c r="B70" s="35" t="inlineStr">
        <is>
          <t>4e</t>
        </is>
      </c>
      <c r="C70" s="35" t="inlineStr">
        <is>
          <t>Remplacer une pièce défectueuse sans protocole fourni (la pièce de remplacement étant fournie).</t>
        </is>
      </c>
      <c r="D70" s="35" t="inlineStr">
        <is>
          <t>Thème 2</t>
        </is>
      </c>
      <c r="E70" s="35" t="inlineStr">
        <is>
          <t>D2, D3, D4</t>
        </is>
      </c>
      <c r="F70" s="35" t="inlineStr">
        <is>
          <t>Oui</t>
        </is>
      </c>
    </row>
    <row r="71" ht="25.5" customHeight="1">
      <c r="A71" s="66" t="inlineStr">
        <is>
          <t>4e_C5.3</t>
        </is>
      </c>
      <c r="B71" s="35" t="inlineStr">
        <is>
          <t>4e</t>
        </is>
      </c>
      <c r="C71" s="35" t="inlineStr">
        <is>
          <t>Choisir les procédés de réalisation et les mettre en œuvre.</t>
        </is>
      </c>
      <c r="D71" s="35" t="inlineStr">
        <is>
          <t>Thème 2</t>
        </is>
      </c>
      <c r="E71" s="35" t="inlineStr">
        <is>
          <t>D2, D3, D4</t>
        </is>
      </c>
      <c r="F71" s="35" t="inlineStr">
        <is>
          <t>Oui</t>
        </is>
      </c>
    </row>
    <row r="72" ht="25.5" customHeight="1">
      <c r="A72" s="66" t="inlineStr">
        <is>
          <t>3e_C5.1</t>
        </is>
      </c>
      <c r="B72" s="35" t="inlineStr">
        <is>
          <t>3e</t>
        </is>
      </c>
      <c r="C72" s="35" t="inlineStr">
        <is>
          <t>Formuler des hypothèses expliquant le dysfonctionnement d’un objet technique.</t>
        </is>
      </c>
      <c r="D72" s="35" t="inlineStr">
        <is>
          <t>Thème 2</t>
        </is>
      </c>
      <c r="E72" s="35" t="inlineStr">
        <is>
          <t>D1.3, D2, D4</t>
        </is>
      </c>
      <c r="F72" s="35" t="inlineStr">
        <is>
          <t>Oui</t>
        </is>
      </c>
    </row>
    <row r="73" ht="25.5" customHeight="1">
      <c r="A73" s="66" t="inlineStr">
        <is>
          <t>3e_C5.2</t>
        </is>
      </c>
      <c r="B73" s="35" t="inlineStr">
        <is>
          <t>3e</t>
        </is>
      </c>
      <c r="C73" s="35" t="inlineStr">
        <is>
          <t>Proposer un protocole de dépannage puis de réparation.</t>
        </is>
      </c>
      <c r="D73" s="35" t="inlineStr">
        <is>
          <t>Thème 2</t>
        </is>
      </c>
      <c r="E73" s="35" t="inlineStr">
        <is>
          <t>D1.3, D2, D4</t>
        </is>
      </c>
      <c r="F73" s="35" t="inlineStr">
        <is>
          <t>Oui</t>
        </is>
      </c>
    </row>
    <row r="74" ht="25.5" customHeight="1">
      <c r="A74" s="66" t="inlineStr">
        <is>
          <t>3e_C5.3</t>
        </is>
      </c>
      <c r="B74" s="35" t="inlineStr">
        <is>
          <t>3e</t>
        </is>
      </c>
      <c r="C74" s="35" t="inlineStr">
        <is>
          <t>Réaliser le dépannage ou la réparation d’un système défectueux.</t>
        </is>
      </c>
      <c r="D74" s="35" t="inlineStr">
        <is>
          <t>Thème 2</t>
        </is>
      </c>
      <c r="E74" s="35" t="inlineStr">
        <is>
          <t>D2, D3, D4</t>
        </is>
      </c>
      <c r="F74" s="35" t="inlineStr">
        <is>
          <t>Oui</t>
        </is>
      </c>
    </row>
    <row r="75" ht="25.5" customHeight="1">
      <c r="A75" s="66" t="inlineStr">
        <is>
          <t>3e_C5.4</t>
        </is>
      </c>
      <c r="B75" s="35" t="inlineStr">
        <is>
          <t>3e</t>
        </is>
      </c>
      <c r="C75" s="35" t="inlineStr">
        <is>
          <t>Réaliser une pièce sur mesure pour réparer un objet technique.</t>
        </is>
      </c>
      <c r="D75" s="35" t="inlineStr">
        <is>
          <t>Thème 2</t>
        </is>
      </c>
      <c r="E75" s="35" t="inlineStr">
        <is>
          <t>D2, D3, D4</t>
        </is>
      </c>
      <c r="F75" s="35" t="inlineStr">
        <is>
          <t>Oui</t>
        </is>
      </c>
    </row>
    <row r="76" ht="30" customHeight="1">
      <c r="A76" s="65" t="inlineStr">
        <is>
          <t>C6</t>
        </is>
      </c>
      <c r="B76" s="65" t="inlineStr">
        <is>
          <t>—</t>
        </is>
      </c>
      <c r="C76" s="65" t="inlineStr">
        <is>
          <t>Comprendre et modifier un programme associé à une fonctionnalité d’un objet ou d’un système technique</t>
        </is>
      </c>
      <c r="D76" s="65" t="inlineStr">
        <is>
          <t>Thème 2</t>
        </is>
      </c>
      <c r="E76" s="65" t="inlineStr">
        <is>
          <t>D1.3, D2, D4</t>
        </is>
      </c>
      <c r="F76" s="65" t="inlineStr">
        <is>
          <t>Oui</t>
        </is>
      </c>
    </row>
    <row r="77" ht="25.5" customHeight="1">
      <c r="A77" s="66" t="inlineStr">
        <is>
          <t>5e_C6.1</t>
        </is>
      </c>
      <c r="B77" s="35" t="inlineStr">
        <is>
          <t>5e</t>
        </is>
      </c>
      <c r="C77" s="35" t="inlineStr">
        <is>
          <t>Identifier les données utilisées et produites par le programme associé à une fonctionnalité d’un OST (à partir d’un programme existant).</t>
        </is>
      </c>
      <c r="D77" s="35" t="inlineStr">
        <is>
          <t>Thème 2</t>
        </is>
      </c>
      <c r="E77" s="35" t="inlineStr">
        <is>
          <t>D1.3, D2, D4</t>
        </is>
      </c>
      <c r="F77" s="35" t="inlineStr">
        <is>
          <t>Oui</t>
        </is>
      </c>
    </row>
    <row r="78" ht="25.5" customHeight="1">
      <c r="A78" s="66" t="inlineStr">
        <is>
          <t>5e_C6.2</t>
        </is>
      </c>
      <c r="B78" s="35" t="inlineStr">
        <is>
          <t>5e</t>
        </is>
      </c>
      <c r="C78" s="35" t="inlineStr">
        <is>
          <t>Comprendre et traduire en un algorithme en langage naturel le programme associé à une fonctionnalité d’un OST.</t>
        </is>
      </c>
      <c r="D78" s="35" t="inlineStr">
        <is>
          <t>Thème 2</t>
        </is>
      </c>
      <c r="E78" s="35" t="inlineStr">
        <is>
          <t>D1.3, D4</t>
        </is>
      </c>
      <c r="F78" s="35" t="inlineStr">
        <is>
          <t>Oui</t>
        </is>
      </c>
    </row>
    <row r="79" ht="25.5" customHeight="1">
      <c r="A79" s="66" t="inlineStr">
        <is>
          <t>5e_C6.3</t>
        </is>
      </c>
      <c r="B79" s="35" t="inlineStr">
        <is>
          <t>5e</t>
        </is>
      </c>
      <c r="C79" s="35" t="inlineStr">
        <is>
          <t>Modifier les paramètres d’un programme et identifier ou évaluer ses effets en termes de fonctionnalité.</t>
        </is>
      </c>
      <c r="D79" s="35" t="inlineStr">
        <is>
          <t>Thème 2</t>
        </is>
      </c>
      <c r="E79" s="35" t="inlineStr">
        <is>
          <t>D1.3, D4</t>
        </is>
      </c>
      <c r="F79" s="35" t="inlineStr">
        <is>
          <t>Oui</t>
        </is>
      </c>
    </row>
    <row r="80" ht="25.5" customHeight="1">
      <c r="A80" s="66" t="inlineStr">
        <is>
          <t>4e_C6.1</t>
        </is>
      </c>
      <c r="B80" s="35" t="inlineStr">
        <is>
          <t>4e</t>
        </is>
      </c>
      <c r="C80" s="35" t="inlineStr">
        <is>
          <t>Analyser les données et en déduire des modifications à apporter au programme.</t>
        </is>
      </c>
      <c r="D80" s="35" t="inlineStr">
        <is>
          <t>Thème 2</t>
        </is>
      </c>
      <c r="E80" s="35" t="inlineStr">
        <is>
          <t>D1.3, D2, D4</t>
        </is>
      </c>
      <c r="F80" s="35" t="inlineStr">
        <is>
          <t>Oui</t>
        </is>
      </c>
    </row>
    <row r="81" ht="25.5" customHeight="1">
      <c r="A81" s="66" t="inlineStr">
        <is>
          <t>4e_C6.2</t>
        </is>
      </c>
      <c r="B81" s="35" t="inlineStr">
        <is>
          <t>4e</t>
        </is>
      </c>
      <c r="C81" s="35" t="inlineStr">
        <is>
          <t>Compléter un programme pour répondre à une fonctionnalité d’un OST.</t>
        </is>
      </c>
      <c r="D81" s="35" t="inlineStr">
        <is>
          <t>Thème 2</t>
        </is>
      </c>
      <c r="E81" s="35" t="inlineStr">
        <is>
          <t>D1.3, D2, D4</t>
        </is>
      </c>
      <c r="F81" s="35" t="inlineStr">
        <is>
          <t>Oui</t>
        </is>
      </c>
    </row>
    <row r="82" ht="25.5" customHeight="1">
      <c r="A82" s="66" t="inlineStr">
        <is>
          <t>4e_C6.3</t>
        </is>
      </c>
      <c r="B82" s="35" t="inlineStr">
        <is>
          <t>4e</t>
        </is>
      </c>
      <c r="C82" s="35" t="inlineStr">
        <is>
          <t>Tester et valider, dans un environnement simulé ou réel, une modification du programme.</t>
        </is>
      </c>
      <c r="D82" s="35" t="inlineStr">
        <is>
          <t>Thème 2</t>
        </is>
      </c>
      <c r="E82" s="35" t="inlineStr">
        <is>
          <t>D1.3, D2, D4</t>
        </is>
      </c>
      <c r="F82" s="35" t="inlineStr">
        <is>
          <t>Oui</t>
        </is>
      </c>
    </row>
    <row r="83" ht="25.5" customHeight="1">
      <c r="A83" s="66" t="inlineStr">
        <is>
          <t>3e_C6.1</t>
        </is>
      </c>
      <c r="B83" s="35" t="inlineStr">
        <is>
          <t>3e</t>
        </is>
      </c>
      <c r="C83" s="35" t="inlineStr">
        <is>
          <t>Déterminer les données utilisées et produites par un programme associé à une fonctionnalité en vue de le modifier.</t>
        </is>
      </c>
      <c r="D83" s="35" t="inlineStr">
        <is>
          <t>Thème 2</t>
        </is>
      </c>
      <c r="E83" s="35" t="inlineStr">
        <is>
          <t>D1.3, D2, D4</t>
        </is>
      </c>
      <c r="F83" s="35" t="inlineStr">
        <is>
          <t>Oui</t>
        </is>
      </c>
    </row>
    <row r="84" ht="25.5" customHeight="1">
      <c r="A84" s="66" t="inlineStr">
        <is>
          <t>3e_C6.2</t>
        </is>
      </c>
      <c r="B84" s="35" t="inlineStr">
        <is>
          <t>3e</t>
        </is>
      </c>
      <c r="C84" s="35" t="inlineStr">
        <is>
          <t>Programmer un algorithme lié à une nouvelle fonctionnalité.</t>
        </is>
      </c>
      <c r="D84" s="35" t="inlineStr">
        <is>
          <t>Thème 2</t>
        </is>
      </c>
      <c r="E84" s="35" t="inlineStr">
        <is>
          <t>D1.3, D2, D4</t>
        </is>
      </c>
      <c r="F84" s="35" t="inlineStr">
        <is>
          <t>Oui</t>
        </is>
      </c>
    </row>
    <row r="85" ht="25.5" customHeight="1">
      <c r="A85" s="66" t="inlineStr">
        <is>
          <t>3e_C6.3</t>
        </is>
      </c>
      <c r="B85" s="35" t="inlineStr">
        <is>
          <t>3e</t>
        </is>
      </c>
      <c r="C85" s="35" t="inlineStr">
        <is>
          <t>Modifier et tester le programme associé à une nouvelle fonctionnalité d’un OST.</t>
        </is>
      </c>
      <c r="D85" s="35" t="inlineStr">
        <is>
          <t>Thème 2</t>
        </is>
      </c>
      <c r="E85" s="35" t="inlineStr">
        <is>
          <t>D1.3, D2, D4</t>
        </is>
      </c>
      <c r="F85" s="35" t="inlineStr">
        <is>
          <t>Oui</t>
        </is>
      </c>
    </row>
    <row r="86" ht="30" customHeight="1">
      <c r="A86" s="65" t="inlineStr">
        <is>
          <t>C7</t>
        </is>
      </c>
      <c r="B86" s="65" t="inlineStr">
        <is>
          <t>—</t>
        </is>
      </c>
      <c r="C86" s="65" t="inlineStr">
        <is>
          <t>Imaginer, concevoir et réaliser une ou des solutions en réponse à un besoin, à des exigences (de développement durable, par exemple) ou à la nécessité d’améliorations dans une démarche de créativité</t>
        </is>
      </c>
      <c r="D86" s="65" t="inlineStr">
        <is>
          <t>Thème 3 : Création, conception, réalisation, innovations : des objets à concevoir et à réaliser</t>
        </is>
      </c>
      <c r="E86" s="65" t="inlineStr">
        <is>
          <t>D2, D3, D4, D5</t>
        </is>
      </c>
      <c r="F86" s="65" t="inlineStr">
        <is>
          <t>Oui</t>
        </is>
      </c>
    </row>
    <row r="87" ht="25.5" customHeight="1">
      <c r="A87" s="66" t="inlineStr">
        <is>
          <t>5e_C7.1</t>
        </is>
      </c>
      <c r="B87" s="35" t="inlineStr">
        <is>
          <t>5e</t>
        </is>
      </c>
      <c r="C87" s="35" t="inlineStr">
        <is>
          <t>Suivre un processus de conception et de réalisation dans une durée, avec des tâches identifiées.</t>
        </is>
      </c>
      <c r="D87" s="35" t="inlineStr">
        <is>
          <t>Thème 3</t>
        </is>
      </c>
      <c r="E87" s="35" t="inlineStr">
        <is>
          <t>D2, D4, D5</t>
        </is>
      </c>
      <c r="F87" s="35" t="inlineStr">
        <is>
          <t>Oui</t>
        </is>
      </c>
    </row>
    <row r="88" ht="25.5" customHeight="1">
      <c r="A88" s="66" t="inlineStr">
        <is>
          <t>5e_C7.2</t>
        </is>
      </c>
      <c r="B88" s="35" t="inlineStr">
        <is>
          <t>5e</t>
        </is>
      </c>
      <c r="C88" s="35" t="inlineStr">
        <is>
          <t>Fabriquer une solution pour améliorer un OST existant.</t>
        </is>
      </c>
      <c r="D88" s="35" t="inlineStr">
        <is>
          <t>Thème 3</t>
        </is>
      </c>
      <c r="E88" s="35" t="inlineStr">
        <is>
          <t>D2, D3, D4</t>
        </is>
      </c>
      <c r="F88" s="35" t="inlineStr">
        <is>
          <t>Oui</t>
        </is>
      </c>
    </row>
    <row r="89" ht="25.5" customHeight="1">
      <c r="A89" s="66" t="inlineStr">
        <is>
          <t>5e_C7.3</t>
        </is>
      </c>
      <c r="B89" s="35" t="inlineStr">
        <is>
          <t>5e</t>
        </is>
      </c>
      <c r="C89" s="35" t="inlineStr">
        <is>
          <t>Choisir un matériau parmi plusieurs proposés en fonction de leurs caractéristiques.</t>
        </is>
      </c>
      <c r="D89" s="35" t="inlineStr">
        <is>
          <t>Thème 3</t>
        </is>
      </c>
      <c r="E89" s="35" t="inlineStr">
        <is>
          <t>D3, D4, D5</t>
        </is>
      </c>
      <c r="F89" s="35" t="inlineStr">
        <is>
          <t>Oui</t>
        </is>
      </c>
    </row>
    <row r="90" ht="25.5" customHeight="1">
      <c r="A90" s="66" t="inlineStr">
        <is>
          <t>5e_C7.4</t>
        </is>
      </c>
      <c r="B90" s="35" t="inlineStr">
        <is>
          <t>5e</t>
        </is>
      </c>
      <c r="C90" s="35" t="inlineStr">
        <is>
          <t>Choisir une source d’énergie parmi plusieurs proposées et une forme d’énergie possible.</t>
        </is>
      </c>
      <c r="D90" s="35" t="inlineStr">
        <is>
          <t>Thème 3</t>
        </is>
      </c>
      <c r="E90" s="35" t="inlineStr">
        <is>
          <t>D3, D4, D5</t>
        </is>
      </c>
      <c r="F90" s="35" t="inlineStr">
        <is>
          <t>Oui</t>
        </is>
      </c>
    </row>
    <row r="91" ht="25.5" customHeight="1">
      <c r="A91" s="66" t="inlineStr">
        <is>
          <t>5e_C7.5</t>
        </is>
      </c>
      <c r="B91" s="35" t="inlineStr">
        <is>
          <t>5e</t>
        </is>
      </c>
      <c r="C91" s="35" t="inlineStr">
        <is>
          <t>Assembler les constituants fournis pour réaliser un prototype.</t>
        </is>
      </c>
      <c r="D91" s="35" t="inlineStr">
        <is>
          <t>Thème 3</t>
        </is>
      </c>
      <c r="E91" s="35" t="inlineStr">
        <is>
          <t>D2, D3, D4</t>
        </is>
      </c>
      <c r="F91" s="35" t="inlineStr">
        <is>
          <t>Oui</t>
        </is>
      </c>
    </row>
    <row r="92" ht="25.5" customHeight="1">
      <c r="A92" s="66" t="inlineStr">
        <is>
          <t>5e_C7.6</t>
        </is>
      </c>
      <c r="B92" s="35" t="inlineStr">
        <is>
          <t>5e</t>
        </is>
      </c>
      <c r="C92" s="35" t="inlineStr">
        <is>
          <t>Mettre en œuvre les moyens pour réaliser une forme selon une procédure fournie.</t>
        </is>
      </c>
      <c r="D92" s="35" t="inlineStr">
        <is>
          <t>Thème 3</t>
        </is>
      </c>
      <c r="E92" s="35" t="inlineStr">
        <is>
          <t>D2, D3, D4</t>
        </is>
      </c>
      <c r="F92" s="35" t="inlineStr">
        <is>
          <t>Oui</t>
        </is>
      </c>
    </row>
    <row r="93" ht="25.5" customHeight="1">
      <c r="A93" s="66" t="inlineStr">
        <is>
          <t>4e_C7.1</t>
        </is>
      </c>
      <c r="B93" s="35" t="inlineStr">
        <is>
          <t>4e</t>
        </is>
      </c>
      <c r="C93" s="35" t="inlineStr">
        <is>
          <t>Organiser un processus de conception et de réalisation dans une durée, avec des tâches identifiées.</t>
        </is>
      </c>
      <c r="D93" s="35" t="inlineStr">
        <is>
          <t>Thème 3</t>
        </is>
      </c>
      <c r="E93" s="35" t="inlineStr">
        <is>
          <t>D2, D4, D5</t>
        </is>
      </c>
      <c r="F93" s="35" t="inlineStr">
        <is>
          <t>Oui</t>
        </is>
      </c>
    </row>
    <row r="94" ht="25.5" customHeight="1">
      <c r="A94" s="66" t="inlineStr">
        <is>
          <t>4e_C7.2</t>
        </is>
      </c>
      <c r="B94" s="35" t="inlineStr">
        <is>
          <t>4e</t>
        </is>
      </c>
      <c r="C94" s="35" t="inlineStr">
        <is>
          <t>Proposer et fabriquer une solution pour ajouter une nouvelle fonction à un OST (croquis, schéma, graphique, algorithme, modélisation).</t>
        </is>
      </c>
      <c r="D94" s="35" t="inlineStr">
        <is>
          <t>Thème 3</t>
        </is>
      </c>
      <c r="E94" s="35" t="inlineStr">
        <is>
          <t>D2, D3, D4</t>
        </is>
      </c>
      <c r="F94" s="35" t="inlineStr">
        <is>
          <t>Oui</t>
        </is>
      </c>
    </row>
    <row r="95" ht="25.5" customHeight="1">
      <c r="A95" s="66" t="inlineStr">
        <is>
          <t>4e_C7.3</t>
        </is>
      </c>
      <c r="B95" s="35" t="inlineStr">
        <is>
          <t>4e</t>
        </is>
      </c>
      <c r="C95" s="35" t="inlineStr">
        <is>
          <t>Comparer différents matériaux pour choisir le plus adapté.</t>
        </is>
      </c>
      <c r="D95" s="35" t="inlineStr">
        <is>
          <t>Thème 3</t>
        </is>
      </c>
      <c r="E95" s="35" t="inlineStr">
        <is>
          <t>D3, D4, D5</t>
        </is>
      </c>
      <c r="F95" s="35" t="inlineStr">
        <is>
          <t>Oui</t>
        </is>
      </c>
    </row>
    <row r="96" ht="25.5" customHeight="1">
      <c r="A96" s="66" t="inlineStr">
        <is>
          <t>4e_C7.4</t>
        </is>
      </c>
      <c r="B96" s="35" t="inlineStr">
        <is>
          <t>4e</t>
        </is>
      </c>
      <c r="C96" s="35" t="inlineStr">
        <is>
          <t>Comparer différentes sources d’énergie pour choisir la plus adaptée.</t>
        </is>
      </c>
      <c r="D96" s="35" t="inlineStr">
        <is>
          <t>Thème 3</t>
        </is>
      </c>
      <c r="E96" s="35" t="inlineStr">
        <is>
          <t>D3, D4, D5</t>
        </is>
      </c>
      <c r="F96" s="35" t="inlineStr">
        <is>
          <t>Oui</t>
        </is>
      </c>
    </row>
    <row r="97" ht="25.5" customHeight="1">
      <c r="A97" s="66" t="inlineStr">
        <is>
          <t>4e_C7.5</t>
        </is>
      </c>
      <c r="B97" s="35" t="inlineStr">
        <is>
          <t>4e</t>
        </is>
      </c>
      <c r="C97" s="35" t="inlineStr">
        <is>
          <t>Identifier les constituants manquants dans un prototype et le compléter.</t>
        </is>
      </c>
      <c r="D97" s="35" t="inlineStr">
        <is>
          <t>Thème 3</t>
        </is>
      </c>
      <c r="E97" s="35" t="inlineStr">
        <is>
          <t>D2, D3, D4</t>
        </is>
      </c>
      <c r="F97" s="35" t="inlineStr">
        <is>
          <t>Oui</t>
        </is>
      </c>
    </row>
    <row r="98" ht="25.5" customHeight="1">
      <c r="A98" s="66" t="inlineStr">
        <is>
          <t>4e_C7.6</t>
        </is>
      </c>
      <c r="B98" s="35" t="inlineStr">
        <is>
          <t>4e</t>
        </is>
      </c>
      <c r="C98" s="35" t="inlineStr">
        <is>
          <t>Modifier une forme à l’aide d’une modélisation.</t>
        </is>
      </c>
      <c r="D98" s="35" t="inlineStr">
        <is>
          <t>Thème 3</t>
        </is>
      </c>
      <c r="E98" s="35" t="inlineStr">
        <is>
          <t>D2, D3, D4</t>
        </is>
      </c>
      <c r="F98" s="35" t="inlineStr">
        <is>
          <t>Oui</t>
        </is>
      </c>
    </row>
    <row r="99" ht="25.5" customHeight="1">
      <c r="A99" s="66" t="inlineStr">
        <is>
          <t>4e_C7.7</t>
        </is>
      </c>
      <c r="B99" s="35" t="inlineStr">
        <is>
          <t>4e</t>
        </is>
      </c>
      <c r="C99" s="35" t="inlineStr">
        <is>
          <t>Choisir les moyens et produire la forme voulue.</t>
        </is>
      </c>
      <c r="D99" s="35" t="inlineStr">
        <is>
          <t>Thème 3</t>
        </is>
      </c>
      <c r="E99" s="35" t="inlineStr">
        <is>
          <t>D2, D3, D4</t>
        </is>
      </c>
      <c r="F99" s="35" t="inlineStr">
        <is>
          <t>Oui</t>
        </is>
      </c>
    </row>
    <row r="100" ht="25.5" customHeight="1">
      <c r="A100" s="66" t="inlineStr">
        <is>
          <t>4e_C7.8</t>
        </is>
      </c>
      <c r="B100" s="35" t="inlineStr">
        <is>
          <t>4e</t>
        </is>
      </c>
      <c r="C100" s="35" t="inlineStr">
        <is>
          <t>Interfacer un objet technique avec un réseau.</t>
        </is>
      </c>
      <c r="D100" s="35" t="inlineStr">
        <is>
          <t>Thème 3</t>
        </is>
      </c>
      <c r="E100" s="35" t="inlineStr">
        <is>
          <t>D2, D3, D4</t>
        </is>
      </c>
      <c r="F100" s="35" t="inlineStr">
        <is>
          <t>Oui</t>
        </is>
      </c>
    </row>
    <row r="101" ht="25.5" customHeight="1">
      <c r="A101" s="66" t="inlineStr">
        <is>
          <t>3e_C7.1</t>
        </is>
      </c>
      <c r="B101" s="35" t="inlineStr">
        <is>
          <t>3e</t>
        </is>
      </c>
      <c r="C101" s="35" t="inlineStr">
        <is>
          <t>Élaborer un processus de conception et de réalisation dans une durée, avec des tâches identifiées.</t>
        </is>
      </c>
      <c r="D101" s="35" t="inlineStr">
        <is>
          <t>Thème 3</t>
        </is>
      </c>
      <c r="E101" s="35" t="inlineStr">
        <is>
          <t>D2, D4, D5</t>
        </is>
      </c>
      <c r="F101" s="35" t="inlineStr">
        <is>
          <t>Oui</t>
        </is>
      </c>
    </row>
    <row r="102" ht="25.5" customHeight="1">
      <c r="A102" s="66" t="inlineStr">
        <is>
          <t>3e_C7.2</t>
        </is>
      </c>
      <c r="B102" s="35" t="inlineStr">
        <is>
          <t>3e</t>
        </is>
      </c>
      <c r="C102" s="35" t="inlineStr">
        <is>
          <t>Proposer et fabriquer un ensemble de solutions pour produire un nouvel OST (croquis, schéma, graphique, algorithme, modélisation).</t>
        </is>
      </c>
      <c r="D102" s="35" t="inlineStr">
        <is>
          <t>Thème 3</t>
        </is>
      </c>
      <c r="E102" s="35" t="inlineStr">
        <is>
          <t>D2, D3, D4</t>
        </is>
      </c>
      <c r="F102" s="35" t="inlineStr">
        <is>
          <t>Oui</t>
        </is>
      </c>
    </row>
    <row r="103" ht="25.5" customHeight="1">
      <c r="A103" s="66" t="inlineStr">
        <is>
          <t>3e_C7.3</t>
        </is>
      </c>
      <c r="B103" s="35" t="inlineStr">
        <is>
          <t>3e</t>
        </is>
      </c>
      <c r="C103" s="35" t="inlineStr">
        <is>
          <t>Choisir un matériau constitutif d’un objet et/ou système technique.</t>
        </is>
      </c>
      <c r="D103" s="35" t="inlineStr">
        <is>
          <t>Thème 3</t>
        </is>
      </c>
      <c r="E103" s="35" t="inlineStr">
        <is>
          <t>D3, D4, D5</t>
        </is>
      </c>
      <c r="F103" s="35" t="inlineStr">
        <is>
          <t>Oui</t>
        </is>
      </c>
    </row>
    <row r="104" ht="25.5" customHeight="1">
      <c r="A104" s="66" t="inlineStr">
        <is>
          <t>3e_C7.4</t>
        </is>
      </c>
      <c r="B104" s="35" t="inlineStr">
        <is>
          <t>3e</t>
        </is>
      </c>
      <c r="C104" s="35" t="inlineStr">
        <is>
          <t>Choisir une source d’énergie pour un OST.</t>
        </is>
      </c>
      <c r="D104" s="35" t="inlineStr">
        <is>
          <t>Thème 3</t>
        </is>
      </c>
      <c r="E104" s="35" t="inlineStr">
        <is>
          <t>D3, D4, D5</t>
        </is>
      </c>
      <c r="F104" s="35" t="inlineStr">
        <is>
          <t>Oui</t>
        </is>
      </c>
    </row>
    <row r="105" ht="25.5" customHeight="1">
      <c r="A105" s="66" t="inlineStr">
        <is>
          <t>3e_C7.5</t>
        </is>
      </c>
      <c r="B105" s="35" t="inlineStr">
        <is>
          <t>3e</t>
        </is>
      </c>
      <c r="C105" s="35" t="inlineStr">
        <is>
          <t>Choisir les constituants et assembler un prototype.</t>
        </is>
      </c>
      <c r="D105" s="35" t="inlineStr">
        <is>
          <t>Thème 3</t>
        </is>
      </c>
      <c r="E105" s="35" t="inlineStr">
        <is>
          <t>D2, D3, D4</t>
        </is>
      </c>
      <c r="F105" s="35" t="inlineStr">
        <is>
          <t>Oui</t>
        </is>
      </c>
    </row>
    <row r="106" ht="25.5" customHeight="1">
      <c r="A106" s="66" t="inlineStr">
        <is>
          <t>3e_C7.6</t>
        </is>
      </c>
      <c r="B106" s="35" t="inlineStr">
        <is>
          <t>3e</t>
        </is>
      </c>
      <c r="C106" s="35" t="inlineStr">
        <is>
          <t>Modéliser une forme voulue.</t>
        </is>
      </c>
      <c r="D106" s="35" t="inlineStr">
        <is>
          <t>Thème 3</t>
        </is>
      </c>
      <c r="E106" s="35" t="inlineStr">
        <is>
          <t>D2, D3, D4</t>
        </is>
      </c>
      <c r="F106" s="35" t="inlineStr">
        <is>
          <t>Oui</t>
        </is>
      </c>
    </row>
    <row r="107" ht="25.5" customHeight="1">
      <c r="A107" s="66" t="inlineStr">
        <is>
          <t>3e_C7.7</t>
        </is>
      </c>
      <c r="B107" s="35" t="inlineStr">
        <is>
          <t>3e</t>
        </is>
      </c>
      <c r="C107" s="35" t="inlineStr">
        <is>
          <t>Choisir les moyens et produire la forme voulue.</t>
        </is>
      </c>
      <c r="D107" s="35" t="inlineStr">
        <is>
          <t>Thème 3</t>
        </is>
      </c>
      <c r="E107" s="35" t="inlineStr">
        <is>
          <t>D2, D3, D4</t>
        </is>
      </c>
      <c r="F107" s="35" t="inlineStr">
        <is>
          <t>Oui</t>
        </is>
      </c>
    </row>
    <row r="108" ht="25.5" customHeight="1">
      <c r="A108" s="66" t="inlineStr">
        <is>
          <t>3e_C7.8</t>
        </is>
      </c>
      <c r="B108" s="35" t="inlineStr">
        <is>
          <t>3e</t>
        </is>
      </c>
      <c r="C108" s="35" t="inlineStr">
        <is>
          <t>Interfacer deux objets techniques communicants.</t>
        </is>
      </c>
      <c r="D108" s="35" t="inlineStr">
        <is>
          <t>Thème 3</t>
        </is>
      </c>
      <c r="E108" s="35" t="inlineStr">
        <is>
          <t>D2, D3, D4</t>
        </is>
      </c>
      <c r="F108" s="35" t="inlineStr">
        <is>
          <t>Oui</t>
        </is>
      </c>
    </row>
    <row r="109" ht="30" customHeight="1">
      <c r="A109" s="65" t="inlineStr">
        <is>
          <t>C8</t>
        </is>
      </c>
      <c r="B109" s="65" t="inlineStr">
        <is>
          <t>—</t>
        </is>
      </c>
      <c r="C109" s="65" t="inlineStr">
        <is>
          <t>Valider les solutions techniques par des simulations ou par des protocoles de tests</t>
        </is>
      </c>
      <c r="D109" s="65" t="inlineStr">
        <is>
          <t>Thème 3</t>
        </is>
      </c>
      <c r="E109" s="65" t="inlineStr">
        <is>
          <t>D1.3, D2, D3, D4, D5</t>
        </is>
      </c>
      <c r="F109" s="65" t="inlineStr">
        <is>
          <t>Oui</t>
        </is>
      </c>
    </row>
    <row r="110" ht="25.5" customHeight="1">
      <c r="A110" s="66" t="inlineStr">
        <is>
          <t>5e_C8.1</t>
        </is>
      </c>
      <c r="B110" s="35" t="inlineStr">
        <is>
          <t>5e</t>
        </is>
      </c>
      <c r="C110" s="35" t="inlineStr">
        <is>
          <t>Utiliser une simulation fournie pour valider la tenue mécanique d’un matériau.</t>
        </is>
      </c>
      <c r="D110" s="35" t="inlineStr">
        <is>
          <t>Thème 3</t>
        </is>
      </c>
      <c r="E110" s="35" t="inlineStr">
        <is>
          <t>D1.3, D2, D4</t>
        </is>
      </c>
      <c r="F110" s="35" t="inlineStr">
        <is>
          <t>Oui</t>
        </is>
      </c>
    </row>
    <row r="111" ht="25.5" customHeight="1">
      <c r="A111" s="66" t="inlineStr">
        <is>
          <t>5e_C8.2</t>
        </is>
      </c>
      <c r="B111" s="35" t="inlineStr">
        <is>
          <t>5e</t>
        </is>
      </c>
      <c r="C111" s="35" t="inlineStr">
        <is>
          <t>Mettre en œuvre un protocole de test fourni pour valider la tenue mécanique d’un matériau.</t>
        </is>
      </c>
      <c r="D111" s="35" t="inlineStr">
        <is>
          <t>Thème 3</t>
        </is>
      </c>
      <c r="E111" s="35" t="inlineStr">
        <is>
          <t>D1.3, D2, D3, D4</t>
        </is>
      </c>
      <c r="F111" s="35" t="inlineStr">
        <is>
          <t>Oui</t>
        </is>
      </c>
    </row>
    <row r="112" ht="25.5" customHeight="1">
      <c r="A112" s="66" t="inlineStr">
        <is>
          <t>5e_C8.3</t>
        </is>
      </c>
      <c r="B112" s="35" t="inlineStr">
        <is>
          <t>5e</t>
        </is>
      </c>
      <c r="C112" s="35" t="inlineStr">
        <is>
          <t>Vérifier le comportement et les performances d’un objet technique en suivant un protocole fourni.</t>
        </is>
      </c>
      <c r="D112" s="35" t="inlineStr">
        <is>
          <t>Thème 3</t>
        </is>
      </c>
      <c r="E112" s="35" t="inlineStr">
        <is>
          <t>D1.3, D2, D4, D5</t>
        </is>
      </c>
      <c r="F112" s="35" t="inlineStr">
        <is>
          <t>Oui</t>
        </is>
      </c>
    </row>
    <row r="113" ht="25.5" customHeight="1">
      <c r="A113" s="66" t="inlineStr">
        <is>
          <t>4e_C8.1</t>
        </is>
      </c>
      <c r="B113" s="35" t="inlineStr">
        <is>
          <t>4e</t>
        </is>
      </c>
      <c r="C113" s="35" t="inlineStr">
        <is>
          <t>Paramétrer une simulation fournie pour valider la tenue mécanique d’un matériau.</t>
        </is>
      </c>
      <c r="D113" s="35" t="inlineStr">
        <is>
          <t>Thème 3</t>
        </is>
      </c>
      <c r="E113" s="35" t="inlineStr">
        <is>
          <t>D1.3, D2, D4</t>
        </is>
      </c>
      <c r="F113" s="35" t="inlineStr">
        <is>
          <t>Oui</t>
        </is>
      </c>
    </row>
    <row r="114" ht="25.5" customHeight="1">
      <c r="A114" s="66" t="inlineStr">
        <is>
          <t>4e_C8.2</t>
        </is>
      </c>
      <c r="B114" s="35" t="inlineStr">
        <is>
          <t>4e</t>
        </is>
      </c>
      <c r="C114" s="35" t="inlineStr">
        <is>
          <t>Proposer un protocole de test pour valider la tenue mécanique d’un matériau.</t>
        </is>
      </c>
      <c r="D114" s="35" t="inlineStr">
        <is>
          <t>Thème 3</t>
        </is>
      </c>
      <c r="E114" s="35" t="inlineStr">
        <is>
          <t>D1.3, D2, D3, D4</t>
        </is>
      </c>
      <c r="F114" s="35" t="inlineStr">
        <is>
          <t>Oui</t>
        </is>
      </c>
    </row>
    <row r="115" ht="25.5" customHeight="1">
      <c r="A115" s="66" t="inlineStr">
        <is>
          <t>4e_C8.3</t>
        </is>
      </c>
      <c r="B115" s="35" t="inlineStr">
        <is>
          <t>4e</t>
        </is>
      </c>
      <c r="C115" s="35" t="inlineStr">
        <is>
          <t>Proposer un protocole de test pour valider le comportement et les performances d’un objet technique.</t>
        </is>
      </c>
      <c r="D115" s="35" t="inlineStr">
        <is>
          <t>Thème 3</t>
        </is>
      </c>
      <c r="E115" s="35" t="inlineStr">
        <is>
          <t>D1.3, D2, D3, D4, D5</t>
        </is>
      </c>
      <c r="F115" s="35" t="inlineStr">
        <is>
          <t>Oui</t>
        </is>
      </c>
    </row>
    <row r="116" ht="25.5" customHeight="1">
      <c r="A116" s="66" t="inlineStr">
        <is>
          <t>3e_C8.1</t>
        </is>
      </c>
      <c r="B116" s="35" t="inlineStr">
        <is>
          <t>3e</t>
        </is>
      </c>
      <c r="C116" s="35" t="inlineStr">
        <is>
          <t>Mettre en œuvre une simulation pour valider la tenue mécanique d’un matériau.</t>
        </is>
      </c>
      <c r="D116" s="35" t="inlineStr">
        <is>
          <t>Thème 3</t>
        </is>
      </c>
      <c r="E116" s="35" t="inlineStr">
        <is>
          <t>D1.3, D2, D4</t>
        </is>
      </c>
      <c r="F116" s="35" t="inlineStr">
        <is>
          <t>Oui</t>
        </is>
      </c>
    </row>
    <row r="117" ht="25.5" customHeight="1">
      <c r="A117" s="66" t="inlineStr">
        <is>
          <t>3e_C8.2</t>
        </is>
      </c>
      <c r="B117" s="35" t="inlineStr">
        <is>
          <t>3e</t>
        </is>
      </c>
      <c r="C117" s="35" t="inlineStr">
        <is>
          <t>Proposer un protocole de test pour valider la tenue mécanique d’un matériau.</t>
        </is>
      </c>
      <c r="D117" s="35" t="inlineStr">
        <is>
          <t>Thème 3</t>
        </is>
      </c>
      <c r="E117" s="35" t="inlineStr">
        <is>
          <t>D1.3, D2, D3, D4</t>
        </is>
      </c>
      <c r="F117" s="35" t="inlineStr">
        <is>
          <t>Oui</t>
        </is>
      </c>
    </row>
    <row r="118" ht="25.5" customHeight="1">
      <c r="A118" s="66" t="inlineStr">
        <is>
          <t>3e_C8.3</t>
        </is>
      </c>
      <c r="B118" s="35" t="inlineStr">
        <is>
          <t>3e</t>
        </is>
      </c>
      <c r="C118" s="35" t="inlineStr">
        <is>
          <t>Proposer un protocole de test pour valider le comportement et les performances d’un objet technique.</t>
        </is>
      </c>
      <c r="D118" s="35" t="inlineStr">
        <is>
          <t>Thème 3</t>
        </is>
      </c>
      <c r="E118" s="35" t="inlineStr">
        <is>
          <t>D1.3, D2, D3, D4, D5</t>
        </is>
      </c>
      <c r="F118" s="35" t="inlineStr">
        <is>
          <t>Oui</t>
        </is>
      </c>
    </row>
    <row r="119" ht="30" customHeight="1">
      <c r="A119" s="65" t="inlineStr">
        <is>
          <t>C9</t>
        </is>
      </c>
      <c r="B119" s="65" t="inlineStr">
        <is>
          <t>—</t>
        </is>
      </c>
      <c r="C119" s="65" t="inlineStr">
        <is>
          <t>Concevoir, écrire, tester et mettre au point un programme</t>
        </is>
      </c>
      <c r="D119" s="65" t="inlineStr">
        <is>
          <t>Thème 3</t>
        </is>
      </c>
      <c r="E119" s="65" t="inlineStr">
        <is>
          <t>D1.3, D2, D4</t>
        </is>
      </c>
      <c r="F119" s="65" t="inlineStr">
        <is>
          <t>Oui</t>
        </is>
      </c>
    </row>
    <row r="120" ht="25.5" customHeight="1">
      <c r="A120" s="66" t="inlineStr">
        <is>
          <t>5e_C9.1</t>
        </is>
      </c>
      <c r="B120" s="35" t="inlineStr">
        <is>
          <t>5e</t>
        </is>
      </c>
      <c r="C120" s="35" t="inlineStr">
        <is>
          <t>Analyser un programme simple fourni et tester s’il répond au besoin ou au problème posé.</t>
        </is>
      </c>
      <c r="D120" s="35" t="inlineStr">
        <is>
          <t>Thème 3</t>
        </is>
      </c>
      <c r="E120" s="35" t="inlineStr">
        <is>
          <t>D1.3, D2, D4</t>
        </is>
      </c>
      <c r="F120" s="35" t="inlineStr">
        <is>
          <t>Oui</t>
        </is>
      </c>
    </row>
    <row r="121" ht="25.5" customHeight="1">
      <c r="A121" s="66" t="inlineStr">
        <is>
          <t>5e_C9.2</t>
        </is>
      </c>
      <c r="B121" s="35" t="inlineStr">
        <is>
          <t>5e</t>
        </is>
      </c>
      <c r="C121" s="35" t="inlineStr">
        <is>
          <t>Modifier un programme fourni pour répondre au besoin ou à un problème posé.</t>
        </is>
      </c>
      <c r="D121" s="35" t="inlineStr">
        <is>
          <t>Thème 3</t>
        </is>
      </c>
      <c r="E121" s="35" t="inlineStr">
        <is>
          <t>D1.3, D2, D4</t>
        </is>
      </c>
      <c r="F121" s="35" t="inlineStr">
        <is>
          <t>Oui</t>
        </is>
      </c>
    </row>
    <row r="122" ht="25.5" customHeight="1">
      <c r="A122" s="66" t="inlineStr">
        <is>
          <t>5e_C9.3</t>
        </is>
      </c>
      <c r="B122" s="35" t="inlineStr">
        <is>
          <t>5e</t>
        </is>
      </c>
      <c r="C122" s="35" t="inlineStr">
        <is>
          <t>Réaliser et mettre au point un programme simple commandant un OST.</t>
        </is>
      </c>
      <c r="D122" s="35" t="inlineStr">
        <is>
          <t>Thème 3</t>
        </is>
      </c>
      <c r="E122" s="35" t="inlineStr">
        <is>
          <t>D1.3, D2, D4</t>
        </is>
      </c>
      <c r="F122" s="35" t="inlineStr">
        <is>
          <t>Oui</t>
        </is>
      </c>
    </row>
    <row r="123" ht="25.5" customHeight="1">
      <c r="A123" s="66" t="inlineStr">
        <is>
          <t>4e_C9.1</t>
        </is>
      </c>
      <c r="B123" s="35" t="inlineStr">
        <is>
          <t>4e</t>
        </is>
      </c>
      <c r="C123" s="35" t="inlineStr">
        <is>
          <t>Modifier un algorithme permettant de répondre au besoin ou au problème posé.</t>
        </is>
      </c>
      <c r="D123" s="35" t="inlineStr">
        <is>
          <t>Thème 3</t>
        </is>
      </c>
      <c r="E123" s="35" t="inlineStr">
        <is>
          <t>D1.3, D2, D4</t>
        </is>
      </c>
      <c r="F123" s="35" t="inlineStr">
        <is>
          <t>Oui</t>
        </is>
      </c>
    </row>
    <row r="124" ht="25.5" customHeight="1">
      <c r="A124" s="66" t="inlineStr">
        <is>
          <t>4e_C9.2</t>
        </is>
      </c>
      <c r="B124" s="35" t="inlineStr">
        <is>
          <t>4e</t>
        </is>
      </c>
      <c r="C124" s="35" t="inlineStr">
        <is>
          <t>Traduire un algorithme permettant de répondre à un besoin ou à un problème simple en un programme.</t>
        </is>
      </c>
      <c r="D124" s="35" t="inlineStr">
        <is>
          <t>Thème 3</t>
        </is>
      </c>
      <c r="E124" s="35" t="inlineStr">
        <is>
          <t>D1.3, D2, D4</t>
        </is>
      </c>
      <c r="F124" s="35" t="inlineStr">
        <is>
          <t>Oui</t>
        </is>
      </c>
    </row>
    <row r="125" ht="25.5" customHeight="1">
      <c r="A125" s="66" t="inlineStr">
        <is>
          <t>4e_C9.3</t>
        </is>
      </c>
      <c r="B125" s="35" t="inlineStr">
        <is>
          <t>4e</t>
        </is>
      </c>
      <c r="C125" s="35" t="inlineStr">
        <is>
          <t>Réaliser et mettre au point un programme commandant un système réel incluant éventuellement une interaction entre un humain et une machine.</t>
        </is>
      </c>
      <c r="D125" s="35" t="inlineStr">
        <is>
          <t>Thème 3</t>
        </is>
      </c>
      <c r="E125" s="35" t="inlineStr">
        <is>
          <t>D1.3, D2, D4</t>
        </is>
      </c>
      <c r="F125" s="35" t="inlineStr">
        <is>
          <t>Oui</t>
        </is>
      </c>
    </row>
    <row r="126" ht="39" customHeight="1">
      <c r="A126" s="66" t="inlineStr">
        <is>
          <t>3e_C9.1</t>
        </is>
      </c>
      <c r="B126" s="35" t="inlineStr">
        <is>
          <t>3e</t>
        </is>
      </c>
      <c r="C126" s="35" t="inlineStr">
        <is>
          <t>Élaborer ou concevoir un algorithme permettant de répondre au besoin visé, puis le traduire en un programme structuré (appel de sous-programmes ou de fonctions), le tester et le mettre au point.</t>
        </is>
      </c>
      <c r="D126" s="35" t="inlineStr">
        <is>
          <t>Thème 3</t>
        </is>
      </c>
      <c r="E126" s="35" t="inlineStr">
        <is>
          <t>D1.3, D2, D4</t>
        </is>
      </c>
      <c r="F126" s="35" t="inlineStr">
        <is>
          <t>Oui</t>
        </is>
      </c>
    </row>
    <row r="127" ht="25.5" customHeight="1">
      <c r="A127" s="66" t="inlineStr">
        <is>
          <t>3e_C9.2</t>
        </is>
      </c>
      <c r="B127" s="35" t="inlineStr">
        <is>
          <t>3e</t>
        </is>
      </c>
      <c r="C127" s="35" t="inlineStr">
        <is>
          <t>Réaliser et mettre au point un programme commandant un système réel incluant une interaction entre un humain et une machine.</t>
        </is>
      </c>
      <c r="D127" s="35" t="inlineStr">
        <is>
          <t>Thème 3</t>
        </is>
      </c>
      <c r="E127" s="35" t="inlineStr">
        <is>
          <t>D1.3, D2, D4</t>
        </is>
      </c>
      <c r="F127" s="35" t="inlineStr">
        <is>
          <t>Oui</t>
        </is>
      </c>
    </row>
    <row r="129" ht="15" customHeight="1">
      <c r="A129" s="91" t="inlineStr">
        <is>
          <t>114 sous-compétences listées · Source : BO n°9 du 29/02/2024 · codes Nathan (éd. 2024).</t>
        </is>
      </c>
    </row>
  </sheetData>
  <mergeCells count="3">
    <mergeCell ref="A2:F2"/>
    <mergeCell ref="A1:F1"/>
    <mergeCell ref="A129:F129"/>
  </mergeCells>
  <hyperlinks>
    <hyperlink xmlns:r="http://schemas.openxmlformats.org/officeDocument/2006/relationships" ref="F3" location="'🏠%20Accueil'!A1" r:id="rId1"/>
  </hyperlinks>
  <pageMargins left="0.75" right="0.75" top="1" bottom="1" header="0.511811023622047" footer="0.511811023622047"/>
  <pageSetup orientation="landscape" horizontalDpi="300" verticalDpi="300"/>
</worksheet>
</file>

<file path=xl/worksheets/sheet5.xml><?xml version="1.0" encoding="utf-8"?>
<worksheet xmlns="http://schemas.openxmlformats.org/spreadsheetml/2006/main">
  <sheetPr codeName="Feuil5">
    <tabColor rgb="FF7030A0"/>
    <outlinePr summaryBelow="1" summaryRight="1"/>
    <pageSetUpPr/>
  </sheetPr>
  <dimension ref="A1:F53"/>
  <sheetViews>
    <sheetView showGridLines="0" zoomScaleNormal="100" workbookViewId="0">
      <pane ySplit="4" topLeftCell="A5" activePane="bottomLeft" state="frozen"/>
      <selection pane="bottomLeft" activeCell="A1" sqref="A1"/>
    </sheetView>
  </sheetViews>
  <sheetFormatPr baseColWidth="10" defaultColWidth="8.69140625" defaultRowHeight="14.6"/>
  <cols>
    <col width="10" customWidth="1" min="1" max="1"/>
    <col width="8" customWidth="1" min="2" max="2"/>
    <col width="78" customWidth="1" min="3" max="3"/>
    <col width="12" customWidth="1" min="4" max="4"/>
    <col width="16" customWidth="1" min="5" max="5"/>
    <col width="11" customWidth="1" min="6" max="6"/>
  </cols>
  <sheetData>
    <row r="1" ht="18" customHeight="1">
      <c r="A1" s="92" t="inlineStr">
        <is>
          <t>RÉFÉRENTIEL DE COMPÉTENCES — TECHNOLOGIE 4e</t>
        </is>
      </c>
    </row>
    <row r="2" ht="15" customHeight="1">
      <c r="A2" s="91" t="inlineStr">
        <is>
          <t>Les compétences parentes C1 → C9 et leurs déclinaisons du niveau 4e — celles travaillées dans ce classeur</t>
        </is>
      </c>
    </row>
    <row r="3" ht="15" customHeight="1">
      <c r="F3" s="90" t="inlineStr">
        <is>
          <t>◀ Accueil</t>
        </is>
      </c>
    </row>
    <row r="4" ht="15" customHeight="1">
      <c r="A4" s="30" t="inlineStr">
        <is>
          <t>Code</t>
        </is>
      </c>
      <c r="B4" s="30" t="inlineStr">
        <is>
          <t>Niveau</t>
        </is>
      </c>
      <c r="C4" s="30" t="inlineStr">
        <is>
          <t>Compétence / sous-compétence (intitulé officiel 2024)</t>
        </is>
      </c>
      <c r="D4" s="30" t="inlineStr">
        <is>
          <t>Thème</t>
        </is>
      </c>
      <c r="E4" s="30" t="inlineStr">
        <is>
          <t>Domaine(s) socle</t>
        </is>
      </c>
      <c r="F4" s="30" t="inlineStr">
        <is>
          <t>Évaluable</t>
        </is>
      </c>
    </row>
    <row r="5" ht="30" customHeight="1">
      <c r="A5" s="65" t="inlineStr">
        <is>
          <t>C1</t>
        </is>
      </c>
      <c r="B5" s="65" t="inlineStr">
        <is>
          <t>—</t>
        </is>
      </c>
      <c r="C5" s="65" t="inlineStr">
        <is>
          <t>Décrire les liens entre usages et évolutions technologiques des objets et des systèmes techniques</t>
        </is>
      </c>
      <c r="D5" s="65" t="inlineStr">
        <is>
          <t>Thème 1 : Les objets et les systèmes techniques : leurs usages et leurs interactions à découvrir et à analyser</t>
        </is>
      </c>
      <c r="E5" s="65" t="inlineStr">
        <is>
          <t>D2, D3, D4, D5</t>
        </is>
      </c>
      <c r="F5" s="65" t="inlineStr">
        <is>
          <t>Oui</t>
        </is>
      </c>
    </row>
    <row r="6" ht="25.5" customHeight="1">
      <c r="A6" s="66" t="inlineStr">
        <is>
          <t>4e_C1.1</t>
        </is>
      </c>
      <c r="B6" s="35" t="inlineStr">
        <is>
          <t>4e</t>
        </is>
      </c>
      <c r="C6" s="35" t="inlineStr">
        <is>
          <t>Mettre en relation les OST avec leurs usages.</t>
        </is>
      </c>
      <c r="D6" s="35" t="inlineStr">
        <is>
          <t>Thème 1</t>
        </is>
      </c>
      <c r="E6" s="35" t="inlineStr">
        <is>
          <t>D4, D5</t>
        </is>
      </c>
      <c r="F6" s="35" t="inlineStr">
        <is>
          <t>Oui</t>
        </is>
      </c>
    </row>
    <row r="7" ht="25.5" customHeight="1">
      <c r="A7" s="66" t="inlineStr">
        <is>
          <t>4e_C1.2</t>
        </is>
      </c>
      <c r="B7" s="35" t="inlineStr">
        <is>
          <t>4e</t>
        </is>
      </c>
      <c r="C7" s="35" t="inlineStr">
        <is>
          <t>Identifier les avantages et les inconvénients associés aux évolutions technologiques et informatiques.</t>
        </is>
      </c>
      <c r="D7" s="35" t="inlineStr">
        <is>
          <t>Thème 1</t>
        </is>
      </c>
      <c r="E7" s="35" t="inlineStr">
        <is>
          <t>D3, D4, D5</t>
        </is>
      </c>
      <c r="F7" s="35" t="inlineStr">
        <is>
          <t>Oui</t>
        </is>
      </c>
    </row>
    <row r="8" ht="25.5" customHeight="1">
      <c r="A8" s="66" t="inlineStr">
        <is>
          <t>4e_C1.3</t>
        </is>
      </c>
      <c r="B8" s="35" t="inlineStr">
        <is>
          <t>4e</t>
        </is>
      </c>
      <c r="C8" s="35" t="inlineStr">
        <is>
          <t>Justifier l’évolution d’un OST pour répondre à l’évolution des besoins.</t>
        </is>
      </c>
      <c r="D8" s="35" t="inlineStr">
        <is>
          <t>Thème 1</t>
        </is>
      </c>
      <c r="E8" s="35" t="inlineStr">
        <is>
          <t>D3, D4, D5</t>
        </is>
      </c>
      <c r="F8" s="35" t="inlineStr">
        <is>
          <t>Oui</t>
        </is>
      </c>
    </row>
    <row r="9" ht="39" customHeight="1">
      <c r="A9" s="66" t="inlineStr">
        <is>
          <t>4e_C1.4</t>
        </is>
      </c>
      <c r="B9" s="35" t="inlineStr">
        <is>
          <t>4e</t>
        </is>
      </c>
      <c r="C9" s="35" t="inlineStr">
        <is>
          <t>Identifier et appliquer les règles pour un usage raisonné des objets communicants et des environnements numériques (propriété intellectuelle, identité numérique, témoins de connexion, géolocalisation).</t>
        </is>
      </c>
      <c r="D9" s="35" t="inlineStr">
        <is>
          <t>Thème 1</t>
        </is>
      </c>
      <c r="E9" s="35" t="inlineStr">
        <is>
          <t>D1.3, D2, D3, D4</t>
        </is>
      </c>
      <c r="F9" s="35" t="inlineStr">
        <is>
          <t>Oui</t>
        </is>
      </c>
    </row>
    <row r="10" ht="30" customHeight="1">
      <c r="A10" s="65" t="inlineStr">
        <is>
          <t>C2</t>
        </is>
      </c>
      <c r="B10" s="65" t="inlineStr">
        <is>
          <t>—</t>
        </is>
      </c>
      <c r="C10" s="65" t="inlineStr">
        <is>
          <t>Décrire les interactions entre un objet ou un système technique, son environnement et les utilisateurs</t>
        </is>
      </c>
      <c r="D10" s="65" t="inlineStr">
        <is>
          <t>Thème 1</t>
        </is>
      </c>
      <c r="E10" s="65" t="inlineStr">
        <is>
          <t>D4, D5</t>
        </is>
      </c>
      <c r="F10" s="65" t="inlineStr">
        <is>
          <t>Oui</t>
        </is>
      </c>
    </row>
    <row r="11" ht="39" customHeight="1">
      <c r="A11" s="66" t="inlineStr">
        <is>
          <t>4e_C2.1</t>
        </is>
      </c>
      <c r="B11" s="35" t="inlineStr">
        <is>
          <t>4e</t>
        </is>
      </c>
      <c r="C11" s="35" t="inlineStr">
        <is>
          <t>Décrire l’expérience de l’utilisateur (ressenti et facilité d’usage) d’un OST en partant du langage naturel (texte, croquis) pour aboutir aux schémas, graphiques, algorithmes.</t>
        </is>
      </c>
      <c r="D11" s="35" t="inlineStr">
        <is>
          <t>Thème 1</t>
        </is>
      </c>
      <c r="E11" s="35" t="inlineStr">
        <is>
          <t>D1.3, D4, D5</t>
        </is>
      </c>
      <c r="F11" s="35" t="inlineStr">
        <is>
          <t>Oui</t>
        </is>
      </c>
    </row>
    <row r="12" ht="39" customHeight="1">
      <c r="A12" s="66" t="inlineStr">
        <is>
          <t>4e_C2.2</t>
        </is>
      </c>
      <c r="B12" s="35" t="inlineStr">
        <is>
          <t>4e</t>
        </is>
      </c>
      <c r="C12" s="35" t="inlineStr">
        <is>
          <t>Repérer et expliquer les contraintes, exigences prises en compte (sécurité, incidences environnementales, formes et fonctions, ergonomie, qualité, fiabilité) pour répondre aux attentes des utilisateurs.</t>
        </is>
      </c>
      <c r="D12" s="35" t="inlineStr">
        <is>
          <t>Thème 1</t>
        </is>
      </c>
      <c r="E12" s="35" t="inlineStr">
        <is>
          <t>D3, D4, D5</t>
        </is>
      </c>
      <c r="F12" s="35" t="inlineStr">
        <is>
          <t>Oui</t>
        </is>
      </c>
    </row>
    <row r="13" ht="30" customHeight="1">
      <c r="A13" s="65" t="inlineStr">
        <is>
          <t>C3</t>
        </is>
      </c>
      <c r="B13" s="65" t="inlineStr">
        <is>
          <t>—</t>
        </is>
      </c>
      <c r="C13" s="65" t="inlineStr">
        <is>
          <t>Caractériser et choisir un objet ou un système technique selon différents critères</t>
        </is>
      </c>
      <c r="D13" s="65" t="inlineStr">
        <is>
          <t>Thème 1</t>
        </is>
      </c>
      <c r="E13" s="65" t="inlineStr">
        <is>
          <t>D1.3, D2, D3, D4, D5</t>
        </is>
      </c>
      <c r="F13" s="65" t="inlineStr">
        <is>
          <t>Oui</t>
        </is>
      </c>
    </row>
    <row r="14" ht="25.5" customHeight="1">
      <c r="A14" s="66" t="inlineStr">
        <is>
          <t>4e_C3.1</t>
        </is>
      </c>
      <c r="B14" s="35" t="inlineStr">
        <is>
          <t>4e</t>
        </is>
      </c>
      <c r="C14" s="35" t="inlineStr">
        <is>
          <t>Identifier les caractéristiques à prendre en compte dans le choix d’un OST en vue de répondre à un besoin.</t>
        </is>
      </c>
      <c r="D14" s="35" t="inlineStr">
        <is>
          <t>Thème 1</t>
        </is>
      </c>
      <c r="E14" s="35" t="inlineStr">
        <is>
          <t>D3, D4, D5</t>
        </is>
      </c>
      <c r="F14" s="35" t="inlineStr">
        <is>
          <t>Oui</t>
        </is>
      </c>
    </row>
    <row r="15" ht="39" customHeight="1">
      <c r="A15" s="66" t="inlineStr">
        <is>
          <t>4e_C3.2</t>
        </is>
      </c>
      <c r="B15" s="35" t="inlineStr">
        <is>
          <t>4e</t>
        </is>
      </c>
      <c r="C15" s="35" t="inlineStr">
        <is>
          <t>Comparer qualitativement et/ou quantitativement (incidences environnementales, bilan carbone, efficacité énergétique) plusieurs OST répondant au même besoin et arrêter un choix.</t>
        </is>
      </c>
      <c r="D15" s="35" t="inlineStr">
        <is>
          <t>Thème 1</t>
        </is>
      </c>
      <c r="E15" s="35" t="inlineStr">
        <is>
          <t>D1.3, D2, D3, D4, D5</t>
        </is>
      </c>
      <c r="F15" s="35" t="inlineStr">
        <is>
          <t>Oui</t>
        </is>
      </c>
    </row>
    <row r="16" ht="25.5" customHeight="1">
      <c r="A16" s="66" t="inlineStr">
        <is>
          <t>4e_C3.3</t>
        </is>
      </c>
      <c r="B16" s="35" t="inlineStr">
        <is>
          <t>4e</t>
        </is>
      </c>
      <c r="C16" s="35" t="inlineStr">
        <is>
          <t>Choisir les appareils de mesure à utiliser pour mesurer une performance d’un OST à partir d’un protocole donné.</t>
        </is>
      </c>
      <c r="D16" s="35" t="inlineStr">
        <is>
          <t>Thème 1</t>
        </is>
      </c>
      <c r="E16" s="35" t="inlineStr">
        <is>
          <t>D1.3, D2, D4</t>
        </is>
      </c>
      <c r="F16" s="35" t="inlineStr">
        <is>
          <t>Oui</t>
        </is>
      </c>
    </row>
    <row r="17" ht="30" customHeight="1">
      <c r="A17" s="65" t="inlineStr">
        <is>
          <t>C4</t>
        </is>
      </c>
      <c r="B17" s="65" t="inlineStr">
        <is>
          <t>—</t>
        </is>
      </c>
      <c r="C17" s="65" t="inlineStr">
        <is>
          <t>Décrire et caractériser l’organisation interne d’un objet ou d’un système technique et ses échanges avec son environnement (énergies, données)</t>
        </is>
      </c>
      <c r="D17" s="65" t="inlineStr">
        <is>
          <t>Thème 2 : Structure, fonctionnement, comportement : des objets et des systèmes techniques à comprendre</t>
        </is>
      </c>
      <c r="E17" s="65" t="inlineStr">
        <is>
          <t>D1.3, D1.4, D2, D4, D5</t>
        </is>
      </c>
      <c r="F17" s="65" t="inlineStr">
        <is>
          <t>Oui</t>
        </is>
      </c>
    </row>
    <row r="18" ht="25.5" customHeight="1">
      <c r="A18" s="66" t="inlineStr">
        <is>
          <t>4e_C4.1</t>
        </is>
      </c>
      <c r="B18" s="35" t="inlineStr">
        <is>
          <t>4e</t>
        </is>
      </c>
      <c r="C18" s="35" t="inlineStr">
        <is>
          <t>Identifier les constituants d’une chaîne d’énergie et les associer à leurs fonctions.</t>
        </is>
      </c>
      <c r="D18" s="35" t="inlineStr">
        <is>
          <t>Thème 2</t>
        </is>
      </c>
      <c r="E18" s="35" t="inlineStr">
        <is>
          <t>D2, D4, D5</t>
        </is>
      </c>
      <c r="F18" s="35" t="inlineStr">
        <is>
          <t>Oui</t>
        </is>
      </c>
    </row>
    <row r="19" ht="25.5" customHeight="1">
      <c r="A19" s="66" t="inlineStr">
        <is>
          <t>4e_C4.2</t>
        </is>
      </c>
      <c r="B19" s="35" t="inlineStr">
        <is>
          <t>4e</t>
        </is>
      </c>
      <c r="C19" s="35" t="inlineStr">
        <is>
          <t>Repérer les transformations d’énergie et les flux d’énergie au sein de l’OST.</t>
        </is>
      </c>
      <c r="D19" s="35" t="inlineStr">
        <is>
          <t>Thème 2</t>
        </is>
      </c>
      <c r="E19" s="35" t="inlineStr">
        <is>
          <t>D1.3, D2, D4</t>
        </is>
      </c>
      <c r="F19" s="35" t="inlineStr">
        <is>
          <t>Oui</t>
        </is>
      </c>
    </row>
    <row r="20" ht="25.5" customHeight="1">
      <c r="A20" s="66" t="inlineStr">
        <is>
          <t>4e_C4.3</t>
        </is>
      </c>
      <c r="B20" s="35" t="inlineStr">
        <is>
          <t>4e</t>
        </is>
      </c>
      <c r="C20" s="35" t="inlineStr">
        <is>
          <t>Mettre en relation la forme d’une pièce avec le procédé de réalisation.</t>
        </is>
      </c>
      <c r="D20" s="35" t="inlineStr">
        <is>
          <t>Thème 2</t>
        </is>
      </c>
      <c r="E20" s="35" t="inlineStr">
        <is>
          <t>D3, D4, D5</t>
        </is>
      </c>
      <c r="F20" s="35" t="inlineStr">
        <is>
          <t>Oui</t>
        </is>
      </c>
    </row>
    <row r="21" ht="25.5" customHeight="1">
      <c r="A21" s="66" t="inlineStr">
        <is>
          <t>4e_C4.4</t>
        </is>
      </c>
      <c r="B21" s="35" t="inlineStr">
        <is>
          <t>4e</t>
        </is>
      </c>
      <c r="C21" s="35" t="inlineStr">
        <is>
          <t>Identifier les constituants de la chaîne d’information d’un objet réel et les associer à leur fonction.</t>
        </is>
      </c>
      <c r="D21" s="35" t="inlineStr">
        <is>
          <t>Thème 2</t>
        </is>
      </c>
      <c r="E21" s="35" t="inlineStr">
        <is>
          <t>D1.3, D2, D4</t>
        </is>
      </c>
      <c r="F21" s="35" t="inlineStr">
        <is>
          <t>Oui</t>
        </is>
      </c>
    </row>
    <row r="22" ht="25.5" customHeight="1">
      <c r="A22" s="66" t="inlineStr">
        <is>
          <t>4e_C4.5</t>
        </is>
      </c>
      <c r="B22" s="35" t="inlineStr">
        <is>
          <t>4e</t>
        </is>
      </c>
      <c r="C22" s="35" t="inlineStr">
        <is>
          <t>Décrire et analyser la transformation des données téléversées ou issues d’un OST.</t>
        </is>
      </c>
      <c r="D22" s="35" t="inlineStr">
        <is>
          <t>Thème 2</t>
        </is>
      </c>
      <c r="E22" s="35" t="inlineStr">
        <is>
          <t>D1.3, D2, D4</t>
        </is>
      </c>
      <c r="F22" s="35" t="inlineStr">
        <is>
          <t>Oui</t>
        </is>
      </c>
    </row>
    <row r="23" ht="25.5" customHeight="1">
      <c r="A23" s="66" t="inlineStr">
        <is>
          <t>4e_C4.6</t>
        </is>
      </c>
      <c r="B23" s="35" t="inlineStr">
        <is>
          <t>4e</t>
        </is>
      </c>
      <c r="C23" s="35" t="inlineStr">
        <is>
          <t>Décrire et analyser la structuration d’une table de données qui permet une exploitation et une interprétation du comportement d’un OST.</t>
        </is>
      </c>
      <c r="D23" s="35" t="inlineStr">
        <is>
          <t>Thème 2</t>
        </is>
      </c>
      <c r="E23" s="35" t="inlineStr">
        <is>
          <t>D1.3, D2, D4</t>
        </is>
      </c>
      <c r="F23" s="35" t="inlineStr">
        <is>
          <t>Oui</t>
        </is>
      </c>
    </row>
    <row r="24" ht="25.5" customHeight="1">
      <c r="A24" s="66" t="inlineStr">
        <is>
          <t>4e_C4.7</t>
        </is>
      </c>
      <c r="B24" s="35" t="inlineStr">
        <is>
          <t>4e</t>
        </is>
      </c>
      <c r="C24" s="35" t="inlineStr">
        <is>
          <t>Paramétrer une adresse IP fixe pour ajouter un objet connecté à un réseau local.</t>
        </is>
      </c>
      <c r="D24" s="35" t="inlineStr">
        <is>
          <t>Thème 2</t>
        </is>
      </c>
      <c r="E24" s="35" t="inlineStr">
        <is>
          <t>D2, D4</t>
        </is>
      </c>
      <c r="F24" s="35" t="inlineStr">
        <is>
          <t>Oui</t>
        </is>
      </c>
    </row>
    <row r="25" ht="39" customHeight="1">
      <c r="A25" s="66" t="inlineStr">
        <is>
          <t>4e_C4.8</t>
        </is>
      </c>
      <c r="B25" s="35" t="inlineStr">
        <is>
          <t>4e</t>
        </is>
      </c>
      <c r="C25" s="35" t="inlineStr">
        <is>
          <t>Résoudre des problèmes pour assurer la communication entre les différents terminaux dans un réseau informatique (simulation ou réseau local déconnecté du réseau pédagogique).</t>
        </is>
      </c>
      <c r="D25" s="35" t="inlineStr">
        <is>
          <t>Thème 2</t>
        </is>
      </c>
      <c r="E25" s="35" t="inlineStr">
        <is>
          <t>D2, D4</t>
        </is>
      </c>
      <c r="F25" s="35" t="inlineStr">
        <is>
          <t>Oui</t>
        </is>
      </c>
    </row>
    <row r="26" ht="25.5" customHeight="1">
      <c r="A26" s="66" t="inlineStr">
        <is>
          <t>4e_C4.9</t>
        </is>
      </c>
      <c r="B26" s="35" t="inlineStr">
        <is>
          <t>4e</t>
        </is>
      </c>
      <c r="C26" s="35" t="inlineStr">
        <is>
          <t>Compléter une simulation fournie pour valider le comportement d’un réseau informatique.</t>
        </is>
      </c>
      <c r="D26" s="35" t="inlineStr">
        <is>
          <t>Thème 2</t>
        </is>
      </c>
      <c r="E26" s="35" t="inlineStr">
        <is>
          <t>D2, D4</t>
        </is>
      </c>
      <c r="F26" s="35" t="inlineStr">
        <is>
          <t>Oui</t>
        </is>
      </c>
    </row>
    <row r="27" ht="30" customHeight="1">
      <c r="A27" s="65" t="inlineStr">
        <is>
          <t>C5</t>
        </is>
      </c>
      <c r="B27" s="65" t="inlineStr">
        <is>
          <t>—</t>
        </is>
      </c>
      <c r="C27" s="65" t="inlineStr">
        <is>
          <t>Identifier un dysfonctionnement d’un objet technique et y remédier</t>
        </is>
      </c>
      <c r="D27" s="65" t="inlineStr">
        <is>
          <t>Thème 2</t>
        </is>
      </c>
      <c r="E27" s="65" t="inlineStr">
        <is>
          <t>D1.3, D2, D3, D4, D5</t>
        </is>
      </c>
      <c r="F27" s="65" t="inlineStr">
        <is>
          <t>Oui</t>
        </is>
      </c>
    </row>
    <row r="28" ht="25.5" customHeight="1">
      <c r="A28" s="66" t="inlineStr">
        <is>
          <t>4e_C5.1</t>
        </is>
      </c>
      <c r="B28" s="35" t="inlineStr">
        <is>
          <t>4e</t>
        </is>
      </c>
      <c r="C28" s="35" t="inlineStr">
        <is>
          <t>Proposer un protocole permettant de vérifier l’origine d’un dysfonctionnement.</t>
        </is>
      </c>
      <c r="D28" s="35" t="inlineStr">
        <is>
          <t>Thème 2</t>
        </is>
      </c>
      <c r="E28" s="35" t="inlineStr">
        <is>
          <t>D1.3, D2, D4</t>
        </is>
      </c>
      <c r="F28" s="35" t="inlineStr">
        <is>
          <t>Oui</t>
        </is>
      </c>
    </row>
    <row r="29" ht="25.5" customHeight="1">
      <c r="A29" s="66" t="inlineStr">
        <is>
          <t>4e_C5.2</t>
        </is>
      </c>
      <c r="B29" s="35" t="inlineStr">
        <is>
          <t>4e</t>
        </is>
      </c>
      <c r="C29" s="35" t="inlineStr">
        <is>
          <t>Remplacer une pièce défectueuse sans protocole fourni (la pièce de remplacement étant fournie).</t>
        </is>
      </c>
      <c r="D29" s="35" t="inlineStr">
        <is>
          <t>Thème 2</t>
        </is>
      </c>
      <c r="E29" s="35" t="inlineStr">
        <is>
          <t>D2, D3, D4</t>
        </is>
      </c>
      <c r="F29" s="35" t="inlineStr">
        <is>
          <t>Oui</t>
        </is>
      </c>
    </row>
    <row r="30" ht="25.5" customHeight="1">
      <c r="A30" s="66" t="inlineStr">
        <is>
          <t>4e_C5.3</t>
        </is>
      </c>
      <c r="B30" s="35" t="inlineStr">
        <is>
          <t>4e</t>
        </is>
      </c>
      <c r="C30" s="35" t="inlineStr">
        <is>
          <t>Choisir les procédés de réalisation et les mettre en œuvre.</t>
        </is>
      </c>
      <c r="D30" s="35" t="inlineStr">
        <is>
          <t>Thème 2</t>
        </is>
      </c>
      <c r="E30" s="35" t="inlineStr">
        <is>
          <t>D2, D3, D4</t>
        </is>
      </c>
      <c r="F30" s="35" t="inlineStr">
        <is>
          <t>Oui</t>
        </is>
      </c>
    </row>
    <row r="31" ht="30" customHeight="1">
      <c r="A31" s="65" t="inlineStr">
        <is>
          <t>C6</t>
        </is>
      </c>
      <c r="B31" s="65" t="inlineStr">
        <is>
          <t>—</t>
        </is>
      </c>
      <c r="C31" s="65" t="inlineStr">
        <is>
          <t>Comprendre et modifier un programme associé à une fonctionnalité d’un objet ou d’un système technique</t>
        </is>
      </c>
      <c r="D31" s="65" t="inlineStr">
        <is>
          <t>Thème 2</t>
        </is>
      </c>
      <c r="E31" s="65" t="inlineStr">
        <is>
          <t>D1.3, D2, D4</t>
        </is>
      </c>
      <c r="F31" s="65" t="inlineStr">
        <is>
          <t>Oui</t>
        </is>
      </c>
    </row>
    <row r="32" ht="25.5" customHeight="1">
      <c r="A32" s="66" t="inlineStr">
        <is>
          <t>4e_C6.1</t>
        </is>
      </c>
      <c r="B32" s="35" t="inlineStr">
        <is>
          <t>4e</t>
        </is>
      </c>
      <c r="C32" s="35" t="inlineStr">
        <is>
          <t>Analyser les données et en déduire des modifications à apporter au programme.</t>
        </is>
      </c>
      <c r="D32" s="35" t="inlineStr">
        <is>
          <t>Thème 2</t>
        </is>
      </c>
      <c r="E32" s="35" t="inlineStr">
        <is>
          <t>D1.3, D2, D4</t>
        </is>
      </c>
      <c r="F32" s="35" t="inlineStr">
        <is>
          <t>Oui</t>
        </is>
      </c>
    </row>
    <row r="33" ht="25.5" customHeight="1">
      <c r="A33" s="66" t="inlineStr">
        <is>
          <t>4e_C6.2</t>
        </is>
      </c>
      <c r="B33" s="35" t="inlineStr">
        <is>
          <t>4e</t>
        </is>
      </c>
      <c r="C33" s="35" t="inlineStr">
        <is>
          <t>Compléter un programme pour répondre à une fonctionnalité d’un OST.</t>
        </is>
      </c>
      <c r="D33" s="35" t="inlineStr">
        <is>
          <t>Thème 2</t>
        </is>
      </c>
      <c r="E33" s="35" t="inlineStr">
        <is>
          <t>D1.3, D2, D4</t>
        </is>
      </c>
      <c r="F33" s="35" t="inlineStr">
        <is>
          <t>Oui</t>
        </is>
      </c>
    </row>
    <row r="34" ht="25.5" customHeight="1">
      <c r="A34" s="66" t="inlineStr">
        <is>
          <t>4e_C6.3</t>
        </is>
      </c>
      <c r="B34" s="35" t="inlineStr">
        <is>
          <t>4e</t>
        </is>
      </c>
      <c r="C34" s="35" t="inlineStr">
        <is>
          <t>Tester et valider, dans un environnement simulé ou réel, une modification du programme.</t>
        </is>
      </c>
      <c r="D34" s="35" t="inlineStr">
        <is>
          <t>Thème 2</t>
        </is>
      </c>
      <c r="E34" s="35" t="inlineStr">
        <is>
          <t>D1.3, D2, D4</t>
        </is>
      </c>
      <c r="F34" s="35" t="inlineStr">
        <is>
          <t>Oui</t>
        </is>
      </c>
    </row>
    <row r="35" ht="30" customHeight="1">
      <c r="A35" s="65" t="inlineStr">
        <is>
          <t>C7</t>
        </is>
      </c>
      <c r="B35" s="65" t="inlineStr">
        <is>
          <t>—</t>
        </is>
      </c>
      <c r="C35" s="65" t="inlineStr">
        <is>
          <t>Imaginer, concevoir et réaliser une ou des solutions en réponse à un besoin, à des exigences (de développement durable, par exemple) ou à la nécessité d’améliorations dans une démarche de créativité</t>
        </is>
      </c>
      <c r="D35" s="65" t="inlineStr">
        <is>
          <t>Thème 3 : Création, conception, réalisation, innovations : des objets à concevoir et à réaliser</t>
        </is>
      </c>
      <c r="E35" s="65" t="inlineStr">
        <is>
          <t>D2, D3, D4, D5</t>
        </is>
      </c>
      <c r="F35" s="65" t="inlineStr">
        <is>
          <t>Oui</t>
        </is>
      </c>
    </row>
    <row r="36" ht="25.5" customHeight="1">
      <c r="A36" s="66" t="inlineStr">
        <is>
          <t>4e_C7.1</t>
        </is>
      </c>
      <c r="B36" s="35" t="inlineStr">
        <is>
          <t>4e</t>
        </is>
      </c>
      <c r="C36" s="35" t="inlineStr">
        <is>
          <t>Organiser un processus de conception et de réalisation dans une durée, avec des tâches identifiées.</t>
        </is>
      </c>
      <c r="D36" s="35" t="inlineStr">
        <is>
          <t>Thème 3</t>
        </is>
      </c>
      <c r="E36" s="35" t="inlineStr">
        <is>
          <t>D2, D4, D5</t>
        </is>
      </c>
      <c r="F36" s="35" t="inlineStr">
        <is>
          <t>Oui</t>
        </is>
      </c>
    </row>
    <row r="37" ht="25.5" customHeight="1">
      <c r="A37" s="66" t="inlineStr">
        <is>
          <t>4e_C7.2</t>
        </is>
      </c>
      <c r="B37" s="35" t="inlineStr">
        <is>
          <t>4e</t>
        </is>
      </c>
      <c r="C37" s="35" t="inlineStr">
        <is>
          <t>Proposer et fabriquer une solution pour ajouter une nouvelle fonction à un OST (croquis, schéma, graphique, algorithme, modélisation).</t>
        </is>
      </c>
      <c r="D37" s="35" t="inlineStr">
        <is>
          <t>Thème 3</t>
        </is>
      </c>
      <c r="E37" s="35" t="inlineStr">
        <is>
          <t>D2, D3, D4</t>
        </is>
      </c>
      <c r="F37" s="35" t="inlineStr">
        <is>
          <t>Oui</t>
        </is>
      </c>
    </row>
    <row r="38" ht="25.5" customHeight="1">
      <c r="A38" s="66" t="inlineStr">
        <is>
          <t>4e_C7.3</t>
        </is>
      </c>
      <c r="B38" s="35" t="inlineStr">
        <is>
          <t>4e</t>
        </is>
      </c>
      <c r="C38" s="35" t="inlineStr">
        <is>
          <t>Comparer différents matériaux pour choisir le plus adapté.</t>
        </is>
      </c>
      <c r="D38" s="35" t="inlineStr">
        <is>
          <t>Thème 3</t>
        </is>
      </c>
      <c r="E38" s="35" t="inlineStr">
        <is>
          <t>D3, D4, D5</t>
        </is>
      </c>
      <c r="F38" s="35" t="inlineStr">
        <is>
          <t>Oui</t>
        </is>
      </c>
    </row>
    <row r="39" ht="25.5" customHeight="1">
      <c r="A39" s="66" t="inlineStr">
        <is>
          <t>4e_C7.4</t>
        </is>
      </c>
      <c r="B39" s="35" t="inlineStr">
        <is>
          <t>4e</t>
        </is>
      </c>
      <c r="C39" s="35" t="inlineStr">
        <is>
          <t>Comparer différentes sources d’énergie pour choisir la plus adaptée.</t>
        </is>
      </c>
      <c r="D39" s="35" t="inlineStr">
        <is>
          <t>Thème 3</t>
        </is>
      </c>
      <c r="E39" s="35" t="inlineStr">
        <is>
          <t>D3, D4, D5</t>
        </is>
      </c>
      <c r="F39" s="35" t="inlineStr">
        <is>
          <t>Oui</t>
        </is>
      </c>
    </row>
    <row r="40" ht="25.5" customHeight="1">
      <c r="A40" s="66" t="inlineStr">
        <is>
          <t>4e_C7.5</t>
        </is>
      </c>
      <c r="B40" s="35" t="inlineStr">
        <is>
          <t>4e</t>
        </is>
      </c>
      <c r="C40" s="35" t="inlineStr">
        <is>
          <t>Identifier les constituants manquants dans un prototype et le compléter.</t>
        </is>
      </c>
      <c r="D40" s="35" t="inlineStr">
        <is>
          <t>Thème 3</t>
        </is>
      </c>
      <c r="E40" s="35" t="inlineStr">
        <is>
          <t>D2, D3, D4</t>
        </is>
      </c>
      <c r="F40" s="35" t="inlineStr">
        <is>
          <t>Oui</t>
        </is>
      </c>
    </row>
    <row r="41" ht="25.5" customHeight="1">
      <c r="A41" s="66" t="inlineStr">
        <is>
          <t>4e_C7.6</t>
        </is>
      </c>
      <c r="B41" s="35" t="inlineStr">
        <is>
          <t>4e</t>
        </is>
      </c>
      <c r="C41" s="35" t="inlineStr">
        <is>
          <t>Modifier une forme à l’aide d’une modélisation.</t>
        </is>
      </c>
      <c r="D41" s="35" t="inlineStr">
        <is>
          <t>Thème 3</t>
        </is>
      </c>
      <c r="E41" s="35" t="inlineStr">
        <is>
          <t>D2, D3, D4</t>
        </is>
      </c>
      <c r="F41" s="35" t="inlineStr">
        <is>
          <t>Oui</t>
        </is>
      </c>
    </row>
    <row r="42" ht="25.5" customHeight="1">
      <c r="A42" s="66" t="inlineStr">
        <is>
          <t>4e_C7.7</t>
        </is>
      </c>
      <c r="B42" s="35" t="inlineStr">
        <is>
          <t>4e</t>
        </is>
      </c>
      <c r="C42" s="35" t="inlineStr">
        <is>
          <t>Choisir les moyens et produire la forme voulue.</t>
        </is>
      </c>
      <c r="D42" s="35" t="inlineStr">
        <is>
          <t>Thème 3</t>
        </is>
      </c>
      <c r="E42" s="35" t="inlineStr">
        <is>
          <t>D2, D3, D4</t>
        </is>
      </c>
      <c r="F42" s="35" t="inlineStr">
        <is>
          <t>Oui</t>
        </is>
      </c>
    </row>
    <row r="43" ht="25.5" customHeight="1">
      <c r="A43" s="66" t="inlineStr">
        <is>
          <t>4e_C7.8</t>
        </is>
      </c>
      <c r="B43" s="35" t="inlineStr">
        <is>
          <t>4e</t>
        </is>
      </c>
      <c r="C43" s="35" t="inlineStr">
        <is>
          <t>Interfacer un objet technique avec un réseau.</t>
        </is>
      </c>
      <c r="D43" s="35" t="inlineStr">
        <is>
          <t>Thème 3</t>
        </is>
      </c>
      <c r="E43" s="35" t="inlineStr">
        <is>
          <t>D2, D3, D4</t>
        </is>
      </c>
      <c r="F43" s="35" t="inlineStr">
        <is>
          <t>Oui</t>
        </is>
      </c>
    </row>
    <row r="44" ht="30" customHeight="1">
      <c r="A44" s="65" t="inlineStr">
        <is>
          <t>C8</t>
        </is>
      </c>
      <c r="B44" s="65" t="inlineStr">
        <is>
          <t>—</t>
        </is>
      </c>
      <c r="C44" s="65" t="inlineStr">
        <is>
          <t>Valider les solutions techniques par des simulations ou par des protocoles de tests</t>
        </is>
      </c>
      <c r="D44" s="65" t="inlineStr">
        <is>
          <t>Thème 3</t>
        </is>
      </c>
      <c r="E44" s="65" t="inlineStr">
        <is>
          <t>D1.3, D2, D3, D4, D5</t>
        </is>
      </c>
      <c r="F44" s="65" t="inlineStr">
        <is>
          <t>Oui</t>
        </is>
      </c>
    </row>
    <row r="45" ht="25.5" customHeight="1">
      <c r="A45" s="66" t="inlineStr">
        <is>
          <t>4e_C8.1</t>
        </is>
      </c>
      <c r="B45" s="35" t="inlineStr">
        <is>
          <t>4e</t>
        </is>
      </c>
      <c r="C45" s="35" t="inlineStr">
        <is>
          <t>Paramétrer une simulation fournie pour valider la tenue mécanique d’un matériau.</t>
        </is>
      </c>
      <c r="D45" s="35" t="inlineStr">
        <is>
          <t>Thème 3</t>
        </is>
      </c>
      <c r="E45" s="35" t="inlineStr">
        <is>
          <t>D1.3, D2, D4</t>
        </is>
      </c>
      <c r="F45" s="35" t="inlineStr">
        <is>
          <t>Oui</t>
        </is>
      </c>
    </row>
    <row r="46" ht="25.5" customHeight="1">
      <c r="A46" s="66" t="inlineStr">
        <is>
          <t>4e_C8.2</t>
        </is>
      </c>
      <c r="B46" s="35" t="inlineStr">
        <is>
          <t>4e</t>
        </is>
      </c>
      <c r="C46" s="35" t="inlineStr">
        <is>
          <t>Proposer un protocole de test pour valider la tenue mécanique d’un matériau.</t>
        </is>
      </c>
      <c r="D46" s="35" t="inlineStr">
        <is>
          <t>Thème 3</t>
        </is>
      </c>
      <c r="E46" s="35" t="inlineStr">
        <is>
          <t>D1.3, D2, D3, D4</t>
        </is>
      </c>
      <c r="F46" s="35" t="inlineStr">
        <is>
          <t>Oui</t>
        </is>
      </c>
    </row>
    <row r="47" ht="25.5" customHeight="1">
      <c r="A47" s="66" t="inlineStr">
        <is>
          <t>4e_C8.3</t>
        </is>
      </c>
      <c r="B47" s="35" t="inlineStr">
        <is>
          <t>4e</t>
        </is>
      </c>
      <c r="C47" s="35" t="inlineStr">
        <is>
          <t>Proposer un protocole de test pour valider le comportement et les performances d’un objet technique.</t>
        </is>
      </c>
      <c r="D47" s="35" t="inlineStr">
        <is>
          <t>Thème 3</t>
        </is>
      </c>
      <c r="E47" s="35" t="inlineStr">
        <is>
          <t>D1.3, D2, D3, D4, D5</t>
        </is>
      </c>
      <c r="F47" s="35" t="inlineStr">
        <is>
          <t>Oui</t>
        </is>
      </c>
    </row>
    <row r="48" ht="30" customHeight="1">
      <c r="A48" s="65" t="inlineStr">
        <is>
          <t>C9</t>
        </is>
      </c>
      <c r="B48" s="65" t="inlineStr">
        <is>
          <t>—</t>
        </is>
      </c>
      <c r="C48" s="65" t="inlineStr">
        <is>
          <t>Concevoir, écrire, tester et mettre au point un programme</t>
        </is>
      </c>
      <c r="D48" s="65" t="inlineStr">
        <is>
          <t>Thème 3</t>
        </is>
      </c>
      <c r="E48" s="65" t="inlineStr">
        <is>
          <t>D1.3, D2, D4</t>
        </is>
      </c>
      <c r="F48" s="65" t="inlineStr">
        <is>
          <t>Oui</t>
        </is>
      </c>
    </row>
    <row r="49" ht="25.5" customHeight="1">
      <c r="A49" s="66" t="inlineStr">
        <is>
          <t>4e_C9.1</t>
        </is>
      </c>
      <c r="B49" s="35" t="inlineStr">
        <is>
          <t>4e</t>
        </is>
      </c>
      <c r="C49" s="35" t="inlineStr">
        <is>
          <t>Modifier un algorithme permettant de répondre au besoin ou au problème posé.</t>
        </is>
      </c>
      <c r="D49" s="35" t="inlineStr">
        <is>
          <t>Thème 3</t>
        </is>
      </c>
      <c r="E49" s="35" t="inlineStr">
        <is>
          <t>D1.3, D2, D4</t>
        </is>
      </c>
      <c r="F49" s="35" t="inlineStr">
        <is>
          <t>Oui</t>
        </is>
      </c>
    </row>
    <row r="50" ht="25.5" customHeight="1">
      <c r="A50" s="66" t="inlineStr">
        <is>
          <t>4e_C9.2</t>
        </is>
      </c>
      <c r="B50" s="35" t="inlineStr">
        <is>
          <t>4e</t>
        </is>
      </c>
      <c r="C50" s="35" t="inlineStr">
        <is>
          <t>Traduire un algorithme permettant de répondre à un besoin ou à un problème simple en un programme.</t>
        </is>
      </c>
      <c r="D50" s="35" t="inlineStr">
        <is>
          <t>Thème 3</t>
        </is>
      </c>
      <c r="E50" s="35" t="inlineStr">
        <is>
          <t>D1.3, D2, D4</t>
        </is>
      </c>
      <c r="F50" s="35" t="inlineStr">
        <is>
          <t>Oui</t>
        </is>
      </c>
    </row>
    <row r="51" ht="25.5" customHeight="1">
      <c r="A51" s="66" t="inlineStr">
        <is>
          <t>4e_C9.3</t>
        </is>
      </c>
      <c r="B51" s="35" t="inlineStr">
        <is>
          <t>4e</t>
        </is>
      </c>
      <c r="C51" s="35" t="inlineStr">
        <is>
          <t>Réaliser et mettre au point un programme commandant un système réel incluant éventuellement une interaction entre un humain et une machine.</t>
        </is>
      </c>
      <c r="D51" s="35" t="inlineStr">
        <is>
          <t>Thème 3</t>
        </is>
      </c>
      <c r="E51" s="35" t="inlineStr">
        <is>
          <t>D1.3, D2, D4</t>
        </is>
      </c>
      <c r="F51" s="35" t="inlineStr">
        <is>
          <t>Oui</t>
        </is>
      </c>
    </row>
    <row r="53" ht="15" customHeight="1">
      <c r="A53" s="91" t="inlineStr">
        <is>
          <t>38 sous-compétences listées · Source : BO n°9 du 29/02/2024 · codes Nathan (éd. 2024).</t>
        </is>
      </c>
    </row>
  </sheetData>
  <mergeCells count="3">
    <mergeCell ref="A2:F2"/>
    <mergeCell ref="A53:F53"/>
    <mergeCell ref="A1:F1"/>
  </mergeCells>
  <hyperlinks>
    <hyperlink xmlns:r="http://schemas.openxmlformats.org/officeDocument/2006/relationships" ref="F3" location="'🏠%20Accueil'!A1" r:id="rId1"/>
  </hyperlinks>
  <pageMargins left="0.75" right="0.75" top="1" bottom="1" header="0.511811023622047" footer="0.511811023622047"/>
  <pageSetup orientation="landscape" horizontalDpi="300" verticalDpi="300"/>
</worksheet>
</file>

<file path=xl/worksheets/sheet6.xml><?xml version="1.0" encoding="utf-8"?>
<worksheet xmlns="http://schemas.openxmlformats.org/spreadsheetml/2006/main">
  <sheetPr codeName="Feuil6">
    <tabColor rgb="FFBF8F00"/>
    <outlinePr summaryBelow="1" summaryRight="1"/>
    <pageSetUpPr/>
  </sheetPr>
  <dimension ref="A1:M11"/>
  <sheetViews>
    <sheetView showGridLines="0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1" sqref="A1"/>
    </sheetView>
  </sheetViews>
  <sheetFormatPr baseColWidth="10" defaultColWidth="8.69140625" defaultRowHeight="14.6"/>
  <cols>
    <col width="4" customWidth="1" min="1" max="1"/>
    <col width="8" customWidth="1" min="2" max="2"/>
    <col width="30" customWidth="1" min="3" max="3"/>
    <col width="34" customWidth="1" min="4" max="4"/>
    <col width="9" customWidth="1" min="5" max="5"/>
    <col width="28" customWidth="1" min="6" max="6"/>
    <col width="8" customWidth="1" min="7" max="7"/>
    <col width="30" customWidth="1" min="8" max="8"/>
    <col width="34" customWidth="1" min="9" max="9"/>
    <col width="30" customWidth="1" min="10" max="10"/>
    <col width="16" customWidth="1" min="11" max="11"/>
    <col width="20" customWidth="1" min="12" max="13"/>
  </cols>
  <sheetData>
    <row r="1" ht="19.5" customHeight="1">
      <c r="A1" s="25" t="inlineStr">
        <is>
          <t>PROGRESSION ANNUELLE 4e — 2026-2027 · 7 séquences · base : Référentiel 2024 (+ correctif C4.3)</t>
        </is>
      </c>
    </row>
    <row r="2" ht="15" customHeight="1">
      <c r="K2" s="90" t="inlineStr">
        <is>
          <t>◀ Accueil</t>
        </is>
      </c>
    </row>
    <row r="3" ht="15" customHeight="1">
      <c r="A3" s="30" t="inlineStr">
        <is>
          <t>N°</t>
        </is>
      </c>
      <c r="B3" s="30" t="inlineStr">
        <is>
          <t>Période</t>
        </is>
      </c>
      <c r="C3" s="30" t="inlineStr">
        <is>
          <t>Titre</t>
        </is>
      </c>
      <c r="D3" s="30" t="inlineStr">
        <is>
          <t>Problématique</t>
        </is>
      </c>
      <c r="E3" s="30" t="inlineStr">
        <is>
          <t>Thème</t>
        </is>
      </c>
      <c r="F3" s="30" t="inlineStr">
        <is>
          <t>Codes 2024</t>
        </is>
      </c>
      <c r="G3" s="30" t="inlineStr">
        <is>
          <t>Séances</t>
        </is>
      </c>
      <c r="H3" s="30" t="inlineStr">
        <is>
          <t>Répartition 🏫 / 🏠 / 🔁</t>
        </is>
      </c>
      <c r="I3" s="30" t="inlineStr">
        <is>
          <t>Ressources en ligne (dépôt)</t>
        </is>
      </c>
      <c r="J3" s="30" t="inlineStr">
        <is>
          <t>Cahier Nathan 4e (repères)</t>
        </is>
      </c>
      <c r="K3" s="30" t="inlineStr">
        <is>
          <t>IA responsable</t>
        </is>
      </c>
      <c r="L3" s="27" t="inlineStr">
        <is>
          <t>Début (AUTO)</t>
        </is>
      </c>
      <c r="M3" s="27" t="inlineStr">
        <is>
          <t>Fin (AUTO)</t>
        </is>
      </c>
    </row>
    <row r="4" ht="78" customHeight="1">
      <c r="A4" s="67" t="n">
        <v>1</v>
      </c>
      <c r="B4" s="67" t="inlineStr">
        <is>
          <t>P1</t>
        </is>
      </c>
      <c r="C4" s="68" t="inlineStr">
        <is>
          <t>Des objets qui évoluent : usages, avantages, limites</t>
        </is>
      </c>
      <c r="D4" s="69" t="inlineStr">
        <is>
          <t>Pourquoi et comment les objets techniques évoluent-ils dans le temps ?</t>
        </is>
      </c>
      <c r="E4" s="67" t="inlineStr">
        <is>
          <t>Thème 1</t>
        </is>
      </c>
      <c r="F4" s="69" t="inlineStr">
        <is>
          <t>4e_C1.1, C1.2, C1.3</t>
        </is>
      </c>
      <c r="G4" s="67" t="n">
        <v>3</v>
      </c>
      <c r="H4" s="69" t="inlineStr">
        <is>
          <t xml:space="preserve">En ligne, 5 séances de 55 min : 1 « Lire » · 2 « Estimer » · 3 « Comparer » · 4 « Exiger » · 5 « Justifier » (besoin et cartes mentales sur un autre objet), bilan, QCM</t>
        </is>
      </c>
      <c r="I4" s="69" t="inlineStr">
        <is>
          <t xml:space="preserve">✅ Séquence « Tsinghua : concevoir avant de connecter » (4e_C1.1 à C1.3) : 5 séances de 55 min, QCM 33 q, synthèses</t>
        </is>
      </c>
      <c r="J4" s="69" t="inlineStr">
        <is>
          <t>Prob. 1 p.7-12 (évolution d'un objet : aspirateurs, avions, conservation des aliments)</t>
        </is>
      </c>
      <c r="K4" s="69" t="inlineStr">
        <is>
          <t>IA Thème 1</t>
        </is>
      </c>
      <c r="L4" s="70">
        <f>IFERROR(INDEX('📅 Calendrier'!$A$4:$A$54,MATCH("S1 · séance 1",'📅 Calendrier'!$D$4:$D$54,0))&amp;" ("&amp;INDEX('📅 Calendrier'!$B$4:$B$54,MATCH("S1 · séance 1",'📅 Calendrier'!$D$4:$D$54,0))&amp;")","⚠ hors année !")</f>
        <v/>
      </c>
      <c r="M4" s="70">
        <f>IFERROR(INDEX('📅 Calendrier'!$A$4:$A$54,MATCH("S1 · séance 3",'📅 Calendrier'!$D$4:$D$54,0))&amp;" ("&amp;INDEX('📅 Calendrier'!$B$4:$B$54,MATCH("S1 · séance 3",'📅 Calendrier'!$D$4:$D$54,0))&amp;")","⚠ hors année !")</f>
        <v/>
      </c>
    </row>
    <row r="5" ht="78" customHeight="1">
      <c r="A5" s="67" t="n">
        <v>2</v>
      </c>
      <c r="B5" s="67" t="inlineStr">
        <is>
          <t>P1</t>
        </is>
      </c>
      <c r="C5" s="68" t="inlineStr">
        <is>
          <t>Naviguer en sécurité : identité numérique et usage raisonné</t>
        </is>
      </c>
      <c r="D5" s="69" t="inlineStr">
        <is>
          <t>Quelles traces je laisse en ligne, et comment les maîtriser ?</t>
        </is>
      </c>
      <c r="E5" s="67" t="inlineStr">
        <is>
          <t>Thème 1</t>
        </is>
      </c>
      <c r="F5" s="69" t="inlineStr">
        <is>
          <t>4e_C1.4</t>
        </is>
      </c>
      <c r="G5" s="67" t="n">
        <v>2</v>
      </c>
      <c r="H5" s="69" t="inlineStr">
        <is>
          <t>Séance 1 🏫 (étude de cas) · 2 🔁 (audit de ses propres réglages à la maison, bilan en classe)</t>
        </is>
      </c>
      <c r="I5" s="69" t="inlineStr">
        <is>
          <t>🔜 À produire (Thème 1)</t>
        </is>
      </c>
      <c r="J5" s="69" t="inlineStr">
        <is>
          <t>Vers Pix — Domaine 4 Protection et sécurité (fin du cahier) · rappels Prob. 1</t>
        </is>
      </c>
      <c r="K5" s="69" t="inlineStr">
        <is>
          <t>IA Thème 1</t>
        </is>
      </c>
      <c r="L5" s="70">
        <f>IFERROR(INDEX('📅 Calendrier'!$A$4:$A$54,MATCH("S2 · séance 1",'📅 Calendrier'!$D$4:$D$54,0))&amp;" ("&amp;INDEX('📅 Calendrier'!$B$4:$B$54,MATCH("S2 · séance 1",'📅 Calendrier'!$D$4:$D$54,0))&amp;")","⚠ hors année !")</f>
        <v/>
      </c>
      <c r="M5" s="70">
        <f>IFERROR(INDEX('📅 Calendrier'!$A$4:$A$54,MATCH("S2 · séance 2",'📅 Calendrier'!$D$4:$D$54,0))&amp;" ("&amp;INDEX('📅 Calendrier'!$B$4:$B$54,MATCH("S2 · séance 2",'📅 Calendrier'!$D$4:$D$54,0))&amp;")","⚠ hors année !")</f>
        <v/>
      </c>
    </row>
    <row r="6" ht="78" customHeight="1">
      <c r="A6" s="67" t="n">
        <v>3</v>
      </c>
      <c r="B6" s="67" t="inlineStr">
        <is>
          <t>P1/P2</t>
        </is>
      </c>
      <c r="C6" s="68" t="inlineStr">
        <is>
          <t>Concevoir pour l'utilisateur : ergonomie et choix argumenté</t>
        </is>
      </c>
      <c r="D6" s="69" t="inlineStr">
        <is>
          <t>Comment choisir un objet technique en croisant plusieurs critères (usage, mesure, environnement) ?</t>
        </is>
      </c>
      <c r="E6" s="67" t="inlineStr">
        <is>
          <t>Thème 1</t>
        </is>
      </c>
      <c r="F6" s="69" t="inlineStr">
        <is>
          <t>4e_C2.1, C2.2, C3.1, C3.2, C3.3</t>
        </is>
      </c>
      <c r="G6" s="67" t="n">
        <v>4</v>
      </c>
      <c r="H6" s="69" t="inlineStr">
        <is>
          <t>Séances 1-2 🏫 (expérience utilisateur, protocole de mesure au multimètre) · 3 🔁 (comparatif à finir) · 4 🏫 (choix argumenté + éval.)</t>
        </is>
      </c>
      <c r="I6" s="69" t="inlineStr">
        <is>
          <t>🔜 À produire (Thème 1)</t>
        </is>
      </c>
      <c r="J6" s="69" t="inlineStr">
        <is>
          <t>Prob. 11 p.79-84 (mesurer les performances) · Prob. 10 p.73-78 (impact environnemental)</t>
        </is>
      </c>
      <c r="K6" s="69" t="inlineStr">
        <is>
          <t>IA Thème 1</t>
        </is>
      </c>
      <c r="L6" s="70">
        <f>IFERROR(INDEX('📅 Calendrier'!$A$4:$A$54,MATCH("S3 · séance 1",'📅 Calendrier'!$D$4:$D$54,0))&amp;" ("&amp;INDEX('📅 Calendrier'!$B$4:$B$54,MATCH("S3 · séance 1",'📅 Calendrier'!$D$4:$D$54,0))&amp;")","⚠ hors année !")</f>
        <v/>
      </c>
      <c r="M6" s="70">
        <f>IFERROR(INDEX('📅 Calendrier'!$A$4:$A$54,MATCH("S3 · séance 4",'📅 Calendrier'!$D$4:$D$54,0))&amp;" ("&amp;INDEX('📅 Calendrier'!$B$4:$B$54,MATCH("S3 · séance 4",'📅 Calendrier'!$D$4:$D$54,0))&amp;")","⚠ hors année !")</f>
        <v/>
      </c>
    </row>
    <row r="7" ht="78" customHeight="1">
      <c r="A7" s="71" t="n">
        <v>4</v>
      </c>
      <c r="B7" s="71" t="inlineStr">
        <is>
          <t>P2/P3</t>
        </is>
      </c>
      <c r="C7" s="72" t="inlineStr">
        <is>
          <t>Automatiser le jardin connecté : chaîne d'énergie et d'information</t>
        </is>
      </c>
      <c r="D7" s="73" t="inlineStr">
        <is>
          <t>Comment un système automatisé peut-il réguler l'arrosage d'un jardin ?</t>
        </is>
      </c>
      <c r="E7" s="71" t="inlineStr">
        <is>
          <t>Thème 2</t>
        </is>
      </c>
      <c r="F7" s="73" t="inlineStr">
        <is>
          <t>4e_C4.1, C4.2, C4.4, C4.5, C4.6</t>
        </is>
      </c>
      <c r="G7" s="71" t="n">
        <v>5</v>
      </c>
      <c r="H7" s="73" t="inlineStr">
        <is>
          <t>Séance 1 🏫 (analyse du système) · 2-3 🏫 (chaînes, transformations, capteurs Arduino) · 4 🔁 (données CSV maison) · 5 🏠 QCM + 🏫 éval.</t>
        </is>
      </c>
      <c r="I7" s="73" t="inlineStr">
        <is>
          <t>✅ Partiel : QCM « Jardin connecté », « Automatisation », « eCall » (existants) · 🔜 séquence îlot 4e_C4 (Fable)</t>
        </is>
      </c>
      <c r="J7" s="73" t="inlineStr">
        <is>
          <t>Prob. 5 p.37-44 (chaîne d'énergie) · Prob. 3 p.21-28 (fonctionnement) · Prob. 7 p.53-58 (automatiser)</t>
        </is>
      </c>
      <c r="K7" s="73" t="inlineStr">
        <is>
          <t>Fable (Th. 2)</t>
        </is>
      </c>
      <c r="L7" s="74">
        <f>IFERROR(INDEX('📅 Calendrier'!$A$4:$A$54,MATCH("S4 · séance 1",'📅 Calendrier'!$D$4:$D$54,0))&amp;" ("&amp;INDEX('📅 Calendrier'!$B$4:$B$54,MATCH("S4 · séance 1",'📅 Calendrier'!$D$4:$D$54,0))&amp;")","⚠ hors année !")</f>
        <v/>
      </c>
      <c r="M7" s="74">
        <f>IFERROR(INDEX('📅 Calendrier'!$A$4:$A$54,MATCH("S4 · séance 5",'📅 Calendrier'!$D$4:$D$54,0))&amp;" ("&amp;INDEX('📅 Calendrier'!$B$4:$B$54,MATCH("S4 · séance 5",'📅 Calendrier'!$D$4:$D$54,0))&amp;")","⚠ hors année !")</f>
        <v/>
      </c>
    </row>
    <row r="8" ht="78" customHeight="1">
      <c r="A8" s="71" t="n">
        <v>5</v>
      </c>
      <c r="B8" s="71" t="inlineStr">
        <is>
          <t>P3/P4</t>
        </is>
      </c>
      <c r="C8" s="72" t="inlineStr">
        <is>
          <t>Objets connectés en réseau : adresse IP et communication</t>
        </is>
      </c>
      <c r="D8" s="73" t="inlineStr">
        <is>
          <t>Comment ajouter un objet connecté à un réseau local et le faire dialoguer ?</t>
        </is>
      </c>
      <c r="E8" s="71" t="inlineStr">
        <is>
          <t>Thème 2</t>
        </is>
      </c>
      <c r="F8" s="73" t="inlineStr">
        <is>
          <t>4e_C4.7, C4.8, C4.9</t>
        </is>
      </c>
      <c r="G8" s="71" t="n">
        <v>4</v>
      </c>
      <c r="H8" s="73" t="inlineStr">
        <is>
          <t>Séance 1 🏫 (rappels 5e + adresse IP) · 2 🏫 (simulateur de réseau) · 3 🔁 (IoT VittaScience) · 4 🏠 QCM + 🏫 bilan</t>
        </is>
      </c>
      <c r="I8" s="73" t="inlineStr">
        <is>
          <t>✅ Partiel : QCM réseaux existant (40 q IP/NFC/RFID/Zigbee) · 🔜 séquence (Fable)</t>
        </is>
      </c>
      <c r="J8" s="73" t="inlineStr">
        <is>
          <t>Prob. 2 p.13-20 (connecter un objet à un réseau) · Point méthode adresse IP</t>
        </is>
      </c>
      <c r="K8" s="73" t="inlineStr">
        <is>
          <t>Fable (Th. 2)</t>
        </is>
      </c>
      <c r="L8" s="74">
        <f>IFERROR(INDEX('📅 Calendrier'!$A$4:$A$54,MATCH("S5 · séance 1",'📅 Calendrier'!$D$4:$D$54,0))&amp;" ("&amp;INDEX('📅 Calendrier'!$B$4:$B$54,MATCH("S5 · séance 1",'📅 Calendrier'!$D$4:$D$54,0))&amp;")","⚠ hors année !")</f>
        <v/>
      </c>
      <c r="M8" s="74">
        <f>IFERROR(INDEX('📅 Calendrier'!$A$4:$A$54,MATCH("S5 · séance 4",'📅 Calendrier'!$D$4:$D$54,0))&amp;" ("&amp;INDEX('📅 Calendrier'!$B$4:$B$54,MATCH("S5 · séance 4",'📅 Calendrier'!$D$4:$D$54,0))&amp;")","⚠ hors année !")</f>
        <v/>
      </c>
    </row>
    <row r="9" ht="78" customHeight="1">
      <c r="A9" s="71" t="n">
        <v>6</v>
      </c>
      <c r="B9" s="71" t="inlineStr">
        <is>
          <t>P4</t>
        </is>
      </c>
      <c r="C9" s="72" t="inlineStr">
        <is>
          <t>Réparer sans notice : diagnostic, pièce et programme</t>
        </is>
      </c>
      <c r="D9" s="73" t="inlineStr">
        <is>
          <t>Comment diagnostiquer une panne sans protocole fourni, remplacer la pièce et corriger le programme ?</t>
        </is>
      </c>
      <c r="E9" s="71" t="inlineStr">
        <is>
          <t>Thème 2</t>
        </is>
      </c>
      <c r="F9" s="73" t="inlineStr">
        <is>
          <t>4e_C5.1, C5.2, C5.3 + 4e_C6.1, C6.2, C6.3 + 4e_C4.3 (rattaché ici — correctif)</t>
        </is>
      </c>
      <c r="G9" s="71" t="n">
        <v>4</v>
      </c>
      <c r="H9" s="73" t="inlineStr">
        <is>
          <t>Séances 1-2 🏫 (diagnostic, hypothèses, remplacement — forme de la pièce ↔ procédé) · 3 🏫 (programme : compléter/corriger) · 4 🔁 (rapport + QCM maison)</t>
        </is>
      </c>
      <c r="I9" s="73" t="inlineStr">
        <is>
          <t>✅ Partiel : QCM « Éclairage automatique », « Algorigrammes domotique » (existants) · 🔜 séquence (Fable, sur le modèle 3e « SOS station »)</t>
        </is>
      </c>
      <c r="J9" s="73" t="inlineStr">
        <is>
          <t>Prob. 8 p.61-66 (prolonger la durée de vie) · Prob. 6 p.45-52 (programmer) · Prob. 4 p.29-36 (matériaux et formes → C4.3)</t>
        </is>
      </c>
      <c r="K9" s="73" t="inlineStr">
        <is>
          <t>Fable (Th. 2)</t>
        </is>
      </c>
      <c r="L9" s="74">
        <f>IFERROR(INDEX('📅 Calendrier'!$A$4:$A$54,MATCH("S6 · séance 1",'📅 Calendrier'!$D$4:$D$54,0))&amp;" ("&amp;INDEX('📅 Calendrier'!$B$4:$B$54,MATCH("S6 · séance 1",'📅 Calendrier'!$D$4:$D$54,0))&amp;")","⚠ hors année !")</f>
        <v/>
      </c>
      <c r="M9" s="74">
        <f>IFERROR(INDEX('📅 Calendrier'!$A$4:$A$54,MATCH("S6 · séance 4",'📅 Calendrier'!$D$4:$D$54,0))&amp;" ("&amp;INDEX('📅 Calendrier'!$B$4:$B$54,MATCH("S6 · séance 4",'📅 Calendrier'!$D$4:$D$54,0))&amp;")","⚠ hors année !")</f>
        <v/>
      </c>
    </row>
    <row r="10" ht="78" customHeight="1">
      <c r="A10" s="75" t="n">
        <v>7</v>
      </c>
      <c r="B10" s="75" t="inlineStr">
        <is>
          <t>P4/P5</t>
        </is>
      </c>
      <c r="C10" s="76" t="inlineStr">
        <is>
          <t>Projet : ajouter une nouvelle fonction à un objet connecté</t>
        </is>
      </c>
      <c r="D10" s="77" t="inlineStr">
        <is>
          <t>Comment concevoir, réaliser et programmer une nouvelle fonctionnalité ?</t>
        </is>
      </c>
      <c r="E10" s="75" t="inlineStr">
        <is>
          <t>Thème 3</t>
        </is>
      </c>
      <c r="F10" s="77" t="inlineStr">
        <is>
          <t>4e_C7.1→C7.8, C8.1→C8.3, C9.1→C9.3</t>
        </is>
      </c>
      <c r="G10" s="75" t="n">
        <v>6</v>
      </c>
      <c r="H10" s="77" t="inlineStr">
        <is>
          <t>Séances 1-5 🏫 (démarche de projet : cahier des charges → prototype → tests) · entre séances 🏠 (croquis, recherches) · 6 🏫 revue de projet</t>
        </is>
      </c>
      <c r="I10" s="77" t="inlineStr">
        <is>
          <t>🔜 À produire (Thème 3)</t>
        </is>
      </c>
      <c r="J10" s="77" t="inlineStr">
        <is>
          <t>Prob. 9 p.67-72 (réaliser/modifier un prototype) · Prob. 10 p.73-78 · Prob. 6 p.45-52</t>
        </is>
      </c>
      <c r="K10" s="77" t="inlineStr">
        <is>
          <t>IA Thème 3</t>
        </is>
      </c>
      <c r="L10" s="78">
        <f>IFERROR(INDEX('📅 Calendrier'!$A$4:$A$54,MATCH("S7 · séance 1",'📅 Calendrier'!$D$4:$D$54,0))&amp;" ("&amp;INDEX('📅 Calendrier'!$B$4:$B$54,MATCH("S7 · séance 1",'📅 Calendrier'!$D$4:$D$54,0))&amp;")","⚠ hors année !")</f>
        <v/>
      </c>
      <c r="M10" s="78">
        <f>IFERROR(INDEX('📅 Calendrier'!$A$4:$A$54,MATCH("S7 · séance 6",'📅 Calendrier'!$D$4:$D$54,0))&amp;" ("&amp;INDEX('📅 Calendrier'!$B$4:$B$54,MATCH("S7 · séance 6",'📅 Calendrier'!$D$4:$D$54,0))&amp;")","⚠ hors année !")</f>
        <v/>
      </c>
    </row>
    <row r="11" ht="15" customHeight="1">
      <c r="F11" s="79" t="inlineStr">
        <is>
          <t>Total séances planifiées :</t>
        </is>
      </c>
      <c r="G11" s="80">
        <f>SUM(G4:G10)</f>
        <v/>
      </c>
      <c r="H11" s="91" t="inlineStr">
        <is>
          <t>+ 9 semaines tampon = 37 semaines (voir Calendrier) · colonnes AUTO recalculées selon les imprévus</t>
        </is>
      </c>
    </row>
  </sheetData>
  <hyperlinks>
    <hyperlink xmlns:r="http://schemas.openxmlformats.org/officeDocument/2006/relationships" ref="K2" location="'🏠%20Accueil'!A1" r:id="rId1"/>
  </hyperlinks>
  <pageMargins left="0.75" right="0.75" top="1" bottom="1" header="0.511811023622047" footer="0.511811023622047"/>
  <pageSetup orientation="landscape" horizontalDpi="300" verticalDpi="300"/>
</worksheet>
</file>

<file path=xl/worksheets/sheet7.xml><?xml version="1.0" encoding="utf-8"?>
<worksheet xmlns="http://schemas.openxmlformats.org/spreadsheetml/2006/main">
  <sheetPr codeName="Feuil7">
    <tabColor rgb="FFC55A11"/>
    <outlinePr summaryBelow="1" summaryRight="1"/>
    <pageSetUpPr/>
  </sheetPr>
  <dimension ref="A1:F48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100" t="inlineStr">
        <is>
          <t>GÉNÉRATEUR DE SÉQUENCE 2024 — S1 · Des objets qui évoluent : usages, avantages, limites</t>
        </is>
      </c>
    </row>
    <row r="2" ht="15" customHeight="1">
      <c r="A2" s="91" t="inlineStr">
        <is>
          <t>Thème 1 · P1 · 3 séances de 1 h 30 · Responsable : IA Thème 1 · CANEVAS À REMPLIR par IA Thème 1 (règle : l'IA du thème est seule à modifier)</t>
        </is>
      </c>
    </row>
    <row r="3" ht="15" customHeight="1">
      <c r="E3" s="98" t="inlineStr">
        <is>
          <t>◀ Progression</t>
        </is>
      </c>
      <c r="F3" s="90" t="inlineStr">
        <is>
          <t>◀ Accueil</t>
        </is>
      </c>
    </row>
    <row r="4" ht="27.75" customHeight="1">
      <c r="A4" s="68" t="inlineStr">
        <is>
          <t>Problématique</t>
        </is>
      </c>
      <c r="B4" s="101" t="inlineStr">
        <is>
          <t>Pourquoi et comment les objets techniques évoluent-ils dans le temps ?</t>
        </is>
      </c>
      <c r="C4" s="109" t="n"/>
      <c r="D4" s="109" t="n"/>
      <c r="E4" s="109" t="n"/>
      <c r="F4" s="109" t="n"/>
    </row>
    <row r="5" ht="27.75" customHeight="1">
      <c r="A5" s="68" t="inlineStr">
        <is>
          <t>Situation déclenchante</t>
        </is>
      </c>
      <c r="B5" s="101" t="inlineStr">
        <is>
          <t>⚠ À compléter par IA Thème 1 (canevas pré-rempli par Fable — codes, problématique et repères Nathan posés).</t>
        </is>
      </c>
      <c r="C5" s="109" t="n"/>
      <c r="D5" s="109" t="n"/>
      <c r="E5" s="109" t="n"/>
      <c r="F5" s="109" t="n"/>
    </row>
    <row r="6" ht="27.75" customHeight="1">
      <c r="A6" s="68" t="inlineStr">
        <is>
          <t>Prérequis</t>
        </is>
      </c>
      <c r="B6" s="101" t="inlineStr">
        <is>
          <t>—</t>
        </is>
      </c>
      <c r="C6" s="109" t="n"/>
      <c r="D6" s="109" t="n"/>
      <c r="E6" s="109" t="n"/>
      <c r="F6" s="109" t="n"/>
    </row>
    <row r="7" ht="27.75" customHeight="1">
      <c r="A7" s="68" t="inlineStr">
        <is>
          <t>Éléments pour la synthèse (objectifs)</t>
        </is>
      </c>
      <c r="B7" s="101" t="inlineStr">
        <is>
          <t>⚠ À compléter par IA Thème 1 (canevas pré-rempli par Fable — codes, problématique et repères Nathan posés).</t>
        </is>
      </c>
      <c r="C7" s="109" t="n"/>
      <c r="D7" s="109" t="n"/>
      <c r="E7" s="109" t="n"/>
      <c r="F7" s="109" t="n"/>
    </row>
    <row r="8" ht="27.75" customHeight="1">
      <c r="A8" s="68" t="inlineStr">
        <is>
          <t>Piste d'évaluation</t>
        </is>
      </c>
      <c r="B8" s="101" t="inlineStr">
        <is>
          <t>Frise/argumentaire sur l'évolution d'un objet</t>
        </is>
      </c>
      <c r="C8" s="109" t="n"/>
      <c r="D8" s="109" t="n"/>
      <c r="E8" s="109" t="n"/>
      <c r="F8" s="109" t="n"/>
    </row>
    <row r="9" ht="27.75" customHeight="1">
      <c r="A9" s="68" t="inlineStr">
        <is>
          <t>Domaines du socle mobilisés</t>
        </is>
      </c>
      <c r="B9" s="101" t="inlineStr">
        <is>
          <t>D3, D4, D5  (détail par code ci-dessous)</t>
        </is>
      </c>
      <c r="C9" s="109" t="n"/>
      <c r="D9" s="109" t="n"/>
      <c r="E9" s="109" t="n"/>
      <c r="F9" s="109" t="n"/>
    </row>
    <row r="10" ht="27.75" customHeight="1">
      <c r="A10" s="68" t="inlineStr">
        <is>
          <t>CRCN — compétences numériques (Pix)</t>
        </is>
      </c>
      <c r="B10" s="101" t="inlineStr">
        <is>
          <t>1.1 Mener une recherche (Niv. 2-3) · 1.3 Traiter des données (Niv. 2)</t>
        </is>
      </c>
      <c r="C10" s="109" t="n"/>
      <c r="D10" s="109" t="n"/>
      <c r="E10" s="109" t="n"/>
      <c r="F10" s="109" t="n"/>
    </row>
    <row r="11" ht="27.75" customHeight="1">
      <c r="A11" s="68" t="inlineStr">
        <is>
          <t>Versions 🅰 / 🅱 / 🅲</t>
        </is>
      </c>
      <c r="B11" s="101" t="inlineStr">
        <is>
          <t>⚠ À compléter par IA Thème 1 (canevas pré-rempli par Fable — codes, problématique et repères Nathan posés).</t>
        </is>
      </c>
      <c r="C11" s="109" t="n"/>
      <c r="D11" s="109" t="n"/>
      <c r="E11" s="109" t="n"/>
      <c r="F11" s="109" t="n"/>
    </row>
    <row r="12" ht="27.75" customHeight="1">
      <c r="A12" s="68" t="inlineStr">
        <is>
          <t>Liens EPI / parcours</t>
        </is>
      </c>
      <c r="B12" s="101" t="inlineStr">
        <is>
          <t>⚠ À compléter par IA Thème 1 (canevas pré-rempli par Fable — codes, problématique et repères Nathan posés).</t>
        </is>
      </c>
      <c r="C12" s="109" t="n"/>
      <c r="D12" s="109" t="n"/>
      <c r="E12" s="109" t="n"/>
      <c r="F12" s="109" t="n"/>
    </row>
    <row r="13" ht="27.75" customHeight="1">
      <c r="A13" s="68" t="inlineStr">
        <is>
          <t>Cahier Nathan 4e</t>
        </is>
      </c>
      <c r="B13" s="101" t="inlineStr">
        <is>
          <t>Prob. 1 p.7-12 (évolution d'un objet : aspirateurs, avions, conservation des aliments)</t>
        </is>
      </c>
      <c r="C13" s="109" t="n"/>
      <c r="D13" s="109" t="n"/>
      <c r="E13" s="109" t="n"/>
      <c r="F13" s="109" t="n"/>
    </row>
    <row r="14" ht="27.75" customHeight="1">
      <c r="A14" s="68" t="inlineStr">
        <is>
          <t>Ressources en ligne</t>
        </is>
      </c>
      <c r="B14" s="101" t="inlineStr">
        <is>
          <t>🔜 À produire (Thème 1)</t>
        </is>
      </c>
      <c r="C14" s="109" t="n"/>
      <c r="D14" s="109" t="n"/>
      <c r="E14" s="109" t="n"/>
      <c r="F14" s="109" t="n"/>
    </row>
    <row r="16" ht="15" customHeight="1">
      <c r="A16" s="48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6" t="inlineStr">
        <is>
          <t>4e_C1.1</t>
        </is>
      </c>
      <c r="B18" s="35" t="inlineStr">
        <is>
          <t>Mettre en relation les OST avec leurs usages.</t>
        </is>
      </c>
      <c r="C18" s="35" t="inlineStr">
        <is>
          <t>D4, D5</t>
        </is>
      </c>
      <c r="D18" s="35" t="inlineStr">
        <is>
          <t>—</t>
        </is>
      </c>
      <c r="E18" s="35" t="inlineStr">
        <is>
          <t>→ LSU</t>
        </is>
      </c>
    </row>
    <row r="19" ht="30" customHeight="1">
      <c r="A19" s="66" t="inlineStr">
        <is>
          <t>4e_C1.2</t>
        </is>
      </c>
      <c r="B19" s="35" t="inlineStr">
        <is>
          <t>Identifier les avantages et les inconvénients associés aux évolutions technologiques et informatiques.</t>
        </is>
      </c>
      <c r="C19" s="35" t="inlineStr">
        <is>
          <t>D3, D4, D5</t>
        </is>
      </c>
      <c r="D19" s="35" t="inlineStr">
        <is>
          <t>—</t>
        </is>
      </c>
      <c r="E19" s="35" t="inlineStr">
        <is>
          <t>→ LSU</t>
        </is>
      </c>
    </row>
    <row r="20" ht="30" customHeight="1">
      <c r="A20" s="66" t="inlineStr">
        <is>
          <t>4e_C1.3</t>
        </is>
      </c>
      <c r="B20" s="35" t="inlineStr">
        <is>
          <t>Justifier l’évolution d’un OST pour répondre à l’évolution des besoins.</t>
        </is>
      </c>
      <c r="C20" s="35" t="inlineStr">
        <is>
          <t>D3, D4, D5</t>
        </is>
      </c>
      <c r="D20" s="35" t="inlineStr">
        <is>
          <t>—</t>
        </is>
      </c>
      <c r="E20" s="35" t="inlineStr">
        <is>
          <t>→ LSU</t>
        </is>
      </c>
    </row>
    <row r="22" ht="15" customHeight="1">
      <c r="A22" s="48" t="inlineStr">
        <is>
          <t>Déroulé, séance par séance — avec cahier de texte Pronote prêt à coller</t>
        </is>
      </c>
    </row>
    <row r="23" ht="15" customHeight="1">
      <c r="A23" s="102" t="inlineStr">
        <is>
          <t>■ Séance 1 — semaine S01 — — — [titre de la séance 1 — à compléter]</t>
        </is>
      </c>
    </row>
    <row r="24" ht="27.75" customHeight="1">
      <c r="A24" s="68" t="inlineStr">
        <is>
          <t>Question directrice</t>
        </is>
      </c>
      <c r="B24" s="101" t="inlineStr">
        <is>
          <t>[question directrice]</t>
        </is>
      </c>
      <c r="C24" s="109" t="n"/>
      <c r="D24" s="109" t="n"/>
      <c r="E24" s="109" t="n"/>
      <c r="F24" s="109" t="n"/>
    </row>
    <row r="25" ht="27.75" customHeight="1">
      <c r="A25" s="68" t="inlineStr">
        <is>
          <t>Activités &amp; supports</t>
        </is>
      </c>
      <c r="B25" s="101" t="inlineStr">
        <is>
          <t>[activités — repères Nathan : Prob. 1 p.7-12 (évolution d'un objet : aspirateurs, avions, conservation des aliments)]</t>
        </is>
      </c>
      <c r="C25" s="109" t="n"/>
      <c r="D25" s="109" t="n"/>
      <c r="E25" s="109" t="n"/>
      <c r="F25" s="109" t="n"/>
    </row>
    <row r="26" ht="27.75" customHeight="1">
      <c r="A26" s="68" t="inlineStr">
        <is>
          <t>Démarche / organisation</t>
        </is>
      </c>
      <c r="B26" s="101" t="inlineStr">
        <is>
          <t>[démarche]</t>
        </is>
      </c>
      <c r="C26" s="109" t="n"/>
      <c r="D26" s="109" t="n"/>
      <c r="E26" s="109" t="n"/>
      <c r="F26" s="109" t="n"/>
    </row>
    <row r="27" ht="27.75" customHeight="1">
      <c r="A27" s="68" t="inlineStr">
        <is>
          <t>Bilan / trace écrite</t>
        </is>
      </c>
      <c r="B27" s="101" t="inlineStr">
        <is>
          <t>[trace écrite]</t>
        </is>
      </c>
      <c r="C27" s="109" t="n"/>
      <c r="D27" s="109" t="n"/>
      <c r="E27" s="109" t="n"/>
      <c r="F27" s="109" t="n"/>
    </row>
    <row r="28" ht="39.75" customHeight="1">
      <c r="A28" s="81" t="inlineStr">
        <is>
          <t>📋 CAHIER DE TEXTE
Contenu de la séance
👆 CLIC = copier pour Pronote</t>
        </is>
      </c>
      <c r="B28" s="103" t="inlineStr">
        <is>
          <t>[Cahier de texte — contenu de la séance 1 : à rédiger par IA Thème 1 — phrase(s) prêtes à coller dans Pronote.]</t>
        </is>
      </c>
      <c r="C28" s="109" t="n"/>
      <c r="D28" s="109" t="n"/>
      <c r="E28" s="109" t="n"/>
      <c r="F28" s="109" t="n"/>
    </row>
    <row r="29" ht="39.75" customHeight="1">
      <c r="A29" s="81" t="inlineStr">
        <is>
          <t>📋 CAHIER DE TEXTE
Travail à faire
👆 CLIC = copier pour Pronote</t>
        </is>
      </c>
      <c r="B29" s="103" t="inlineStr">
        <is>
          <t>[Cahier de texte — travail à faire : à rédiger — support (lien ou pages Nathan), durée estimée, « faisable sur téléphone » si c'est le cas.]</t>
        </is>
      </c>
      <c r="C29" s="109" t="n"/>
      <c r="D29" s="109" t="n"/>
      <c r="E29" s="109" t="n"/>
      <c r="F29" s="109" t="n"/>
    </row>
    <row r="30" ht="15" customHeight="1">
      <c r="A30" s="82" t="inlineStr">
        <is>
          <t>Suivi enseignant</t>
        </is>
      </c>
      <c r="B30" s="83" t="inlineStr">
        <is>
          <t>Fait le : ____________</t>
        </is>
      </c>
      <c r="C30" s="104" t="inlineStr">
        <is>
          <t xml:space="preserve">Report / aléa / remarques : </t>
        </is>
      </c>
      <c r="D30" s="109" t="n"/>
      <c r="E30" s="109" t="n"/>
      <c r="F30" s="109" t="n"/>
    </row>
    <row r="32" ht="15" customHeight="1">
      <c r="A32" s="102" t="inlineStr">
        <is>
          <t>■ Séance 2 — semaine S02 — — — [titre de la séance 2 — à compléter]</t>
        </is>
      </c>
    </row>
    <row r="33" ht="27.75" customHeight="1">
      <c r="A33" s="68" t="inlineStr">
        <is>
          <t>Question directrice</t>
        </is>
      </c>
      <c r="B33" s="101" t="inlineStr">
        <is>
          <t>[question directrice]</t>
        </is>
      </c>
      <c r="C33" s="109" t="n"/>
      <c r="D33" s="109" t="n"/>
      <c r="E33" s="109" t="n"/>
      <c r="F33" s="109" t="n"/>
    </row>
    <row r="34" ht="27.75" customHeight="1">
      <c r="A34" s="68" t="inlineStr">
        <is>
          <t>Activités &amp; supports</t>
        </is>
      </c>
      <c r="B34" s="101" t="inlineStr">
        <is>
          <t>[activités — repères Nathan : Prob. 1 p.7-12 (évolution d'un objet : aspirateurs, avions, conservation des aliments)]</t>
        </is>
      </c>
      <c r="C34" s="109" t="n"/>
      <c r="D34" s="109" t="n"/>
      <c r="E34" s="109" t="n"/>
      <c r="F34" s="109" t="n"/>
    </row>
    <row r="35" ht="27.75" customHeight="1">
      <c r="A35" s="68" t="inlineStr">
        <is>
          <t>Démarche / organisation</t>
        </is>
      </c>
      <c r="B35" s="101" t="inlineStr">
        <is>
          <t>[démarche]</t>
        </is>
      </c>
      <c r="C35" s="109" t="n"/>
      <c r="D35" s="109" t="n"/>
      <c r="E35" s="109" t="n"/>
      <c r="F35" s="109" t="n"/>
    </row>
    <row r="36" ht="27.75" customHeight="1">
      <c r="A36" s="68" t="inlineStr">
        <is>
          <t>Bilan / trace écrite</t>
        </is>
      </c>
      <c r="B36" s="101" t="inlineStr">
        <is>
          <t>[trace écrite]</t>
        </is>
      </c>
      <c r="C36" s="109" t="n"/>
      <c r="D36" s="109" t="n"/>
      <c r="E36" s="109" t="n"/>
      <c r="F36" s="109" t="n"/>
    </row>
    <row r="37" ht="39.75" customHeight="1">
      <c r="A37" s="81" t="inlineStr">
        <is>
          <t>📋 CAHIER DE TEXTE
Contenu de la séance
👆 CLIC = copier pour Pronote</t>
        </is>
      </c>
      <c r="B37" s="103" t="inlineStr">
        <is>
          <t>[Cahier de texte — contenu de la séance 2 : à rédiger par IA Thème 1 — phrase(s) prêtes à coller dans Pronote.]</t>
        </is>
      </c>
      <c r="C37" s="109" t="n"/>
      <c r="D37" s="109" t="n"/>
      <c r="E37" s="109" t="n"/>
      <c r="F37" s="109" t="n"/>
    </row>
    <row r="38" ht="39.75" customHeight="1">
      <c r="A38" s="81" t="inlineStr">
        <is>
          <t>📋 CAHIER DE TEXTE
Travail à faire
👆 CLIC = copier pour Pronote</t>
        </is>
      </c>
      <c r="B38" s="103" t="inlineStr">
        <is>
          <t>[Cahier de texte — travail à faire : à rédiger — support (lien ou pages Nathan), durée estimée, « faisable sur téléphone » si c'est le cas.]</t>
        </is>
      </c>
      <c r="C38" s="109" t="n"/>
      <c r="D38" s="109" t="n"/>
      <c r="E38" s="109" t="n"/>
      <c r="F38" s="109" t="n"/>
    </row>
    <row r="39" ht="15" customHeight="1">
      <c r="A39" s="82" t="inlineStr">
        <is>
          <t>Suivi enseignant</t>
        </is>
      </c>
      <c r="B39" s="83" t="inlineStr">
        <is>
          <t>Fait le : ____________</t>
        </is>
      </c>
      <c r="C39" s="104" t="inlineStr">
        <is>
          <t xml:space="preserve">Report / aléa / remarques : </t>
        </is>
      </c>
      <c r="D39" s="109" t="n"/>
      <c r="E39" s="109" t="n"/>
      <c r="F39" s="109" t="n"/>
    </row>
    <row r="41" ht="15" customHeight="1">
      <c r="A41" s="102" t="inlineStr">
        <is>
          <t>■ Séance 3 — semaine S03 — — — [titre de la séance 3 — à compléter]</t>
        </is>
      </c>
    </row>
    <row r="42" ht="27.75" customHeight="1">
      <c r="A42" s="68" t="inlineStr">
        <is>
          <t>Question directrice</t>
        </is>
      </c>
      <c r="B42" s="101" t="inlineStr">
        <is>
          <t>[question directrice]</t>
        </is>
      </c>
      <c r="C42" s="109" t="n"/>
      <c r="D42" s="109" t="n"/>
      <c r="E42" s="109" t="n"/>
      <c r="F42" s="109" t="n"/>
    </row>
    <row r="43" ht="27.75" customHeight="1">
      <c r="A43" s="68" t="inlineStr">
        <is>
          <t>Activités &amp; supports</t>
        </is>
      </c>
      <c r="B43" s="101" t="inlineStr">
        <is>
          <t>[activités — repères Nathan : Prob. 1 p.7-12 (évolution d'un objet : aspirateurs, avions, conservation des aliments)]</t>
        </is>
      </c>
      <c r="C43" s="109" t="n"/>
      <c r="D43" s="109" t="n"/>
      <c r="E43" s="109" t="n"/>
      <c r="F43" s="109" t="n"/>
    </row>
    <row r="44" ht="27.75" customHeight="1">
      <c r="A44" s="68" t="inlineStr">
        <is>
          <t>Démarche / organisation</t>
        </is>
      </c>
      <c r="B44" s="101" t="inlineStr">
        <is>
          <t>[démarche]</t>
        </is>
      </c>
      <c r="C44" s="109" t="n"/>
      <c r="D44" s="109" t="n"/>
      <c r="E44" s="109" t="n"/>
      <c r="F44" s="109" t="n"/>
    </row>
    <row r="45" ht="27.75" customHeight="1">
      <c r="A45" s="68" t="inlineStr">
        <is>
          <t>Bilan / trace écrite</t>
        </is>
      </c>
      <c r="B45" s="101" t="inlineStr">
        <is>
          <t>[trace écrite]</t>
        </is>
      </c>
      <c r="C45" s="109" t="n"/>
      <c r="D45" s="109" t="n"/>
      <c r="E45" s="109" t="n"/>
      <c r="F45" s="109" t="n"/>
    </row>
    <row r="46" ht="39.75" customHeight="1">
      <c r="A46" s="81" t="inlineStr">
        <is>
          <t>📋 CAHIER DE TEXTE
Contenu de la séance
👆 CLIC = copier pour Pronote</t>
        </is>
      </c>
      <c r="B46" s="103" t="inlineStr">
        <is>
          <t>[Cahier de texte — contenu de la séance 3 : à rédiger par IA Thème 1 — phrase(s) prêtes à coller dans Pronote.]</t>
        </is>
      </c>
      <c r="C46" s="109" t="n"/>
      <c r="D46" s="109" t="n"/>
      <c r="E46" s="109" t="n"/>
      <c r="F46" s="109" t="n"/>
    </row>
    <row r="47" ht="39.75" customHeight="1">
      <c r="A47" s="81" t="inlineStr">
        <is>
          <t>📋 CAHIER DE TEXTE
Travail à faire
👆 CLIC = copier pour Pronote</t>
        </is>
      </c>
      <c r="B47" s="103" t="inlineStr">
        <is>
          <t>[Cahier de texte — travail à faire : à rédiger — support (lien ou pages Nathan), durée estimée, « faisable sur téléphone » si c'est le cas.]</t>
        </is>
      </c>
      <c r="C47" s="109" t="n"/>
      <c r="D47" s="109" t="n"/>
      <c r="E47" s="109" t="n"/>
      <c r="F47" s="109" t="n"/>
    </row>
    <row r="48" ht="15" customHeight="1">
      <c r="A48" s="82" t="inlineStr">
        <is>
          <t>Suivi enseignant</t>
        </is>
      </c>
      <c r="B48" s="83" t="inlineStr">
        <is>
          <t>Fait le : ____________</t>
        </is>
      </c>
      <c r="C48" s="104" t="inlineStr">
        <is>
          <t xml:space="preserve">Report / aléa / remarques : </t>
        </is>
      </c>
      <c r="D48" s="109" t="n"/>
      <c r="E48" s="109" t="n"/>
      <c r="F48" s="109" t="n"/>
    </row>
  </sheetData>
  <mergeCells count="37">
    <mergeCell ref="A41:F41"/>
    <mergeCell ref="B4:F4"/>
    <mergeCell ref="C48:F48"/>
    <mergeCell ref="B7:F7"/>
    <mergeCell ref="B47:F47"/>
    <mergeCell ref="C39:F39"/>
    <mergeCell ref="B25:F25"/>
    <mergeCell ref="B46:F46"/>
    <mergeCell ref="B27:F27"/>
    <mergeCell ref="A2:F2"/>
    <mergeCell ref="B43:F43"/>
    <mergeCell ref="B12:F12"/>
    <mergeCell ref="B42:F42"/>
    <mergeCell ref="A23:F23"/>
    <mergeCell ref="A32:F32"/>
    <mergeCell ref="B11:F11"/>
    <mergeCell ref="C30:F30"/>
    <mergeCell ref="B14:F14"/>
    <mergeCell ref="B8:F8"/>
    <mergeCell ref="B13:F13"/>
    <mergeCell ref="B44:F44"/>
    <mergeCell ref="B29:F29"/>
    <mergeCell ref="B38:F38"/>
    <mergeCell ref="B34:F34"/>
    <mergeCell ref="B10:F10"/>
    <mergeCell ref="B28:F28"/>
    <mergeCell ref="B37:F37"/>
    <mergeCell ref="B9:F9"/>
    <mergeCell ref="B6:F6"/>
    <mergeCell ref="B24:F24"/>
    <mergeCell ref="B33:F33"/>
    <mergeCell ref="A1:F1"/>
    <mergeCell ref="B5:F5"/>
    <mergeCell ref="B45:F45"/>
    <mergeCell ref="B36:F36"/>
    <mergeCell ref="B26:F26"/>
    <mergeCell ref="B35:F35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horizontalDpi="300" verticalDpi="300"/>
</worksheet>
</file>

<file path=xl/worksheets/sheet8.xml><?xml version="1.0" encoding="utf-8"?>
<worksheet xmlns="http://schemas.openxmlformats.org/spreadsheetml/2006/main">
  <sheetPr codeName="Feuil8">
    <tabColor rgb="FFC55A11"/>
    <outlinePr summaryBelow="1" summaryRight="1"/>
    <pageSetUpPr/>
  </sheetPr>
  <dimension ref="A1:F37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100" t="inlineStr">
        <is>
          <t>GÉNÉRATEUR DE SÉQUENCE 2024 — S2 · Naviguer en sécurité : identité numérique et usage raisonné</t>
        </is>
      </c>
    </row>
    <row r="2" ht="15" customHeight="1">
      <c r="A2" s="91" t="inlineStr">
        <is>
          <t>Thème 1 · P1 · 2 séances de 1 h 30 · Responsable : IA Thème 1 · CANEVAS À REMPLIR par IA Thème 1 (règle : l'IA du thème est seule à modifier)</t>
        </is>
      </c>
    </row>
    <row r="3" ht="15" customHeight="1">
      <c r="E3" s="98" t="inlineStr">
        <is>
          <t>◀ Progression</t>
        </is>
      </c>
      <c r="F3" s="90" t="inlineStr">
        <is>
          <t>◀ Accueil</t>
        </is>
      </c>
    </row>
    <row r="4" ht="27.75" customHeight="1">
      <c r="A4" s="68" t="inlineStr">
        <is>
          <t>Problématique</t>
        </is>
      </c>
      <c r="B4" s="101" t="inlineStr">
        <is>
          <t>Quelles traces je laisse en ligne, et comment les maîtriser ?</t>
        </is>
      </c>
      <c r="C4" s="109" t="n"/>
      <c r="D4" s="109" t="n"/>
      <c r="E4" s="109" t="n"/>
      <c r="F4" s="109" t="n"/>
    </row>
    <row r="5" ht="27.75" customHeight="1">
      <c r="A5" s="68" t="inlineStr">
        <is>
          <t>Situation déclenchante</t>
        </is>
      </c>
      <c r="B5" s="101" t="inlineStr">
        <is>
          <t>⚠ À compléter par IA Thème 1 (canevas pré-rempli par Fable — codes, problématique et repères Nathan posés).</t>
        </is>
      </c>
      <c r="C5" s="109" t="n"/>
      <c r="D5" s="109" t="n"/>
      <c r="E5" s="109" t="n"/>
      <c r="F5" s="109" t="n"/>
    </row>
    <row r="6" ht="27.75" customHeight="1">
      <c r="A6" s="68" t="inlineStr">
        <is>
          <t>Prérequis</t>
        </is>
      </c>
      <c r="B6" s="101" t="inlineStr">
        <is>
          <t>—</t>
        </is>
      </c>
      <c r="C6" s="109" t="n"/>
      <c r="D6" s="109" t="n"/>
      <c r="E6" s="109" t="n"/>
      <c r="F6" s="109" t="n"/>
    </row>
    <row r="7" ht="27.75" customHeight="1">
      <c r="A7" s="68" t="inlineStr">
        <is>
          <t>Éléments pour la synthèse (objectifs)</t>
        </is>
      </c>
      <c r="B7" s="101" t="inlineStr">
        <is>
          <t>⚠ À compléter par IA Thème 1 (canevas pré-rempli par Fable — codes, problématique et repères Nathan posés).</t>
        </is>
      </c>
      <c r="C7" s="109" t="n"/>
      <c r="D7" s="109" t="n"/>
      <c r="E7" s="109" t="n"/>
      <c r="F7" s="109" t="n"/>
    </row>
    <row r="8" ht="27.75" customHeight="1">
      <c r="A8" s="68" t="inlineStr">
        <is>
          <t>Piste d'évaluation</t>
        </is>
      </c>
      <c r="B8" s="101" t="inlineStr">
        <is>
          <t>Étude de cas commentée</t>
        </is>
      </c>
      <c r="C8" s="109" t="n"/>
      <c r="D8" s="109" t="n"/>
      <c r="E8" s="109" t="n"/>
      <c r="F8" s="109" t="n"/>
    </row>
    <row r="9" ht="27.75" customHeight="1">
      <c r="A9" s="68" t="inlineStr">
        <is>
          <t>Domaines du socle mobilisés</t>
        </is>
      </c>
      <c r="B9" s="101" t="inlineStr">
        <is>
          <t>D1.3, D2, D3, D4  (détail par code ci-dessous)</t>
        </is>
      </c>
      <c r="C9" s="109" t="n"/>
      <c r="D9" s="109" t="n"/>
      <c r="E9" s="109" t="n"/>
      <c r="F9" s="109" t="n"/>
    </row>
    <row r="10" ht="27.75" customHeight="1">
      <c r="A10" s="68" t="inlineStr">
        <is>
          <t>CRCN — compétences numériques (Pix)</t>
        </is>
      </c>
      <c r="B10" s="101" t="inlineStr">
        <is>
          <t>4.1 Sécuriser (Niv. 2-3) · 4.2 Protéger les données personnelles (Niv. 2-3) · 2.4 S'insérer dans le monde numérique (Niv. 2)</t>
        </is>
      </c>
      <c r="C10" s="109" t="n"/>
      <c r="D10" s="109" t="n"/>
      <c r="E10" s="109" t="n"/>
      <c r="F10" s="109" t="n"/>
    </row>
    <row r="11" ht="27.75" customHeight="1">
      <c r="A11" s="68" t="inlineStr">
        <is>
          <t>Versions 🅰 / 🅱 / 🅲</t>
        </is>
      </c>
      <c r="B11" s="101" t="inlineStr">
        <is>
          <t>⚠ À compléter par IA Thème 1 (canevas pré-rempli par Fable — codes, problématique et repères Nathan posés).</t>
        </is>
      </c>
      <c r="C11" s="109" t="n"/>
      <c r="D11" s="109" t="n"/>
      <c r="E11" s="109" t="n"/>
      <c r="F11" s="109" t="n"/>
    </row>
    <row r="12" ht="27.75" customHeight="1">
      <c r="A12" s="68" t="inlineStr">
        <is>
          <t>Liens EPI / parcours</t>
        </is>
      </c>
      <c r="B12" s="101" t="inlineStr">
        <is>
          <t>⚠ À compléter par IA Thème 1 (canevas pré-rempli par Fable — codes, problématique et repères Nathan posés).</t>
        </is>
      </c>
      <c r="C12" s="109" t="n"/>
      <c r="D12" s="109" t="n"/>
      <c r="E12" s="109" t="n"/>
      <c r="F12" s="109" t="n"/>
    </row>
    <row r="13" ht="27.75" customHeight="1">
      <c r="A13" s="68" t="inlineStr">
        <is>
          <t>Cahier Nathan 4e</t>
        </is>
      </c>
      <c r="B13" s="101" t="inlineStr">
        <is>
          <t>Vers Pix — Domaine 4 Protection et sécurité (fin du cahier) · rappels Prob. 1</t>
        </is>
      </c>
      <c r="C13" s="109" t="n"/>
      <c r="D13" s="109" t="n"/>
      <c r="E13" s="109" t="n"/>
      <c r="F13" s="109" t="n"/>
    </row>
    <row r="14" ht="27.75" customHeight="1">
      <c r="A14" s="68" t="inlineStr">
        <is>
          <t>Ressources en ligne</t>
        </is>
      </c>
      <c r="B14" s="101" t="inlineStr">
        <is>
          <t>🔜 À produire (Thème 1)</t>
        </is>
      </c>
      <c r="C14" s="109" t="n"/>
      <c r="D14" s="109" t="n"/>
      <c r="E14" s="109" t="n"/>
      <c r="F14" s="109" t="n"/>
    </row>
    <row r="16" ht="15" customHeight="1">
      <c r="A16" s="48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6" t="inlineStr">
        <is>
          <t>4e_C1.4</t>
        </is>
      </c>
      <c r="B18" s="35" t="inlineStr">
        <is>
          <t>Identifier et appliquer les règles pour un usage raisonné des objets communicants et des environnements numériques (propriété intellectuelle, identité numérique, témoins de connexion, géolocalisation).</t>
        </is>
      </c>
      <c r="C18" s="35" t="inlineStr">
        <is>
          <t>D1.3, D2, D3, D4</t>
        </is>
      </c>
      <c r="D18" s="35" t="inlineStr">
        <is>
          <t>—</t>
        </is>
      </c>
      <c r="E18" s="35" t="inlineStr">
        <is>
          <t>→ LSU</t>
        </is>
      </c>
    </row>
    <row r="20" ht="15" customHeight="1">
      <c r="A20" s="48" t="inlineStr">
        <is>
          <t>Déroulé, séance par séance — avec cahier de texte Pronote prêt à coller</t>
        </is>
      </c>
    </row>
    <row r="21" ht="15" customHeight="1">
      <c r="A21" s="102" t="inlineStr">
        <is>
          <t>■ Séance 1 — semaine S04 — — — [titre de la séance 1 — à compléter]</t>
        </is>
      </c>
    </row>
    <row r="22" ht="27.75" customHeight="1">
      <c r="A22" s="68" t="inlineStr">
        <is>
          <t>Question directrice</t>
        </is>
      </c>
      <c r="B22" s="101" t="inlineStr">
        <is>
          <t>[question directrice]</t>
        </is>
      </c>
      <c r="C22" s="109" t="n"/>
      <c r="D22" s="109" t="n"/>
      <c r="E22" s="109" t="n"/>
      <c r="F22" s="109" t="n"/>
    </row>
    <row r="23" ht="27.75" customHeight="1">
      <c r="A23" s="68" t="inlineStr">
        <is>
          <t>Activités &amp; supports</t>
        </is>
      </c>
      <c r="B23" s="101" t="inlineStr">
        <is>
          <t>[activités — repères Nathan : Vers Pix — Domaine 4 Protection et sécurité (fin du cahier) · rappels Prob. 1]</t>
        </is>
      </c>
      <c r="C23" s="109" t="n"/>
      <c r="D23" s="109" t="n"/>
      <c r="E23" s="109" t="n"/>
      <c r="F23" s="109" t="n"/>
    </row>
    <row r="24" ht="27.75" customHeight="1">
      <c r="A24" s="68" t="inlineStr">
        <is>
          <t>Démarche / organisation</t>
        </is>
      </c>
      <c r="B24" s="101" t="inlineStr">
        <is>
          <t>[démarche]</t>
        </is>
      </c>
      <c r="C24" s="109" t="n"/>
      <c r="D24" s="109" t="n"/>
      <c r="E24" s="109" t="n"/>
      <c r="F24" s="109" t="n"/>
    </row>
    <row r="25" ht="27.75" customHeight="1">
      <c r="A25" s="68" t="inlineStr">
        <is>
          <t>Bilan / trace écrite</t>
        </is>
      </c>
      <c r="B25" s="101" t="inlineStr">
        <is>
          <t>[trace écrite]</t>
        </is>
      </c>
      <c r="C25" s="109" t="n"/>
      <c r="D25" s="109" t="n"/>
      <c r="E25" s="109" t="n"/>
      <c r="F25" s="109" t="n"/>
    </row>
    <row r="26" ht="39.75" customHeight="1">
      <c r="A26" s="81" t="inlineStr">
        <is>
          <t>📋 CAHIER DE TEXTE
Contenu de la séance
👆 CLIC = copier pour Pronote</t>
        </is>
      </c>
      <c r="B26" s="103" t="inlineStr">
        <is>
          <t>[Cahier de texte — contenu de la séance 1 : à rédiger par IA Thème 1 — phrase(s) prêtes à coller dans Pronote.]</t>
        </is>
      </c>
      <c r="C26" s="109" t="n"/>
      <c r="D26" s="109" t="n"/>
      <c r="E26" s="109" t="n"/>
      <c r="F26" s="109" t="n"/>
    </row>
    <row r="27" ht="39.75" customHeight="1">
      <c r="A27" s="81" t="inlineStr">
        <is>
          <t>📋 CAHIER DE TEXTE
Travail à faire
👆 CLIC = copier pour Pronote</t>
        </is>
      </c>
      <c r="B27" s="103" t="inlineStr">
        <is>
          <t>[Cahier de texte — travail à faire : à rédiger — support (lien ou pages Nathan), durée estimée, « faisable sur téléphone » si c'est le cas.]</t>
        </is>
      </c>
      <c r="C27" s="109" t="n"/>
      <c r="D27" s="109" t="n"/>
      <c r="E27" s="109" t="n"/>
      <c r="F27" s="109" t="n"/>
    </row>
    <row r="28" ht="15" customHeight="1">
      <c r="A28" s="82" t="inlineStr">
        <is>
          <t>Suivi enseignant</t>
        </is>
      </c>
      <c r="B28" s="83" t="inlineStr">
        <is>
          <t>Fait le : ____________</t>
        </is>
      </c>
      <c r="C28" s="104" t="inlineStr">
        <is>
          <t xml:space="preserve">Report / aléa / remarques : </t>
        </is>
      </c>
      <c r="D28" s="109" t="n"/>
      <c r="E28" s="109" t="n"/>
      <c r="F28" s="109" t="n"/>
    </row>
    <row r="30" ht="15" customHeight="1">
      <c r="A30" s="102" t="inlineStr">
        <is>
          <t>■ Séance 2 — semaine S05 — — — [titre de la séance 2 — à compléter]</t>
        </is>
      </c>
    </row>
    <row r="31" ht="27.75" customHeight="1">
      <c r="A31" s="68" t="inlineStr">
        <is>
          <t>Question directrice</t>
        </is>
      </c>
      <c r="B31" s="101" t="inlineStr">
        <is>
          <t>[question directrice]</t>
        </is>
      </c>
      <c r="C31" s="109" t="n"/>
      <c r="D31" s="109" t="n"/>
      <c r="E31" s="109" t="n"/>
      <c r="F31" s="109" t="n"/>
    </row>
    <row r="32" ht="27.75" customHeight="1">
      <c r="A32" s="68" t="inlineStr">
        <is>
          <t>Activités &amp; supports</t>
        </is>
      </c>
      <c r="B32" s="101" t="inlineStr">
        <is>
          <t>[activités — repères Nathan : Vers Pix — Domaine 4 Protection et sécurité (fin du cahier) · rappels Prob. 1]</t>
        </is>
      </c>
      <c r="C32" s="109" t="n"/>
      <c r="D32" s="109" t="n"/>
      <c r="E32" s="109" t="n"/>
      <c r="F32" s="109" t="n"/>
    </row>
    <row r="33" ht="27.75" customHeight="1">
      <c r="A33" s="68" t="inlineStr">
        <is>
          <t>Démarche / organisation</t>
        </is>
      </c>
      <c r="B33" s="101" t="inlineStr">
        <is>
          <t>[démarche]</t>
        </is>
      </c>
      <c r="C33" s="109" t="n"/>
      <c r="D33" s="109" t="n"/>
      <c r="E33" s="109" t="n"/>
      <c r="F33" s="109" t="n"/>
    </row>
    <row r="34" ht="27.75" customHeight="1">
      <c r="A34" s="68" t="inlineStr">
        <is>
          <t>Bilan / trace écrite</t>
        </is>
      </c>
      <c r="B34" s="101" t="inlineStr">
        <is>
          <t>[trace écrite]</t>
        </is>
      </c>
      <c r="C34" s="109" t="n"/>
      <c r="D34" s="109" t="n"/>
      <c r="E34" s="109" t="n"/>
      <c r="F34" s="109" t="n"/>
    </row>
    <row r="35" ht="39.75" customHeight="1">
      <c r="A35" s="81" t="inlineStr">
        <is>
          <t>📋 CAHIER DE TEXTE
Contenu de la séance
👆 CLIC = copier pour Pronote</t>
        </is>
      </c>
      <c r="B35" s="103" t="inlineStr">
        <is>
          <t>[Cahier de texte — contenu de la séance 2 : à rédiger par IA Thème 1 — phrase(s) prêtes à coller dans Pronote.]</t>
        </is>
      </c>
      <c r="C35" s="109" t="n"/>
      <c r="D35" s="109" t="n"/>
      <c r="E35" s="109" t="n"/>
      <c r="F35" s="109" t="n"/>
    </row>
    <row r="36" ht="39.75" customHeight="1">
      <c r="A36" s="81" t="inlineStr">
        <is>
          <t>📋 CAHIER DE TEXTE
Travail à faire
👆 CLIC = copier pour Pronote</t>
        </is>
      </c>
      <c r="B36" s="103" t="inlineStr">
        <is>
          <t>[Cahier de texte — travail à faire : à rédiger — support (lien ou pages Nathan), durée estimée, « faisable sur téléphone » si c'est le cas.]</t>
        </is>
      </c>
      <c r="C36" s="109" t="n"/>
      <c r="D36" s="109" t="n"/>
      <c r="E36" s="109" t="n"/>
      <c r="F36" s="109" t="n"/>
    </row>
    <row r="37" ht="15" customHeight="1">
      <c r="A37" s="82" t="inlineStr">
        <is>
          <t>Suivi enseignant</t>
        </is>
      </c>
      <c r="B37" s="83" t="inlineStr">
        <is>
          <t>Fait le : ____________</t>
        </is>
      </c>
      <c r="C37" s="104" t="inlineStr">
        <is>
          <t xml:space="preserve">Report / aléa / remarques : </t>
        </is>
      </c>
      <c r="D37" s="109" t="n"/>
      <c r="E37" s="109" t="n"/>
      <c r="F37" s="109" t="n"/>
    </row>
  </sheetData>
  <mergeCells count="29">
    <mergeCell ref="B4:F4"/>
    <mergeCell ref="B7:F7"/>
    <mergeCell ref="B25:F25"/>
    <mergeCell ref="B31:F31"/>
    <mergeCell ref="B22:F22"/>
    <mergeCell ref="A21:F21"/>
    <mergeCell ref="C37:F37"/>
    <mergeCell ref="B27:F27"/>
    <mergeCell ref="C28:F28"/>
    <mergeCell ref="A2:F2"/>
    <mergeCell ref="B12:F12"/>
    <mergeCell ref="B11:F11"/>
    <mergeCell ref="B23:F23"/>
    <mergeCell ref="B14:F14"/>
    <mergeCell ref="B8:F8"/>
    <mergeCell ref="B13:F13"/>
    <mergeCell ref="B34:F34"/>
    <mergeCell ref="B10:F10"/>
    <mergeCell ref="A30:F30"/>
    <mergeCell ref="B9:F9"/>
    <mergeCell ref="B6:F6"/>
    <mergeCell ref="B24:F24"/>
    <mergeCell ref="B33:F33"/>
    <mergeCell ref="A1:F1"/>
    <mergeCell ref="B5:F5"/>
    <mergeCell ref="B36:F36"/>
    <mergeCell ref="B32:F32"/>
    <mergeCell ref="B26:F26"/>
    <mergeCell ref="B35:F35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horizontalDpi="300" verticalDpi="300"/>
</worksheet>
</file>

<file path=xl/worksheets/sheet9.xml><?xml version="1.0" encoding="utf-8"?>
<worksheet xmlns="http://schemas.openxmlformats.org/spreadsheetml/2006/main">
  <sheetPr codeName="Feuil9">
    <tabColor rgb="FFC55A11"/>
    <outlinePr summaryBelow="1" summaryRight="1"/>
    <pageSetUpPr/>
  </sheetPr>
  <dimension ref="A1:F59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100" t="inlineStr">
        <is>
          <t>GÉNÉRATEUR DE SÉQUENCE 2024 — S3 · Concevoir pour l'utilisateur : ergonomie et choix argumenté</t>
        </is>
      </c>
    </row>
    <row r="2" ht="15" customHeight="1">
      <c r="A2" s="91" t="inlineStr">
        <is>
          <t>Thème 1 · P1/P2 · 4 séances de 1 h 30 · Responsable : IA Thème 1 · CANEVAS À REMPLIR par IA Thème 1 (règle : l'IA du thème est seule à modifier)</t>
        </is>
      </c>
    </row>
    <row r="3" ht="15" customHeight="1">
      <c r="E3" s="98" t="inlineStr">
        <is>
          <t>◀ Progression</t>
        </is>
      </c>
      <c r="F3" s="90" t="inlineStr">
        <is>
          <t>◀ Accueil</t>
        </is>
      </c>
    </row>
    <row r="4" ht="27.75" customHeight="1">
      <c r="A4" s="68" t="inlineStr">
        <is>
          <t>Problématique</t>
        </is>
      </c>
      <c r="B4" s="101" t="inlineStr">
        <is>
          <t>Comment choisir un objet technique en croisant plusieurs critères (usage, mesure, environnement) ?</t>
        </is>
      </c>
      <c r="C4" s="109" t="n"/>
      <c r="D4" s="109" t="n"/>
      <c r="E4" s="109" t="n"/>
      <c r="F4" s="109" t="n"/>
    </row>
    <row r="5" ht="27.75" customHeight="1">
      <c r="A5" s="68" t="inlineStr">
        <is>
          <t>Situation déclenchante</t>
        </is>
      </c>
      <c r="B5" s="101" t="inlineStr">
        <is>
          <t>⚠ À compléter par IA Thème 1 (canevas pré-rempli par Fable — codes, problématique et repères Nathan posés).</t>
        </is>
      </c>
      <c r="C5" s="109" t="n"/>
      <c r="D5" s="109" t="n"/>
      <c r="E5" s="109" t="n"/>
      <c r="F5" s="109" t="n"/>
    </row>
    <row r="6" ht="27.75" customHeight="1">
      <c r="A6" s="68" t="inlineStr">
        <is>
          <t>Prérequis</t>
        </is>
      </c>
      <c r="B6" s="101" t="inlineStr">
        <is>
          <t>—</t>
        </is>
      </c>
      <c r="C6" s="109" t="n"/>
      <c r="D6" s="109" t="n"/>
      <c r="E6" s="109" t="n"/>
      <c r="F6" s="109" t="n"/>
    </row>
    <row r="7" ht="27.75" customHeight="1">
      <c r="A7" s="68" t="inlineStr">
        <is>
          <t>Éléments pour la synthèse (objectifs)</t>
        </is>
      </c>
      <c r="B7" s="101" t="inlineStr">
        <is>
          <t>⚠ À compléter par IA Thème 1 (canevas pré-rempli par Fable — codes, problématique et repères Nathan posés).</t>
        </is>
      </c>
      <c r="C7" s="109" t="n"/>
      <c r="D7" s="109" t="n"/>
      <c r="E7" s="109" t="n"/>
      <c r="F7" s="109" t="n"/>
    </row>
    <row r="8" ht="27.75" customHeight="1">
      <c r="A8" s="68" t="inlineStr">
        <is>
          <t>Piste d'évaluation</t>
        </is>
      </c>
      <c r="B8" s="101" t="inlineStr">
        <is>
          <t>Comparatif multicritère + protocole de mesure</t>
        </is>
      </c>
      <c r="C8" s="109" t="n"/>
      <c r="D8" s="109" t="n"/>
      <c r="E8" s="109" t="n"/>
      <c r="F8" s="109" t="n"/>
    </row>
    <row r="9" ht="27.75" customHeight="1">
      <c r="A9" s="68" t="inlineStr">
        <is>
          <t>Domaines du socle mobilisés</t>
        </is>
      </c>
      <c r="B9" s="101" t="inlineStr">
        <is>
          <t>D1.3, D2, D3, D4, D5  (détail par code ci-dessous)</t>
        </is>
      </c>
      <c r="C9" s="109" t="n"/>
      <c r="D9" s="109" t="n"/>
      <c r="E9" s="109" t="n"/>
      <c r="F9" s="109" t="n"/>
    </row>
    <row r="10" ht="27.75" customHeight="1">
      <c r="A10" s="68" t="inlineStr">
        <is>
          <t>CRCN — compétences numériques (Pix)</t>
        </is>
      </c>
      <c r="B10" s="101" t="inlineStr">
        <is>
          <t>1.3 Traiter des données (Niv. 2 : comparatif au tableur)</t>
        </is>
      </c>
      <c r="C10" s="109" t="n"/>
      <c r="D10" s="109" t="n"/>
      <c r="E10" s="109" t="n"/>
      <c r="F10" s="109" t="n"/>
    </row>
    <row r="11" ht="27.75" customHeight="1">
      <c r="A11" s="68" t="inlineStr">
        <is>
          <t>Versions 🅰 / 🅱 / 🅲</t>
        </is>
      </c>
      <c r="B11" s="101" t="inlineStr">
        <is>
          <t>⚠ À compléter par IA Thème 1 (canevas pré-rempli par Fable — codes, problématique et repères Nathan posés).</t>
        </is>
      </c>
      <c r="C11" s="109" t="n"/>
      <c r="D11" s="109" t="n"/>
      <c r="E11" s="109" t="n"/>
      <c r="F11" s="109" t="n"/>
    </row>
    <row r="12" ht="27.75" customHeight="1">
      <c r="A12" s="68" t="inlineStr">
        <is>
          <t>Liens EPI / parcours</t>
        </is>
      </c>
      <c r="B12" s="101" t="inlineStr">
        <is>
          <t>⚠ À compléter par IA Thème 1 (canevas pré-rempli par Fable — codes, problématique et repères Nathan posés).</t>
        </is>
      </c>
      <c r="C12" s="109" t="n"/>
      <c r="D12" s="109" t="n"/>
      <c r="E12" s="109" t="n"/>
      <c r="F12" s="109" t="n"/>
    </row>
    <row r="13" ht="27.75" customHeight="1">
      <c r="A13" s="68" t="inlineStr">
        <is>
          <t>Cahier Nathan 4e</t>
        </is>
      </c>
      <c r="B13" s="101" t="inlineStr">
        <is>
          <t>Prob. 11 p.79-84 (mesurer les performances) · Prob. 10 p.73-78 (impact environnemental)</t>
        </is>
      </c>
      <c r="C13" s="109" t="n"/>
      <c r="D13" s="109" t="n"/>
      <c r="E13" s="109" t="n"/>
      <c r="F13" s="109" t="n"/>
    </row>
    <row r="14" ht="27.75" customHeight="1">
      <c r="A14" s="68" t="inlineStr">
        <is>
          <t>Ressources en ligne</t>
        </is>
      </c>
      <c r="B14" s="101" t="inlineStr">
        <is>
          <t>🔜 À produire (Thème 1)</t>
        </is>
      </c>
      <c r="C14" s="109" t="n"/>
      <c r="D14" s="109" t="n"/>
      <c r="E14" s="109" t="n"/>
      <c r="F14" s="109" t="n"/>
    </row>
    <row r="16" ht="15" customHeight="1">
      <c r="A16" s="48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6" t="inlineStr">
        <is>
          <t>4e_C2.1</t>
        </is>
      </c>
      <c r="B18" s="35" t="inlineStr">
        <is>
          <t>Décrire l’expérience de l’utilisateur (ressenti et facilité d’usage) d’un OST en partant du langage naturel (texte, croquis) pour aboutir aux schémas, graphiques, algorithmes.</t>
        </is>
      </c>
      <c r="C18" s="35" t="inlineStr">
        <is>
          <t>D1.3, D4, D5</t>
        </is>
      </c>
      <c r="D18" s="35" t="inlineStr">
        <is>
          <t>—</t>
        </is>
      </c>
      <c r="E18" s="35" t="inlineStr">
        <is>
          <t>→ LSU</t>
        </is>
      </c>
    </row>
    <row r="19" ht="30" customHeight="1">
      <c r="A19" s="66" t="inlineStr">
        <is>
          <t>4e_C2.2</t>
        </is>
      </c>
      <c r="B19" s="35" t="inlineStr">
        <is>
          <t>Repérer et expliquer les contraintes, exigences prises en compte (sécurité, incidences environnementales, formes et fonctions, ergonomie, qualité, fiabilité) pour répondre aux attentes des utilisateurs.</t>
        </is>
      </c>
      <c r="C19" s="35" t="inlineStr">
        <is>
          <t>D3, D4, D5</t>
        </is>
      </c>
      <c r="D19" s="35" t="inlineStr">
        <is>
          <t>—</t>
        </is>
      </c>
      <c r="E19" s="35" t="inlineStr">
        <is>
          <t>→ LSU</t>
        </is>
      </c>
    </row>
    <row r="20" ht="30" customHeight="1">
      <c r="A20" s="66" t="inlineStr">
        <is>
          <t>4e_C3.1</t>
        </is>
      </c>
      <c r="B20" s="35" t="inlineStr">
        <is>
          <t>Identifier les caractéristiques à prendre en compte dans le choix d’un OST en vue de répondre à un besoin.</t>
        </is>
      </c>
      <c r="C20" s="35" t="inlineStr">
        <is>
          <t>D3, D4, D5</t>
        </is>
      </c>
      <c r="D20" s="35" t="inlineStr">
        <is>
          <t>—</t>
        </is>
      </c>
      <c r="E20" s="35" t="inlineStr">
        <is>
          <t>→ LSU</t>
        </is>
      </c>
    </row>
    <row r="21" ht="30" customHeight="1">
      <c r="A21" s="66" t="inlineStr">
        <is>
          <t>4e_C3.2</t>
        </is>
      </c>
      <c r="B21" s="35" t="inlineStr">
        <is>
          <t>Comparer qualitativement et/ou quantitativement (incidences environnementales, bilan carbone, efficacité énergétique) plusieurs OST répondant au même besoin et arrêter un choix.</t>
        </is>
      </c>
      <c r="C21" s="35" t="inlineStr">
        <is>
          <t>D1.3, D2, D3, D4, D5</t>
        </is>
      </c>
      <c r="D21" s="35" t="inlineStr">
        <is>
          <t>—</t>
        </is>
      </c>
      <c r="E21" s="35" t="inlineStr">
        <is>
          <t>→ LSU</t>
        </is>
      </c>
    </row>
    <row r="22" ht="30" customHeight="1">
      <c r="A22" s="66" t="inlineStr">
        <is>
          <t>4e_C3.3</t>
        </is>
      </c>
      <c r="B22" s="35" t="inlineStr">
        <is>
          <t>Choisir les appareils de mesure à utiliser pour mesurer une performance d’un OST à partir d’un protocole donné.</t>
        </is>
      </c>
      <c r="C22" s="35" t="inlineStr">
        <is>
          <t>D1.3, D2, D4</t>
        </is>
      </c>
      <c r="D22" s="35" t="inlineStr">
        <is>
          <t>—</t>
        </is>
      </c>
      <c r="E22" s="35" t="inlineStr">
        <is>
          <t>→ LSU</t>
        </is>
      </c>
    </row>
    <row r="24" ht="15" customHeight="1">
      <c r="A24" s="48" t="inlineStr">
        <is>
          <t>Déroulé, séance par séance — avec cahier de texte Pronote prêt à coller</t>
        </is>
      </c>
    </row>
    <row r="25" ht="15" customHeight="1">
      <c r="A25" s="102" t="inlineStr">
        <is>
          <t>■ Séance 1 — semaine S06 — — — [titre de la séance 1 — à compléter]</t>
        </is>
      </c>
    </row>
    <row r="26" ht="27.75" customHeight="1">
      <c r="A26" s="68" t="inlineStr">
        <is>
          <t>Question directrice</t>
        </is>
      </c>
      <c r="B26" s="101" t="inlineStr">
        <is>
          <t>[question directrice]</t>
        </is>
      </c>
      <c r="C26" s="109" t="n"/>
      <c r="D26" s="109" t="n"/>
      <c r="E26" s="109" t="n"/>
      <c r="F26" s="109" t="n"/>
    </row>
    <row r="27" ht="27.75" customHeight="1">
      <c r="A27" s="68" t="inlineStr">
        <is>
          <t>Activités &amp; supports</t>
        </is>
      </c>
      <c r="B27" s="101" t="inlineStr">
        <is>
          <t>[activités — repères Nathan : Prob. 11 p.79-84 (mesurer les performances) · Prob. 10 p.73-78 (impact environnemental)]</t>
        </is>
      </c>
      <c r="C27" s="109" t="n"/>
      <c r="D27" s="109" t="n"/>
      <c r="E27" s="109" t="n"/>
      <c r="F27" s="109" t="n"/>
    </row>
    <row r="28" ht="27.75" customHeight="1">
      <c r="A28" s="68" t="inlineStr">
        <is>
          <t>Démarche / organisation</t>
        </is>
      </c>
      <c r="B28" s="101" t="inlineStr">
        <is>
          <t>[démarche]</t>
        </is>
      </c>
      <c r="C28" s="109" t="n"/>
      <c r="D28" s="109" t="n"/>
      <c r="E28" s="109" t="n"/>
      <c r="F28" s="109" t="n"/>
    </row>
    <row r="29" ht="27.75" customHeight="1">
      <c r="A29" s="68" t="inlineStr">
        <is>
          <t>Bilan / trace écrite</t>
        </is>
      </c>
      <c r="B29" s="101" t="inlineStr">
        <is>
          <t>[trace écrite]</t>
        </is>
      </c>
      <c r="C29" s="109" t="n"/>
      <c r="D29" s="109" t="n"/>
      <c r="E29" s="109" t="n"/>
      <c r="F29" s="109" t="n"/>
    </row>
    <row r="30" ht="39.75" customHeight="1">
      <c r="A30" s="81" t="inlineStr">
        <is>
          <t>📋 CAHIER DE TEXTE
Contenu de la séance
👆 CLIC = copier pour Pronote</t>
        </is>
      </c>
      <c r="B30" s="103" t="inlineStr">
        <is>
          <t>[Cahier de texte — contenu de la séance 1 : à rédiger par IA Thème 1 — phrase(s) prêtes à coller dans Pronote.]</t>
        </is>
      </c>
      <c r="C30" s="109" t="n"/>
      <c r="D30" s="109" t="n"/>
      <c r="E30" s="109" t="n"/>
      <c r="F30" s="109" t="n"/>
    </row>
    <row r="31" ht="39.75" customHeight="1">
      <c r="A31" s="81" t="inlineStr">
        <is>
          <t>📋 CAHIER DE TEXTE
Travail à faire
👆 CLIC = copier pour Pronote</t>
        </is>
      </c>
      <c r="B31" s="103" t="inlineStr">
        <is>
          <t>[Cahier de texte — travail à faire : à rédiger — support (lien ou pages Nathan), durée estimée, « faisable sur téléphone » si c'est le cas.]</t>
        </is>
      </c>
      <c r="C31" s="109" t="n"/>
      <c r="D31" s="109" t="n"/>
      <c r="E31" s="109" t="n"/>
      <c r="F31" s="109" t="n"/>
    </row>
    <row r="32" ht="15" customHeight="1">
      <c r="A32" s="82" t="inlineStr">
        <is>
          <t>Suivi enseignant</t>
        </is>
      </c>
      <c r="B32" s="83" t="inlineStr">
        <is>
          <t>Fait le : ____________</t>
        </is>
      </c>
      <c r="C32" s="104" t="inlineStr">
        <is>
          <t xml:space="preserve">Report / aléa / remarques : </t>
        </is>
      </c>
      <c r="D32" s="109" t="n"/>
      <c r="E32" s="109" t="n"/>
      <c r="F32" s="109" t="n"/>
    </row>
    <row r="34" ht="15" customHeight="1">
      <c r="A34" s="102" t="inlineStr">
        <is>
          <t>■ Séance 2 — semaine S07 — — — [titre de la séance 2 — à compléter]</t>
        </is>
      </c>
    </row>
    <row r="35" ht="27.75" customHeight="1">
      <c r="A35" s="68" t="inlineStr">
        <is>
          <t>Question directrice</t>
        </is>
      </c>
      <c r="B35" s="101" t="inlineStr">
        <is>
          <t>[question directrice]</t>
        </is>
      </c>
      <c r="C35" s="109" t="n"/>
      <c r="D35" s="109" t="n"/>
      <c r="E35" s="109" t="n"/>
      <c r="F35" s="109" t="n"/>
    </row>
    <row r="36" ht="27.75" customHeight="1">
      <c r="A36" s="68" t="inlineStr">
        <is>
          <t>Activités &amp; supports</t>
        </is>
      </c>
      <c r="B36" s="101" t="inlineStr">
        <is>
          <t>[activités — repères Nathan : Prob. 11 p.79-84 (mesurer les performances) · Prob. 10 p.73-78 (impact environnemental)]</t>
        </is>
      </c>
      <c r="C36" s="109" t="n"/>
      <c r="D36" s="109" t="n"/>
      <c r="E36" s="109" t="n"/>
      <c r="F36" s="109" t="n"/>
    </row>
    <row r="37" ht="27.75" customHeight="1">
      <c r="A37" s="68" t="inlineStr">
        <is>
          <t>Démarche / organisation</t>
        </is>
      </c>
      <c r="B37" s="101" t="inlineStr">
        <is>
          <t>[démarche]</t>
        </is>
      </c>
      <c r="C37" s="109" t="n"/>
      <c r="D37" s="109" t="n"/>
      <c r="E37" s="109" t="n"/>
      <c r="F37" s="109" t="n"/>
    </row>
    <row r="38" ht="27.75" customHeight="1">
      <c r="A38" s="68" t="inlineStr">
        <is>
          <t>Bilan / trace écrite</t>
        </is>
      </c>
      <c r="B38" s="101" t="inlineStr">
        <is>
          <t>[trace écrite]</t>
        </is>
      </c>
      <c r="C38" s="109" t="n"/>
      <c r="D38" s="109" t="n"/>
      <c r="E38" s="109" t="n"/>
      <c r="F38" s="109" t="n"/>
    </row>
    <row r="39" ht="39.75" customHeight="1">
      <c r="A39" s="81" t="inlineStr">
        <is>
          <t>📋 CAHIER DE TEXTE
Contenu de la séance
👆 CLIC = copier pour Pronote</t>
        </is>
      </c>
      <c r="B39" s="103" t="inlineStr">
        <is>
          <t>[Cahier de texte — contenu de la séance 2 : à rédiger par IA Thème 1 — phrase(s) prêtes à coller dans Pronote.]</t>
        </is>
      </c>
      <c r="C39" s="109" t="n"/>
      <c r="D39" s="109" t="n"/>
      <c r="E39" s="109" t="n"/>
      <c r="F39" s="109" t="n"/>
    </row>
    <row r="40" ht="39.75" customHeight="1">
      <c r="A40" s="81" t="inlineStr">
        <is>
          <t>📋 CAHIER DE TEXTE
Travail à faire
👆 CLIC = copier pour Pronote</t>
        </is>
      </c>
      <c r="B40" s="103" t="inlineStr">
        <is>
          <t>[Cahier de texte — travail à faire : à rédiger — support (lien ou pages Nathan), durée estimée, « faisable sur téléphone » si c'est le cas.]</t>
        </is>
      </c>
      <c r="C40" s="109" t="n"/>
      <c r="D40" s="109" t="n"/>
      <c r="E40" s="109" t="n"/>
      <c r="F40" s="109" t="n"/>
    </row>
    <row r="41" ht="15" customHeight="1">
      <c r="A41" s="82" t="inlineStr">
        <is>
          <t>Suivi enseignant</t>
        </is>
      </c>
      <c r="B41" s="83" t="inlineStr">
        <is>
          <t>Fait le : ____________</t>
        </is>
      </c>
      <c r="C41" s="104" t="inlineStr">
        <is>
          <t xml:space="preserve">Report / aléa / remarques : </t>
        </is>
      </c>
      <c r="D41" s="109" t="n"/>
      <c r="E41" s="109" t="n"/>
      <c r="F41" s="109" t="n"/>
    </row>
    <row r="43" ht="15" customHeight="1">
      <c r="A43" s="102" t="inlineStr">
        <is>
          <t>■ Séance 3 — semaine S09 — — — [titre de la séance 3 — à compléter]</t>
        </is>
      </c>
    </row>
    <row r="44" ht="27.75" customHeight="1">
      <c r="A44" s="68" t="inlineStr">
        <is>
          <t>Question directrice</t>
        </is>
      </c>
      <c r="B44" s="101" t="inlineStr">
        <is>
          <t>[question directrice]</t>
        </is>
      </c>
      <c r="C44" s="109" t="n"/>
      <c r="D44" s="109" t="n"/>
      <c r="E44" s="109" t="n"/>
      <c r="F44" s="109" t="n"/>
    </row>
    <row r="45" ht="27.75" customHeight="1">
      <c r="A45" s="68" t="inlineStr">
        <is>
          <t>Activités &amp; supports</t>
        </is>
      </c>
      <c r="B45" s="101" t="inlineStr">
        <is>
          <t>[activités — repères Nathan : Prob. 11 p.79-84 (mesurer les performances) · Prob. 10 p.73-78 (impact environnemental)]</t>
        </is>
      </c>
      <c r="C45" s="109" t="n"/>
      <c r="D45" s="109" t="n"/>
      <c r="E45" s="109" t="n"/>
      <c r="F45" s="109" t="n"/>
    </row>
    <row r="46" ht="27.75" customHeight="1">
      <c r="A46" s="68" t="inlineStr">
        <is>
          <t>Démarche / organisation</t>
        </is>
      </c>
      <c r="B46" s="101" t="inlineStr">
        <is>
          <t>[démarche]</t>
        </is>
      </c>
      <c r="C46" s="109" t="n"/>
      <c r="D46" s="109" t="n"/>
      <c r="E46" s="109" t="n"/>
      <c r="F46" s="109" t="n"/>
    </row>
    <row r="47" ht="27.75" customHeight="1">
      <c r="A47" s="68" t="inlineStr">
        <is>
          <t>Bilan / trace écrite</t>
        </is>
      </c>
      <c r="B47" s="101" t="inlineStr">
        <is>
          <t>[trace écrite]</t>
        </is>
      </c>
      <c r="C47" s="109" t="n"/>
      <c r="D47" s="109" t="n"/>
      <c r="E47" s="109" t="n"/>
      <c r="F47" s="109" t="n"/>
    </row>
    <row r="48" ht="39.75" customHeight="1">
      <c r="A48" s="81" t="inlineStr">
        <is>
          <t>📋 CAHIER DE TEXTE
Contenu de la séance
👆 CLIC = copier pour Pronote</t>
        </is>
      </c>
      <c r="B48" s="103" t="inlineStr">
        <is>
          <t>[Cahier de texte — contenu de la séance 3 : à rédiger par IA Thème 1 — phrase(s) prêtes à coller dans Pronote.]</t>
        </is>
      </c>
      <c r="C48" s="109" t="n"/>
      <c r="D48" s="109" t="n"/>
      <c r="E48" s="109" t="n"/>
      <c r="F48" s="109" t="n"/>
    </row>
    <row r="49" ht="39.75" customHeight="1">
      <c r="A49" s="81" t="inlineStr">
        <is>
          <t>📋 CAHIER DE TEXTE
Travail à faire
👆 CLIC = copier pour Pronote</t>
        </is>
      </c>
      <c r="B49" s="103" t="inlineStr">
        <is>
          <t>[Cahier de texte — travail à faire : à rédiger — support (lien ou pages Nathan), durée estimée, « faisable sur téléphone » si c'est le cas.]</t>
        </is>
      </c>
      <c r="C49" s="109" t="n"/>
      <c r="D49" s="109" t="n"/>
      <c r="E49" s="109" t="n"/>
      <c r="F49" s="109" t="n"/>
    </row>
    <row r="50" ht="15" customHeight="1">
      <c r="A50" s="82" t="inlineStr">
        <is>
          <t>Suivi enseignant</t>
        </is>
      </c>
      <c r="B50" s="83" t="inlineStr">
        <is>
          <t>Fait le : ____________</t>
        </is>
      </c>
      <c r="C50" s="104" t="inlineStr">
        <is>
          <t xml:space="preserve">Report / aléa / remarques : </t>
        </is>
      </c>
      <c r="D50" s="109" t="n"/>
      <c r="E50" s="109" t="n"/>
      <c r="F50" s="109" t="n"/>
    </row>
    <row r="52" ht="15" customHeight="1">
      <c r="A52" s="102" t="inlineStr">
        <is>
          <t>■ Séance 4 — semaine S10 — — — [titre de la séance 4 — à compléter]</t>
        </is>
      </c>
    </row>
    <row r="53" ht="27.75" customHeight="1">
      <c r="A53" s="68" t="inlineStr">
        <is>
          <t>Question directrice</t>
        </is>
      </c>
      <c r="B53" s="101" t="inlineStr">
        <is>
          <t>[question directrice]</t>
        </is>
      </c>
      <c r="C53" s="109" t="n"/>
      <c r="D53" s="109" t="n"/>
      <c r="E53" s="109" t="n"/>
      <c r="F53" s="109" t="n"/>
    </row>
    <row r="54" ht="27.75" customHeight="1">
      <c r="A54" s="68" t="inlineStr">
        <is>
          <t>Activités &amp; supports</t>
        </is>
      </c>
      <c r="B54" s="101" t="inlineStr">
        <is>
          <t>[activités — repères Nathan : Prob. 11 p.79-84 (mesurer les performances) · Prob. 10 p.73-78 (impact environnemental)]</t>
        </is>
      </c>
      <c r="C54" s="109" t="n"/>
      <c r="D54" s="109" t="n"/>
      <c r="E54" s="109" t="n"/>
      <c r="F54" s="109" t="n"/>
    </row>
    <row r="55" ht="27.75" customHeight="1">
      <c r="A55" s="68" t="inlineStr">
        <is>
          <t>Démarche / organisation</t>
        </is>
      </c>
      <c r="B55" s="101" t="inlineStr">
        <is>
          <t>[démarche]</t>
        </is>
      </c>
      <c r="C55" s="109" t="n"/>
      <c r="D55" s="109" t="n"/>
      <c r="E55" s="109" t="n"/>
      <c r="F55" s="109" t="n"/>
    </row>
    <row r="56" ht="27.75" customHeight="1">
      <c r="A56" s="68" t="inlineStr">
        <is>
          <t>Bilan / trace écrite</t>
        </is>
      </c>
      <c r="B56" s="101" t="inlineStr">
        <is>
          <t>[trace écrite]</t>
        </is>
      </c>
      <c r="C56" s="109" t="n"/>
      <c r="D56" s="109" t="n"/>
      <c r="E56" s="109" t="n"/>
      <c r="F56" s="109" t="n"/>
    </row>
    <row r="57" ht="39.75" customHeight="1">
      <c r="A57" s="81" t="inlineStr">
        <is>
          <t>📋 CAHIER DE TEXTE
Contenu de la séance
👆 CLIC = copier pour Pronote</t>
        </is>
      </c>
      <c r="B57" s="103" t="inlineStr">
        <is>
          <t>[Cahier de texte — contenu de la séance 4 : à rédiger par IA Thème 1 — phrase(s) prêtes à coller dans Pronote.]</t>
        </is>
      </c>
      <c r="C57" s="109" t="n"/>
      <c r="D57" s="109" t="n"/>
      <c r="E57" s="109" t="n"/>
      <c r="F57" s="109" t="n"/>
    </row>
    <row r="58" ht="39.75" customHeight="1">
      <c r="A58" s="81" t="inlineStr">
        <is>
          <t>📋 CAHIER DE TEXTE
Travail à faire
👆 CLIC = copier pour Pronote</t>
        </is>
      </c>
      <c r="B58" s="103" t="inlineStr">
        <is>
          <t>[Cahier de texte — travail à faire : à rédiger — support (lien ou pages Nathan), durée estimée, « faisable sur téléphone » si c'est le cas.]</t>
        </is>
      </c>
      <c r="C58" s="109" t="n"/>
      <c r="D58" s="109" t="n"/>
      <c r="E58" s="109" t="n"/>
      <c r="F58" s="109" t="n"/>
    </row>
    <row r="59" ht="15" customHeight="1">
      <c r="A59" s="82" t="inlineStr">
        <is>
          <t>Suivi enseignant</t>
        </is>
      </c>
      <c r="B59" s="83" t="inlineStr">
        <is>
          <t>Fait le : ____________</t>
        </is>
      </c>
      <c r="C59" s="104" t="inlineStr">
        <is>
          <t xml:space="preserve">Report / aléa / remarques : </t>
        </is>
      </c>
      <c r="D59" s="109" t="n"/>
      <c r="E59" s="109" t="n"/>
      <c r="F59" s="109" t="n"/>
    </row>
  </sheetData>
  <mergeCells count="45">
    <mergeCell ref="B4:F4"/>
    <mergeCell ref="B7:F7"/>
    <mergeCell ref="B47:F47"/>
    <mergeCell ref="B54:F54"/>
    <mergeCell ref="B31:F31"/>
    <mergeCell ref="B46:F46"/>
    <mergeCell ref="C32:F32"/>
    <mergeCell ref="B56:F56"/>
    <mergeCell ref="B58:F58"/>
    <mergeCell ref="B27:F27"/>
    <mergeCell ref="A2:F2"/>
    <mergeCell ref="B12:F12"/>
    <mergeCell ref="B39:F39"/>
    <mergeCell ref="B48:F48"/>
    <mergeCell ref="B11:F11"/>
    <mergeCell ref="B14:F14"/>
    <mergeCell ref="B8:F8"/>
    <mergeCell ref="B57:F57"/>
    <mergeCell ref="B13:F13"/>
    <mergeCell ref="A43:F43"/>
    <mergeCell ref="B53:F53"/>
    <mergeCell ref="B44:F44"/>
    <mergeCell ref="A52:F52"/>
    <mergeCell ref="B29:F29"/>
    <mergeCell ref="B38:F38"/>
    <mergeCell ref="B10:F10"/>
    <mergeCell ref="B28:F28"/>
    <mergeCell ref="B37:F37"/>
    <mergeCell ref="A34:F34"/>
    <mergeCell ref="C41:F41"/>
    <mergeCell ref="B40:F40"/>
    <mergeCell ref="C50:F50"/>
    <mergeCell ref="B9:F9"/>
    <mergeCell ref="B49:F49"/>
    <mergeCell ref="B30:F30"/>
    <mergeCell ref="B55:F55"/>
    <mergeCell ref="B6:F6"/>
    <mergeCell ref="A1:F1"/>
    <mergeCell ref="B5:F5"/>
    <mergeCell ref="C59:F59"/>
    <mergeCell ref="B45:F45"/>
    <mergeCell ref="B36:F36"/>
    <mergeCell ref="B26:F26"/>
    <mergeCell ref="A25:F25"/>
    <mergeCell ref="B35:F35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horizontalDpi="300" verticalDpi="300"/>
</worksheet>
</file>

<file path=xl/worksheets/sheet10.xml><?xml version="1.0" encoding="utf-8"?>
<worksheet xmlns="http://schemas.openxmlformats.org/spreadsheetml/2006/main">
  <sheetPr codeName="Feuil10">
    <tabColor rgb="FF2E75B6"/>
    <outlinePr summaryBelow="1" summaryRight="1"/>
    <pageSetUpPr/>
  </sheetPr>
  <dimension ref="A1:F68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105" t="inlineStr">
        <is>
          <t>GÉNÉRATEUR DE SÉQUENCE 2024 — S4 · Automatiser le jardin connecté : chaîne d'énergie et d'information</t>
        </is>
      </c>
    </row>
    <row r="2" ht="15" customHeight="1">
      <c r="A2" s="91" t="inlineStr">
        <is>
          <t>Thème 2 · P2/P3 · 5 séances de 1 h 30 · Responsable : Fable (Th. 2) · Pré-rempli par Fable — ✅ séquence « Le jardin connecté » (4e_C4.1 → C4.9) + QCM 30 q + atelier Pix en ligne</t>
        </is>
      </c>
    </row>
    <row r="3" ht="15" customHeight="1">
      <c r="E3" s="98" t="inlineStr">
        <is>
          <t>◀ Progression</t>
        </is>
      </c>
      <c r="F3" s="90" t="inlineStr">
        <is>
          <t>◀ Accueil</t>
        </is>
      </c>
    </row>
    <row r="4" ht="27.75" customHeight="1">
      <c r="A4" s="72" t="inlineStr">
        <is>
          <t>Problématique</t>
        </is>
      </c>
      <c r="B4" s="101" t="inlineStr">
        <is>
          <t>Comment un système automatisé peut-il réguler l'arrosage d'un jardin ?</t>
        </is>
      </c>
      <c r="C4" s="109" t="n"/>
      <c r="D4" s="109" t="n"/>
      <c r="E4" s="109" t="n"/>
      <c r="F4" s="109" t="n"/>
    </row>
    <row r="5" ht="39" customHeight="1">
      <c r="A5" s="72" t="inlineStr">
        <is>
          <t>Situation déclenchante</t>
        </is>
      </c>
      <c r="B5" s="101" t="inlineStr">
        <is>
          <t>Le potager pédagogique du collège meurt à chaque période de vacances : personne pour l'arroser. Le club techno doit concevoir la régulation automatique de l'arrosage — et prouver qu'elle fonctionne avec des données.</t>
        </is>
      </c>
      <c r="C5" s="109" t="n"/>
      <c r="D5" s="109" t="n"/>
      <c r="E5" s="109" t="n"/>
      <c r="F5" s="109" t="n"/>
    </row>
    <row r="6" ht="27.75" customHeight="1">
      <c r="A6" s="72" t="inlineStr">
        <is>
          <t>Prérequis</t>
        </is>
      </c>
      <c r="B6" s="101" t="inlineStr">
        <is>
          <t>5e : chaînes d'énergie/information sur objet simple (lampadaire). Rappels intégrés en séance 1.</t>
        </is>
      </c>
      <c r="C6" s="109" t="n"/>
      <c r="D6" s="109" t="n"/>
      <c r="E6" s="109" t="n"/>
      <c r="F6" s="109" t="n"/>
    </row>
    <row r="7" ht="39" customHeight="1">
      <c r="A7" s="72" t="inlineStr">
        <is>
          <t>Éléments pour la synthèse (objectifs)</t>
        </is>
      </c>
      <c r="B7" s="101" t="inlineStr">
        <is>
          <t>Constituants d'une chaîne d'énergie ET d'information complètes · transformations et flux d'énergie · capteur = grandeur physique → donnée · structurer des données (CSV) pour les exploiter (graphique).</t>
        </is>
      </c>
      <c r="C7" s="109" t="n"/>
      <c r="D7" s="109" t="n"/>
      <c r="E7" s="109" t="n"/>
      <c r="F7" s="109" t="n"/>
    </row>
    <row r="8" ht="39" customHeight="1">
      <c r="A8" s="72" t="inlineStr">
        <is>
          <t>Piste d'évaluation</t>
        </is>
      </c>
      <c r="B8" s="101" t="inlineStr">
        <is>
          <t>Formative : vérificateurs + QCM existants (Jardin connecté, Automatisation, eCall). Repère du référentiel : table de données exportée en CSV + graphique. Sommative en séance 5 (corrigé non publié).</t>
        </is>
      </c>
      <c r="C8" s="109" t="n"/>
      <c r="D8" s="109" t="n"/>
      <c r="E8" s="109" t="n"/>
      <c r="F8" s="109" t="n"/>
    </row>
    <row r="9" ht="27.75" customHeight="1">
      <c r="A9" s="72" t="inlineStr">
        <is>
          <t>Domaines du socle mobilisés</t>
        </is>
      </c>
      <c r="B9" s="101" t="inlineStr">
        <is>
          <t>D1.3, D2, D4, D5  (détail par code ci-dessous)</t>
        </is>
      </c>
      <c r="C9" s="109" t="n"/>
      <c r="D9" s="109" t="n"/>
      <c r="E9" s="109" t="n"/>
      <c r="F9" s="109" t="n"/>
    </row>
    <row r="10" ht="27.75" customHeight="1">
      <c r="A10" s="72" t="inlineStr">
        <is>
          <t>CRCN — compétences numériques (Pix)</t>
        </is>
      </c>
      <c r="B10" s="101" t="inlineStr">
        <is>
          <t>1.3 Traiter des données (Niv. 3 : structurer en CSV, produire un graphique) · 3.4 Programmer (Niv. 2)</t>
        </is>
      </c>
      <c r="C10" s="109" t="n"/>
      <c r="D10" s="109" t="n"/>
      <c r="E10" s="109" t="n"/>
      <c r="F10" s="109" t="n"/>
    </row>
    <row r="11" ht="27.75" customHeight="1">
      <c r="A11" s="72" t="inlineStr">
        <is>
          <t>Versions 🅰 / 🅱 / 🅲</t>
        </is>
      </c>
      <c r="B11" s="101" t="inlineStr">
        <is>
          <t>🅰 maquette Arduino + capteurs humidité/luminosité (TBT) · 🅱 VittaScience simulation · 🅲 fiches papier + jeux de données imprimés.</t>
        </is>
      </c>
      <c r="C11" s="109" t="n"/>
      <c r="D11" s="109" t="n"/>
      <c r="E11" s="109" t="n"/>
      <c r="F11" s="109" t="n"/>
    </row>
    <row r="12" ht="27.75" customHeight="1">
      <c r="A12" s="72" t="inlineStr">
        <is>
          <t>Liens EPI / parcours</t>
        </is>
      </c>
      <c r="B12" s="101" t="inlineStr">
        <is>
          <t>EDD (gestion de l'eau) · SVT (besoins des plantes) · mathématiques (graphiques).</t>
        </is>
      </c>
      <c r="C12" s="109" t="n"/>
      <c r="D12" s="109" t="n"/>
      <c r="E12" s="109" t="n"/>
      <c r="F12" s="109" t="n"/>
    </row>
    <row r="13" ht="27.75" customHeight="1">
      <c r="A13" s="72" t="inlineStr">
        <is>
          <t>Cahier Nathan 4e</t>
        </is>
      </c>
      <c r="B13" s="101" t="inlineStr">
        <is>
          <t>Prob. 5 p.37-44 (chaîne d'énergie) · Prob. 3 p.21-28 (fonctionnement) · Prob. 7 p.53-58 (automatiser)</t>
        </is>
      </c>
      <c r="C13" s="109" t="n"/>
      <c r="D13" s="109" t="n"/>
      <c r="E13" s="109" t="n"/>
      <c r="F13" s="109" t="n"/>
    </row>
    <row r="14" ht="27.75" customHeight="1">
      <c r="A14" s="72" t="inlineStr">
        <is>
          <t>Ressources en ligne</t>
        </is>
      </c>
      <c r="B14" s="101" t="inlineStr">
        <is>
          <t>✅ Séquence « Le jardin connecté » (S4-S5) : https://pll-process.github.io/en-ligne-pour-le-cycle-4/theme-2-structure-fonctionnement-comportement/C4-decrire-et-caracteriser-lorganisation/4e/4e_C4.1/sequence_4e_C4.1-C4.9_jardin_connecte.html · QCM 30 q : https://pll-process.github.io/en-ligne-pour-le-cycle-4/theme-2-structure-fonctionnement-comportement/C4-decrire-et-caracteriser-lorganisation/4e/4e_C4.1/qcm_4e_C4.1-C4.9_jardin_connecte.html · Atelier Pix CRCN (1.3 · 3.4 · 5.1) : https://pll-process.github.io/en-ligne-pour-le-cycle-4/theme-2-structure-fonctionnement-comportement/C4-decrire-et-caracteriser-lorganisation/4e/4e_C4.1/atelier_pix_crcn_jardin.html · En complément : QCM « Automatisation », « eCall », « Jardin connecté » (existants, liens dans le déroulé).</t>
        </is>
      </c>
      <c r="C14" s="109" t="n"/>
      <c r="D14" s="109" t="n"/>
      <c r="E14" s="109" t="n"/>
      <c r="F14" s="109" t="n"/>
    </row>
    <row r="16" ht="15" customHeight="1">
      <c r="A16" s="48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6" t="inlineStr">
        <is>
          <t>4e_C4.1</t>
        </is>
      </c>
      <c r="B18" s="35" t="inlineStr">
        <is>
          <t>Identifier les constituants d’une chaîne d’énergie et les associer à leurs fonctions.</t>
        </is>
      </c>
      <c r="C18" s="35" t="inlineStr">
        <is>
          <t>D2, D4, D5</t>
        </is>
      </c>
      <c r="D18" s="35" t="inlineStr">
        <is>
          <t>Séances 1-2</t>
        </is>
      </c>
      <c r="E18" s="35" t="inlineStr">
        <is>
          <t>Formative + QCM ciblé → LSU</t>
        </is>
      </c>
    </row>
    <row r="19" ht="30" customHeight="1">
      <c r="A19" s="66" t="inlineStr">
        <is>
          <t>4e_C4.2</t>
        </is>
      </c>
      <c r="B19" s="35" t="inlineStr">
        <is>
          <t>Repérer les transformations d’énergie et les flux d’énergie au sein de l’OST.</t>
        </is>
      </c>
      <c r="C19" s="35" t="inlineStr">
        <is>
          <t>D1.3, D2, D4</t>
        </is>
      </c>
      <c r="D19" s="35" t="inlineStr">
        <is>
          <t>Séance 2</t>
        </is>
      </c>
      <c r="E19" s="35" t="inlineStr">
        <is>
          <t>Formative → LSU</t>
        </is>
      </c>
    </row>
    <row r="20" ht="30" customHeight="1">
      <c r="A20" s="66" t="inlineStr">
        <is>
          <t>4e_C4.4</t>
        </is>
      </c>
      <c r="B20" s="35" t="inlineStr">
        <is>
          <t>Identifier les constituants de la chaîne d’information d’un objet réel et les associer à leur fonction.</t>
        </is>
      </c>
      <c r="C20" s="35" t="inlineStr">
        <is>
          <t>D1.3, D2, D4</t>
        </is>
      </c>
      <c r="D20" s="35" t="inlineStr">
        <is>
          <t>Séance 3</t>
        </is>
      </c>
      <c r="E20" s="35" t="inlineStr">
        <is>
          <t>Formative + QCM eCall → LSU</t>
        </is>
      </c>
    </row>
    <row r="21" ht="30" customHeight="1">
      <c r="A21" s="66" t="inlineStr">
        <is>
          <t>4e_C4.5</t>
        </is>
      </c>
      <c r="B21" s="35" t="inlineStr">
        <is>
          <t>Décrire et analyser la transformation des données téléversées ou issues d’un OST.</t>
        </is>
      </c>
      <c r="C21" s="35" t="inlineStr">
        <is>
          <t>D1.3, D2, D4</t>
        </is>
      </c>
      <c r="D21" s="35" t="inlineStr">
        <is>
          <t>Séance 3</t>
        </is>
      </c>
      <c r="E21" s="35" t="inlineStr">
        <is>
          <t>Formative → LSU</t>
        </is>
      </c>
    </row>
    <row r="22" ht="30" customHeight="1">
      <c r="A22" s="66" t="inlineStr">
        <is>
          <t>4e_C4.6</t>
        </is>
      </c>
      <c r="B22" s="35" t="inlineStr">
        <is>
          <t>Décrire et analyser la structuration d’une table de données qui permet une exploitation et une interprétation du comportement d’un OST.</t>
        </is>
      </c>
      <c r="C22" s="35" t="inlineStr">
        <is>
          <t>D1.3, D2, D4</t>
        </is>
      </c>
      <c r="D22" s="35" t="inlineStr">
        <is>
          <t>Séances 4-5</t>
        </is>
      </c>
      <c r="E22" s="35" t="inlineStr">
        <is>
          <t>Table CSV + graphique → LSU</t>
        </is>
      </c>
    </row>
    <row r="24" ht="15" customHeight="1">
      <c r="A24" s="48" t="inlineStr">
        <is>
          <t>Déroulé, séance par séance — avec cahier de texte Pronote prêt à coller</t>
        </is>
      </c>
    </row>
    <row r="25" ht="15" customHeight="1">
      <c r="A25" s="106" t="inlineStr">
        <is>
          <t>■ Séance 1 — semaine S11 — 🏫 En classe — Analyser le système d'arrosage automatique</t>
        </is>
      </c>
    </row>
    <row r="26" ht="27.75" customHeight="1">
      <c r="A26" s="72" t="inlineStr">
        <is>
          <t>Question directrice</t>
        </is>
      </c>
      <c r="B26" s="101" t="inlineStr">
        <is>
          <t>De quoi le jardin connecté est-il fait — et qui décide d'arroser ?</t>
        </is>
      </c>
      <c r="C26" s="109" t="n"/>
      <c r="D26" s="109" t="n"/>
      <c r="E26" s="109" t="n"/>
      <c r="F26" s="109" t="n"/>
    </row>
    <row r="27" ht="51.75" customHeight="1">
      <c r="A27" s="72" t="inlineStr">
        <is>
          <t>Activités &amp; supports</t>
        </is>
      </c>
      <c r="B27" s="101" t="inlineStr">
        <is>
          <t>Analyse du système réel/maquette : constituants, frontière énergie/information. QCM de découverte « Automatisation » : https://pll-process.github.io/en-ligne-pour-le-cycle-4/theme-2-structure-fonctionnement-comportement/C4-decrire-et-caracteriser-lorganisation/4e/4e_C4.1/qcm_automatisation_premium.html</t>
        </is>
      </c>
      <c r="C27" s="109" t="n"/>
      <c r="D27" s="109" t="n"/>
      <c r="E27" s="109" t="n"/>
      <c r="F27" s="109" t="n"/>
    </row>
    <row r="28" ht="27.75" customHeight="1">
      <c r="A28" s="72" t="inlineStr">
        <is>
          <t>Démarche / organisation</t>
        </is>
      </c>
      <c r="B28" s="101" t="inlineStr">
        <is>
          <t>Investigation en îlots ; schéma de l'objet complet.</t>
        </is>
      </c>
      <c r="C28" s="109" t="n"/>
      <c r="D28" s="109" t="n"/>
      <c r="E28" s="109" t="n"/>
      <c r="F28" s="109" t="n"/>
    </row>
    <row r="29" ht="27.75" customHeight="1">
      <c r="A29" s="72" t="inlineStr">
        <is>
          <t>Bilan / trace écrite</t>
        </is>
      </c>
      <c r="B29" s="101" t="inlineStr">
        <is>
          <t>Les DEUX chaînes complètes de l'objet (rappel 5e, montée 4e : transformations).</t>
        </is>
      </c>
      <c r="C29" s="109" t="n"/>
      <c r="D29" s="109" t="n"/>
      <c r="E29" s="109" t="n"/>
      <c r="F29" s="109" t="n"/>
    </row>
    <row r="30" ht="39.75" customHeight="1">
      <c r="A30" s="81" t="inlineStr">
        <is>
          <t>📋 CAHIER DE TEXTE
Contenu de la séance
👆 CLIC = copier pour Pronote</t>
        </is>
      </c>
      <c r="B30" s="103" t="inlineStr">
        <is>
          <t>Séquence « Le jardin connecté » — Séance 1 : analyse du système d'arrosage automatique, constituants des chaînes d'énergie et d'information.</t>
        </is>
      </c>
      <c r="C30" s="109" t="n"/>
      <c r="D30" s="109" t="n"/>
      <c r="E30" s="109" t="n"/>
      <c r="F30" s="109" t="n"/>
    </row>
    <row r="31" ht="51.75" customHeight="1">
      <c r="A31" s="81" t="inlineStr">
        <is>
          <t>📋 CAHIER DE TEXTE
Travail à faire
👆 CLIC = copier pour Pronote</t>
        </is>
      </c>
      <c r="B31" s="103" t="inlineStr">
        <is>
          <t>QCM « Automatisation » en ligne (mode découverte, corrections incluses) : https://pll-process.github.io/en-ligne-pour-le-cycle-4/theme-2-structure-fonctionnement-comportement/C4-decrire-et-caracteriser-lorganisation/4e/4e_C4.1/qcm_automatisation_premium.html ≈ 15 min, faisable sur téléphone.</t>
        </is>
      </c>
      <c r="C31" s="109" t="n"/>
      <c r="D31" s="109" t="n"/>
      <c r="E31" s="109" t="n"/>
      <c r="F31" s="109" t="n"/>
    </row>
    <row r="32" ht="15" customHeight="1">
      <c r="A32" s="82" t="inlineStr">
        <is>
          <t>Suivi enseignant</t>
        </is>
      </c>
      <c r="B32" s="83" t="inlineStr">
        <is>
          <t>Fait le : ____________</t>
        </is>
      </c>
      <c r="C32" s="104" t="inlineStr">
        <is>
          <t xml:space="preserve">Report / aléa / remarques : </t>
        </is>
      </c>
      <c r="D32" s="109" t="n"/>
      <c r="E32" s="109" t="n"/>
      <c r="F32" s="109" t="n"/>
    </row>
    <row r="34" ht="15" customHeight="1">
      <c r="A34" s="106" t="inlineStr">
        <is>
          <t>■ Séance 2 — semaine S12 — 🏫 En classe — Transformations et flux d'énergie (C4.1, C4.2)</t>
        </is>
      </c>
    </row>
    <row r="35" ht="27.75" customHeight="1">
      <c r="A35" s="72" t="inlineStr">
        <is>
          <t>Question directrice</t>
        </is>
      </c>
      <c r="B35" s="101" t="inlineStr">
        <is>
          <t>Quel chemin l'énergie suit-elle, et sous quelles formes ?</t>
        </is>
      </c>
      <c r="C35" s="109" t="n"/>
      <c r="D35" s="109" t="n"/>
      <c r="E35" s="109" t="n"/>
      <c r="F35" s="109" t="n"/>
    </row>
    <row r="36" ht="27.75" customHeight="1">
      <c r="A36" s="72" t="inlineStr">
        <is>
          <t>Activités &amp; supports</t>
        </is>
      </c>
      <c r="B36" s="101" t="inlineStr">
        <is>
          <t>Chaîne d'énergie complète de la pompe : repérer les transformations et les flux ; schéma-bloc. Nathan Prob. 5 p.37-44.</t>
        </is>
      </c>
      <c r="C36" s="109" t="n"/>
      <c r="D36" s="109" t="n"/>
      <c r="E36" s="109" t="n"/>
      <c r="F36" s="109" t="n"/>
    </row>
    <row r="37" ht="27.75" customHeight="1">
      <c r="A37" s="72" t="inlineStr">
        <is>
          <t>Démarche / organisation</t>
        </is>
      </c>
      <c r="B37" s="101" t="inlineStr">
        <is>
          <t>Résolution de problème en binômes ; correction vidéoprojetée.</t>
        </is>
      </c>
      <c r="C37" s="109" t="n"/>
      <c r="D37" s="109" t="n"/>
      <c r="E37" s="109" t="n"/>
      <c r="F37" s="109" t="n"/>
    </row>
    <row r="38" ht="27.75" customHeight="1">
      <c r="A38" s="72" t="inlineStr">
        <is>
          <t>Bilan / trace écrite</t>
        </is>
      </c>
      <c r="B38" s="101" t="inlineStr">
        <is>
          <t>Transformation = changement de forme d'énergie ; flux = son chemin.</t>
        </is>
      </c>
      <c r="C38" s="109" t="n"/>
      <c r="D38" s="109" t="n"/>
      <c r="E38" s="109" t="n"/>
      <c r="F38" s="109" t="n"/>
    </row>
    <row r="39" ht="39.75" customHeight="1">
      <c r="A39" s="81" t="inlineStr">
        <is>
          <t>📋 CAHIER DE TEXTE
Contenu de la séance
👆 CLIC = copier pour Pronote</t>
        </is>
      </c>
      <c r="B39" s="103" t="inlineStr">
        <is>
          <t>Séance 2 : transformations et flux d'énergie dans le système d'arrosage (schéma-bloc complété). Cahier Nathan p.37-44.</t>
        </is>
      </c>
      <c r="C39" s="109" t="n"/>
      <c r="D39" s="109" t="n"/>
      <c r="E39" s="109" t="n"/>
      <c r="F39" s="109" t="n"/>
    </row>
    <row r="40" ht="39.75" customHeight="1">
      <c r="A40" s="81" t="inlineStr">
        <is>
          <t>📋 CAHIER DE TEXTE
Travail à faire
👆 CLIC = copier pour Pronote</t>
        </is>
      </c>
      <c r="B40" s="103" t="inlineStr">
        <is>
          <t>Terminer le schéma-bloc du cahier Nathan (p.40-41) ; relire la trace écrite. ≈ 15 min.</t>
        </is>
      </c>
      <c r="C40" s="109" t="n"/>
      <c r="D40" s="109" t="n"/>
      <c r="E40" s="109" t="n"/>
      <c r="F40" s="109" t="n"/>
    </row>
    <row r="41" ht="15" customHeight="1">
      <c r="A41" s="82" t="inlineStr">
        <is>
          <t>Suivi enseignant</t>
        </is>
      </c>
      <c r="B41" s="83" t="inlineStr">
        <is>
          <t>Fait le : ____________</t>
        </is>
      </c>
      <c r="C41" s="104" t="inlineStr">
        <is>
          <t xml:space="preserve">Report / aléa / remarques : </t>
        </is>
      </c>
      <c r="D41" s="109" t="n"/>
      <c r="E41" s="109" t="n"/>
      <c r="F41" s="109" t="n"/>
    </row>
    <row r="43" ht="15" customHeight="1">
      <c r="A43" s="106" t="inlineStr">
        <is>
          <t>■ Séance 3 — semaine S13 — 🏫 En classe — Capteurs et chaîne d'information (C4.4, C4.5)</t>
        </is>
      </c>
    </row>
    <row r="44" ht="27.75" customHeight="1">
      <c r="A44" s="72" t="inlineStr">
        <is>
          <t>Question directrice</t>
        </is>
      </c>
      <c r="B44" s="101" t="inlineStr">
        <is>
          <t>Comment l'humidité du sol devient-elle une décision d'arrosage ?</t>
        </is>
      </c>
      <c r="C44" s="109" t="n"/>
      <c r="D44" s="109" t="n"/>
      <c r="E44" s="109" t="n"/>
      <c r="F44" s="109" t="n"/>
    </row>
    <row r="45" ht="51.75" customHeight="1">
      <c r="A45" s="72" t="inlineStr">
        <is>
          <t>Activités &amp; supports</t>
        </is>
      </c>
      <c r="B45" s="101" t="inlineStr">
        <is>
          <t>Capteurs humidité/luminosité (Arduino réel ou VittaScience) : grandeur physique → signal → donnée → décision. QCM « eCall » (chaîne d'information contextualisée) : https://pll-process.github.io/en-ligne-pour-le-cycle-4/theme-2-structure-fonctionnement-comportement/C4-decrire-et-caracteriser-lorganisation/4e/4e_C4.4/qcm_ecall_chaine_information.html</t>
        </is>
      </c>
      <c r="C45" s="109" t="n"/>
      <c r="D45" s="109" t="n"/>
      <c r="E45" s="109" t="n"/>
      <c r="F45" s="109" t="n"/>
    </row>
    <row r="46" ht="27.75" customHeight="1">
      <c r="A46" s="72" t="inlineStr">
        <is>
          <t>Démarche / organisation</t>
        </is>
      </c>
      <c r="B46" s="101" t="inlineStr">
        <is>
          <t>Manipulation guidée en binômes (version 🅰) ou simulation (🅱).</t>
        </is>
      </c>
      <c r="C46" s="109" t="n"/>
      <c r="D46" s="109" t="n"/>
      <c r="E46" s="109" t="n"/>
      <c r="F46" s="109" t="n"/>
    </row>
    <row r="47" ht="27.75" customHeight="1">
      <c r="A47" s="72" t="inlineStr">
        <is>
          <t>Bilan / trace écrite</t>
        </is>
      </c>
      <c r="B47" s="101" t="inlineStr">
        <is>
          <t>ACQUÉRIR (capteur) → TRAITER (carte) → COMMANDER (électrovanne) ; nature des signaux.</t>
        </is>
      </c>
      <c r="C47" s="109" t="n"/>
      <c r="D47" s="109" t="n"/>
      <c r="E47" s="109" t="n"/>
      <c r="F47" s="109" t="n"/>
    </row>
    <row r="48" ht="39.75" customHeight="1">
      <c r="A48" s="81" t="inlineStr">
        <is>
          <t>📋 CAHIER DE TEXTE
Contenu de la séance
👆 CLIC = copier pour Pronote</t>
        </is>
      </c>
      <c r="B48" s="103" t="inlineStr">
        <is>
          <t>Séance 3 : du capteur à la décision — la chaîne d'information de l'arrosage automatique (manipulation capteurs).</t>
        </is>
      </c>
      <c r="C48" s="109" t="n"/>
      <c r="D48" s="109" t="n"/>
      <c r="E48" s="109" t="n"/>
      <c r="F48" s="109" t="n"/>
    </row>
    <row r="49" ht="39.75" customHeight="1">
      <c r="A49" s="81" t="inlineStr">
        <is>
          <t>📋 CAHIER DE TEXTE
Travail à faire
👆 CLIC = copier pour Pronote</t>
        </is>
      </c>
      <c r="B49" s="103" t="inlineStr">
        <is>
          <t>QCM « eCall — chaîne d'information » : https://pll-process.github.io/en-ligne-pour-le-cycle-4/theme-2-structure-fonctionnement-comportement/C4-decrire-et-caracteriser-lorganisation/4e/4e_C4.4/qcm_ecall_chaine_information.html ≈ 15 min. Corrections détaillées incluses.</t>
        </is>
      </c>
      <c r="C49" s="109" t="n"/>
      <c r="D49" s="109" t="n"/>
      <c r="E49" s="109" t="n"/>
      <c r="F49" s="109" t="n"/>
    </row>
    <row r="50" ht="15" customHeight="1">
      <c r="A50" s="82" t="inlineStr">
        <is>
          <t>Suivi enseignant</t>
        </is>
      </c>
      <c r="B50" s="83" t="inlineStr">
        <is>
          <t>Fait le : ____________</t>
        </is>
      </c>
      <c r="C50" s="104" t="inlineStr">
        <is>
          <t xml:space="preserve">Report / aléa / remarques : </t>
        </is>
      </c>
      <c r="D50" s="109" t="n"/>
      <c r="E50" s="109" t="n"/>
      <c r="F50" s="109" t="n"/>
    </row>
    <row r="52" ht="15" customHeight="1">
      <c r="A52" s="106" t="inlineStr">
        <is>
          <t>■ Séance 4 — semaine S14 — 🔁 Hybride — Structurer les données du jardin (C4.6)</t>
        </is>
      </c>
    </row>
    <row r="53" ht="27.75" customHeight="1">
      <c r="A53" s="72" t="inlineStr">
        <is>
          <t>Question directrice</t>
        </is>
      </c>
      <c r="B53" s="101" t="inlineStr">
        <is>
          <t>Comment garder la trace de ce que mesure le jardin — et la lire ?</t>
        </is>
      </c>
      <c r="C53" s="109" t="n"/>
      <c r="D53" s="109" t="n"/>
      <c r="E53" s="109" t="n"/>
      <c r="F53" s="109" t="n"/>
    </row>
    <row r="54" ht="27.75" customHeight="1">
      <c r="A54" s="72" t="inlineStr">
        <is>
          <t>Activités &amp; supports</t>
        </is>
      </c>
      <c r="B54" s="101" t="inlineStr">
        <is>
          <t>Relevés des capteurs → table structurée (colonnes nommées, types, formats — rappel 5e descripteurs) → export CSV → graphique au tableur. Début en classe, poursuite à la maison.</t>
        </is>
      </c>
      <c r="C54" s="109" t="n"/>
      <c r="D54" s="109" t="n"/>
      <c r="E54" s="109" t="n"/>
      <c r="F54" s="109" t="n"/>
    </row>
    <row r="55" ht="27.75" customHeight="1">
      <c r="A55" s="72" t="inlineStr">
        <is>
          <t>Démarche / organisation</t>
        </is>
      </c>
      <c r="B55" s="101" t="inlineStr">
        <is>
          <t>Travail au poste ; gabarit de tableur fourni.</t>
        </is>
      </c>
      <c r="C55" s="109" t="n"/>
      <c r="D55" s="109" t="n"/>
      <c r="E55" s="109" t="n"/>
      <c r="F55" s="109" t="n"/>
    </row>
    <row r="56" ht="27.75" customHeight="1">
      <c r="A56" s="72" t="inlineStr">
        <is>
          <t>Bilan / trace écrite</t>
        </is>
      </c>
      <c r="B56" s="101" t="inlineStr">
        <is>
          <t>CSV = données séparées par des virgules, lisibles par toutes les machines ; un graphique révèle ce que la table cache.</t>
        </is>
      </c>
      <c r="C56" s="109" t="n"/>
      <c r="D56" s="109" t="n"/>
      <c r="E56" s="109" t="n"/>
      <c r="F56" s="109" t="n"/>
    </row>
    <row r="57" ht="39.75" customHeight="1">
      <c r="A57" s="81" t="inlineStr">
        <is>
          <t>📋 CAHIER DE TEXTE
Contenu de la séance
👆 CLIC = copier pour Pronote</t>
        </is>
      </c>
      <c r="B57" s="103" t="inlineStr">
        <is>
          <t>Séance 4 : structurer les données du jardin (table → CSV → graphique). Début du travail au tableur.</t>
        </is>
      </c>
      <c r="C57" s="109" t="n"/>
      <c r="D57" s="109" t="n"/>
      <c r="E57" s="109" t="n"/>
      <c r="F57" s="109" t="n"/>
    </row>
    <row r="58" ht="39.75" customHeight="1">
      <c r="A58" s="81" t="inlineStr">
        <is>
          <t>📋 CAHIER DE TEXTE
Travail à faire
👆 CLIC = copier pour Pronote</t>
        </is>
      </c>
      <c r="B58" s="103" t="inlineStr">
        <is>
          <t>Terminer la table et le graphique au tableur (gabarit distribué / ENT) ; exporter en CSV. ≈ 25 min. En cas de blocage : noter la question, on corrige en séance 5.</t>
        </is>
      </c>
      <c r="C58" s="109" t="n"/>
      <c r="D58" s="109" t="n"/>
      <c r="E58" s="109" t="n"/>
      <c r="F58" s="109" t="n"/>
    </row>
    <row r="59" ht="15" customHeight="1">
      <c r="A59" s="82" t="inlineStr">
        <is>
          <t>Suivi enseignant</t>
        </is>
      </c>
      <c r="B59" s="83" t="inlineStr">
        <is>
          <t>Fait le : ____________</t>
        </is>
      </c>
      <c r="C59" s="104" t="inlineStr">
        <is>
          <t xml:space="preserve">Report / aléa / remarques : </t>
        </is>
      </c>
      <c r="D59" s="109" t="n"/>
      <c r="E59" s="109" t="n"/>
      <c r="F59" s="109" t="n"/>
    </row>
    <row r="61" ht="15" customHeight="1">
      <c r="A61" s="106" t="inlineStr">
        <is>
          <t>■ Séance 5 — semaine S16 — 🏠 puis 🏫 — Bilan et évaluation</t>
        </is>
      </c>
    </row>
    <row r="62" ht="27.75" customHeight="1">
      <c r="A62" s="72" t="inlineStr">
        <is>
          <t>Question directrice</t>
        </is>
      </c>
      <c r="B62" s="101" t="inlineStr">
        <is>
          <t>Que sait faire notre jardin — et moi, où en suis-je ?</t>
        </is>
      </c>
      <c r="C62" s="109" t="n"/>
      <c r="D62" s="109" t="n"/>
      <c r="E62" s="109" t="n"/>
      <c r="F62" s="109" t="n"/>
    </row>
    <row r="63" ht="51.75" customHeight="1">
      <c r="A63" s="72" t="inlineStr">
        <is>
          <t>Activités &amp; supports</t>
        </is>
      </c>
      <c r="B63" s="101" t="inlineStr">
        <is>
          <t>Correction des graphiques ; bilan des deux chaînes ; évaluation sommative (corrigé non publié). Révision : QCM « Jardin connecté » : https://pll-process.github.io/en-ligne-pour-le-cycle-4/theme-2-structure-fonctionnement-comportement/C6-comprendre-et-modifier-un-programme-associe/4e/4e_C6.2/qcm_jardin_connecte.html</t>
        </is>
      </c>
      <c r="C63" s="109" t="n"/>
      <c r="D63" s="109" t="n"/>
      <c r="E63" s="109" t="n"/>
      <c r="F63" s="109" t="n"/>
    </row>
    <row r="64" ht="27.75" customHeight="1">
      <c r="A64" s="72" t="inlineStr">
        <is>
          <t>Démarche / organisation</t>
        </is>
      </c>
      <c r="B64" s="101" t="inlineStr">
        <is>
          <t>Bilan collectif 30 min + évaluation 45 min.</t>
        </is>
      </c>
      <c r="C64" s="109" t="n"/>
      <c r="D64" s="109" t="n"/>
      <c r="E64" s="109" t="n"/>
      <c r="F64" s="109" t="n"/>
    </row>
    <row r="65" ht="27.75" customHeight="1">
      <c r="A65" s="72" t="inlineStr">
        <is>
          <t>Bilan / trace écrite</t>
        </is>
      </c>
      <c r="B65" s="101" t="inlineStr">
        <is>
          <t>Synthèse distribuée.</t>
        </is>
      </c>
      <c r="C65" s="109" t="n"/>
      <c r="D65" s="109" t="n"/>
      <c r="E65" s="109" t="n"/>
      <c r="F65" s="109" t="n"/>
    </row>
    <row r="66" ht="39.75" customHeight="1">
      <c r="A66" s="81" t="inlineStr">
        <is>
          <t>📋 CAHIER DE TEXTE
Contenu de la séance
👆 CLIC = copier pour Pronote</t>
        </is>
      </c>
      <c r="B66" s="103" t="inlineStr">
        <is>
          <t>Séance 5 : bilan de la séquence « Jardin connecté » et évaluation (chaînes complètes, capteurs, données).</t>
        </is>
      </c>
      <c r="C66" s="109" t="n"/>
      <c r="D66" s="109" t="n"/>
      <c r="E66" s="109" t="n"/>
      <c r="F66" s="109" t="n"/>
    </row>
    <row r="67" ht="51.75" customHeight="1">
      <c r="A67" s="81" t="inlineStr">
        <is>
          <t>📋 CAHIER DE TEXTE
Travail à faire
👆 CLIC = copier pour Pronote</t>
        </is>
      </c>
      <c r="B67" s="103" t="inlineStr">
        <is>
          <t>Fait avant la séance : QCM « Jardin connecté » complet : https://pll-process.github.io/en-ligne-pour-le-cycle-4/theme-2-structure-fonctionnement-comportement/C6-comprendre-et-modifier-un-programme-associe/4e/4e_C6.2/qcm_jardin_connecte.html ≈ 20 min. Après : rien — mode « Uniquement mes erreurs » pour réviser plus tard.</t>
        </is>
      </c>
      <c r="C67" s="109" t="n"/>
      <c r="D67" s="109" t="n"/>
      <c r="E67" s="109" t="n"/>
      <c r="F67" s="109" t="n"/>
    </row>
    <row r="68" ht="15" customHeight="1">
      <c r="A68" s="82" t="inlineStr">
        <is>
          <t>Suivi enseignant</t>
        </is>
      </c>
      <c r="B68" s="83" t="inlineStr">
        <is>
          <t>Fait le : ____________</t>
        </is>
      </c>
      <c r="C68" s="104" t="inlineStr">
        <is>
          <t xml:space="preserve">Report / aléa / remarques : </t>
        </is>
      </c>
      <c r="D68" s="109" t="n"/>
      <c r="E68" s="109" t="n"/>
      <c r="F68" s="109" t="n"/>
    </row>
  </sheetData>
  <mergeCells count="53">
    <mergeCell ref="B4:F4"/>
    <mergeCell ref="B7:F7"/>
    <mergeCell ref="B47:F47"/>
    <mergeCell ref="B62:F62"/>
    <mergeCell ref="B54:F54"/>
    <mergeCell ref="B66:F66"/>
    <mergeCell ref="B31:F31"/>
    <mergeCell ref="B46:F46"/>
    <mergeCell ref="C32:F32"/>
    <mergeCell ref="B56:F56"/>
    <mergeCell ref="B58:F58"/>
    <mergeCell ref="B27:F27"/>
    <mergeCell ref="A2:F2"/>
    <mergeCell ref="B12:F12"/>
    <mergeCell ref="B39:F39"/>
    <mergeCell ref="B48:F48"/>
    <mergeCell ref="B11:F11"/>
    <mergeCell ref="B67:F67"/>
    <mergeCell ref="C68:F68"/>
    <mergeCell ref="B14:F14"/>
    <mergeCell ref="B8:F8"/>
    <mergeCell ref="B57:F57"/>
    <mergeCell ref="B13:F13"/>
    <mergeCell ref="A43:F43"/>
    <mergeCell ref="B53:F53"/>
    <mergeCell ref="B44:F44"/>
    <mergeCell ref="A52:F52"/>
    <mergeCell ref="B29:F29"/>
    <mergeCell ref="B38:F38"/>
    <mergeCell ref="B10:F10"/>
    <mergeCell ref="B28:F28"/>
    <mergeCell ref="B37:F37"/>
    <mergeCell ref="A34:F34"/>
    <mergeCell ref="C41:F41"/>
    <mergeCell ref="B40:F40"/>
    <mergeCell ref="C50:F50"/>
    <mergeCell ref="B9:F9"/>
    <mergeCell ref="B49:F49"/>
    <mergeCell ref="B65:F65"/>
    <mergeCell ref="B30:F30"/>
    <mergeCell ref="B55:F55"/>
    <mergeCell ref="B6:F6"/>
    <mergeCell ref="B64:F64"/>
    <mergeCell ref="A1:F1"/>
    <mergeCell ref="B5:F5"/>
    <mergeCell ref="A61:F61"/>
    <mergeCell ref="C59:F59"/>
    <mergeCell ref="B63:F63"/>
    <mergeCell ref="B45:F45"/>
    <mergeCell ref="B36:F36"/>
    <mergeCell ref="B26:F26"/>
    <mergeCell ref="A25:F25"/>
    <mergeCell ref="B35:F35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horizontalDpi="300" verticalDpi="300"/>
</worksheet>
</file>

<file path=xl/worksheets/sheet11.xml><?xml version="1.0" encoding="utf-8"?>
<worksheet xmlns="http://schemas.openxmlformats.org/spreadsheetml/2006/main">
  <sheetPr codeName="Feuil11">
    <tabColor rgb="FF2E75B6"/>
    <outlinePr summaryBelow="1" summaryRight="1"/>
    <pageSetUpPr/>
  </sheetPr>
  <dimension ref="A1:F57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105" t="inlineStr">
        <is>
          <t>GÉNÉRATEUR DE SÉQUENCE 2024 — S5 · Objets connectés en réseau : adresse IP et communication</t>
        </is>
      </c>
    </row>
    <row r="2" ht="15" customHeight="1">
      <c r="A2" s="91" t="inlineStr">
        <is>
          <t>Thème 2 · P3/P4 · 4 séances de 1 h 30 · Responsable : Fable (Th. 2) · Pré-rempli par Fable — ✅ séquence « Le jardin connecté » en ligne (partie réseau : activité 5, simulateur de pannes)</t>
        </is>
      </c>
    </row>
    <row r="3" ht="15" customHeight="1">
      <c r="E3" s="98" t="inlineStr">
        <is>
          <t>◀ Progression</t>
        </is>
      </c>
      <c r="F3" s="90" t="inlineStr">
        <is>
          <t>◀ Accueil</t>
        </is>
      </c>
    </row>
    <row r="4" ht="27.75" customHeight="1">
      <c r="A4" s="72" t="inlineStr">
        <is>
          <t>Problématique</t>
        </is>
      </c>
      <c r="B4" s="101" t="inlineStr">
        <is>
          <t>Comment ajouter un objet connecté à un réseau local et le faire dialoguer ?</t>
        </is>
      </c>
      <c r="C4" s="109" t="n"/>
      <c r="D4" s="109" t="n"/>
      <c r="E4" s="109" t="n"/>
      <c r="F4" s="109" t="n"/>
    </row>
    <row r="5" ht="27.75" customHeight="1">
      <c r="A5" s="72" t="inlineStr">
        <is>
          <t>Situation déclenchante</t>
        </is>
      </c>
      <c r="B5" s="101" t="inlineStr">
        <is>
          <t>Le jardin connecté doit envoyer ses mesures au serveur du collège et être consultable depuis la salle des profs : comment lui donner une adresse et le faire dialoguer ?</t>
        </is>
      </c>
      <c r="C5" s="109" t="n"/>
      <c r="D5" s="109" t="n"/>
      <c r="E5" s="109" t="n"/>
      <c r="F5" s="109" t="n"/>
    </row>
    <row r="6" ht="27.75" customHeight="1">
      <c r="A6" s="72" t="inlineStr">
        <is>
          <t>Prérequis</t>
        </is>
      </c>
      <c r="B6" s="101" t="inlineStr">
        <is>
          <t>5e : composants du réseau local, identification unique (lampadaire). Rappel séance 1.</t>
        </is>
      </c>
      <c r="C6" s="109" t="n"/>
      <c r="D6" s="109" t="n"/>
      <c r="E6" s="109" t="n"/>
      <c r="F6" s="109" t="n"/>
    </row>
    <row r="7" ht="27.75" customHeight="1">
      <c r="A7" s="72" t="inlineStr">
        <is>
          <t>Éléments pour la synthèse (objectifs)</t>
        </is>
      </c>
      <c r="B7" s="101" t="inlineStr">
        <is>
          <t>Adresse IP (fixe) d'un terminal · communication entre terminaux d'un réseau local · ajout d'un objet connecté (IoT) et validation par simulation.</t>
        </is>
      </c>
      <c r="C7" s="109" t="n"/>
      <c r="D7" s="109" t="n"/>
      <c r="E7" s="109" t="n"/>
      <c r="F7" s="109" t="n"/>
    </row>
    <row r="8" ht="27.75" customHeight="1">
      <c r="A8" s="72" t="inlineStr">
        <is>
          <t>Piste d'évaluation</t>
        </is>
      </c>
      <c r="B8" s="101" t="inlineStr">
        <is>
          <t>Repère du référentiel : simulation de réseau validée. QCM réseaux existant (sélection de questions IP). Sommative courte séance 4.</t>
        </is>
      </c>
      <c r="C8" s="109" t="n"/>
      <c r="D8" s="109" t="n"/>
      <c r="E8" s="109" t="n"/>
      <c r="F8" s="109" t="n"/>
    </row>
    <row r="9" ht="27.75" customHeight="1">
      <c r="A9" s="72" t="inlineStr">
        <is>
          <t>Domaines du socle mobilisés</t>
        </is>
      </c>
      <c r="B9" s="101" t="inlineStr">
        <is>
          <t>D2, D4  (détail par code ci-dessous)</t>
        </is>
      </c>
      <c r="C9" s="109" t="n"/>
      <c r="D9" s="109" t="n"/>
      <c r="E9" s="109" t="n"/>
      <c r="F9" s="109" t="n"/>
    </row>
    <row r="10" ht="27.75" customHeight="1">
      <c r="A10" s="72" t="inlineStr">
        <is>
          <t>CRCN — compétences numériques (Pix)</t>
        </is>
      </c>
      <c r="B10" s="101" t="inlineStr">
        <is>
          <t>5.1 Résoudre des problèmes techniques (Niv. 3) · 5.2 Évoluer dans un environnement numérique (Niv. 2-3)</t>
        </is>
      </c>
      <c r="C10" s="109" t="n"/>
      <c r="D10" s="109" t="n"/>
      <c r="E10" s="109" t="n"/>
      <c r="F10" s="109" t="n"/>
    </row>
    <row r="11" ht="27.75" customHeight="1">
      <c r="A11" s="72" t="inlineStr">
        <is>
          <t>Versions 🅰 / 🅱 / 🅲</t>
        </is>
      </c>
      <c r="B11" s="101" t="inlineStr">
        <is>
          <t>🅰 mini-réseau réel (2 postes + commutateur de la salle) · 🅱 simulateur de réseau (Filius/VittaScience IoT) · 🅲 papier : plan d'adressage à compléter.</t>
        </is>
      </c>
      <c r="C11" s="109" t="n"/>
      <c r="D11" s="109" t="n"/>
      <c r="E11" s="109" t="n"/>
      <c r="F11" s="109" t="n"/>
    </row>
    <row r="12" ht="27.75" customHeight="1">
      <c r="A12" s="72" t="inlineStr">
        <is>
          <t>Liens EPI / parcours</t>
        </is>
      </c>
      <c r="B12" s="101" t="inlineStr">
        <is>
          <t>Vers Pix D2/D5 · parcours Avenir (métiers du réseau).</t>
        </is>
      </c>
      <c r="C12" s="109" t="n"/>
      <c r="D12" s="109" t="n"/>
      <c r="E12" s="109" t="n"/>
      <c r="F12" s="109" t="n"/>
    </row>
    <row r="13" ht="27.75" customHeight="1">
      <c r="A13" s="72" t="inlineStr">
        <is>
          <t>Cahier Nathan 4e</t>
        </is>
      </c>
      <c r="B13" s="101" t="inlineStr">
        <is>
          <t>Prob. 2 p.13-20 (connecter un objet à un réseau) · Point méthode adresse IP</t>
        </is>
      </c>
      <c r="C13" s="109" t="n"/>
      <c r="D13" s="109" t="n"/>
      <c r="E13" s="109" t="n"/>
      <c r="F13" s="109" t="n"/>
    </row>
    <row r="14" ht="27.75" customHeight="1">
      <c r="A14" s="72" t="inlineStr">
        <is>
          <t>Ressources en ligne</t>
        </is>
      </c>
      <c r="B14" s="101" t="inlineStr">
        <is>
          <t>✅ Séquence « Le jardin connecté » (S4-S5 — partie réseau : IP fixe/DHCP, passerelle, 3 pannes) : https://pll-process.github.io/en-ligne-pour-le-cycle-4/theme-2-structure-fonctionnement-comportement/C4-decrire-et-caracteriser-lorganisation/4e/4e_C4.1/sequence_4e_C4.1-C4.9_jardin_connecte.html · QCM 30 q (famille RES) : https://pll-process.github.io/en-ligne-pour-le-cycle-4/theme-2-structure-fonctionnement-comportement/C4-decrire-et-caracteriser-lorganisation/4e/4e_C4.1/qcm_4e_C4.1-C4.9_jardin_connecte.html · En complément : QCM réseaux XXL 40 q (existant, liens dans le déroulé).</t>
        </is>
      </c>
      <c r="C14" s="109" t="n"/>
      <c r="D14" s="109" t="n"/>
      <c r="E14" s="109" t="n"/>
      <c r="F14" s="109" t="n"/>
    </row>
    <row r="16" ht="15" customHeight="1">
      <c r="A16" s="48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6" t="inlineStr">
        <is>
          <t>4e_C4.7</t>
        </is>
      </c>
      <c r="B18" s="35" t="inlineStr">
        <is>
          <t>Paramétrer une adresse IP fixe pour ajouter un objet connecté à un réseau local.</t>
        </is>
      </c>
      <c r="C18" s="35" t="inlineStr">
        <is>
          <t>D2, D4</t>
        </is>
      </c>
      <c r="D18" s="35" t="inlineStr">
        <is>
          <t>Séances 1-2</t>
        </is>
      </c>
      <c r="E18" s="35" t="inlineStr">
        <is>
          <t>Formative + QCM → LSU</t>
        </is>
      </c>
    </row>
    <row r="19" ht="30" customHeight="1">
      <c r="A19" s="66" t="inlineStr">
        <is>
          <t>4e_C4.8</t>
        </is>
      </c>
      <c r="B19" s="35" t="inlineStr">
        <is>
          <t>Résoudre des problèmes pour assurer la communication entre les différents terminaux dans un réseau informatique (simulation ou réseau local déconnecté du réseau pédagogique).</t>
        </is>
      </c>
      <c r="C19" s="35" t="inlineStr">
        <is>
          <t>D2, D4</t>
        </is>
      </c>
      <c r="D19" s="35" t="inlineStr">
        <is>
          <t>Séances 2-3</t>
        </is>
      </c>
      <c r="E19" s="35" t="inlineStr">
        <is>
          <t>Simulation validée → LSU</t>
        </is>
      </c>
    </row>
    <row r="20" ht="30" customHeight="1">
      <c r="A20" s="66" t="inlineStr">
        <is>
          <t>4e_C4.9</t>
        </is>
      </c>
      <c r="B20" s="35" t="inlineStr">
        <is>
          <t>Compléter une simulation fournie pour valider le comportement d’un réseau informatique.</t>
        </is>
      </c>
      <c r="C20" s="35" t="inlineStr">
        <is>
          <t>D2, D4</t>
        </is>
      </c>
      <c r="D20" s="35" t="inlineStr">
        <is>
          <t>Séance 3</t>
        </is>
      </c>
      <c r="E20" s="35" t="inlineStr">
        <is>
          <t>Formative → LSU</t>
        </is>
      </c>
    </row>
    <row r="22" ht="15" customHeight="1">
      <c r="A22" s="48" t="inlineStr">
        <is>
          <t>Déroulé, séance par séance — avec cahier de texte Pronote prêt à coller</t>
        </is>
      </c>
    </row>
    <row r="23" ht="15" customHeight="1">
      <c r="A23" s="106" t="inlineStr">
        <is>
          <t>■ Séance 1 — semaine S17 — 🏫 En classe — L'adresse IP : l'identité chiffrée (C4.7)</t>
        </is>
      </c>
    </row>
    <row r="24" ht="27.75" customHeight="1">
      <c r="A24" s="72" t="inlineStr">
        <is>
          <t>Question directrice</t>
        </is>
      </c>
      <c r="B24" s="101" t="inlineStr">
        <is>
          <t>Le nom ne suffit plus : comment les machines s'adressent-elles vraiment ?</t>
        </is>
      </c>
      <c r="C24" s="109" t="n"/>
      <c r="D24" s="109" t="n"/>
      <c r="E24" s="109" t="n"/>
      <c r="F24" s="109" t="n"/>
    </row>
    <row r="25" ht="64.5" customHeight="1">
      <c r="A25" s="72" t="inlineStr">
        <is>
          <t>Activités &amp; supports</t>
        </is>
      </c>
      <c r="B25" s="101" t="inlineStr">
        <is>
          <t>Du nom (5e) à l'adresse IP (4e) : structure, unicité, adresse fixe pour un serveur. Repérage des IP réelles des postes. Nathan Prob. 2 p.13-20. QCM réseaux (questions IP uniquement, mode ciblé) : https://pll-process.github.io/en-ligne-pour-le-cycle-4/theme-2-structure-fonctionnement-comportement/C4-decrire-et-caracteriser-lorganisation/4e/4e_C4.7/qcm_xxl_40_reseaux_ip_nfc_rfid_zigbee.html</t>
        </is>
      </c>
      <c r="C25" s="109" t="n"/>
      <c r="D25" s="109" t="n"/>
      <c r="E25" s="109" t="n"/>
      <c r="F25" s="109" t="n"/>
    </row>
    <row r="26" ht="27.75" customHeight="1">
      <c r="A26" s="72" t="inlineStr">
        <is>
          <t>Démarche / organisation</t>
        </is>
      </c>
      <c r="B26" s="101" t="inlineStr">
        <is>
          <t>Investigation ; ipconfig sur postes réels.</t>
        </is>
      </c>
      <c r="C26" s="109" t="n"/>
      <c r="D26" s="109" t="n"/>
      <c r="E26" s="109" t="n"/>
      <c r="F26" s="109" t="n"/>
    </row>
    <row r="27" ht="27.75" customHeight="1">
      <c r="A27" s="72" t="inlineStr">
        <is>
          <t>Bilan / trace écrite</t>
        </is>
      </c>
      <c r="B27" s="101" t="inlineStr">
        <is>
          <t>Adresse IP = identité numérique unique du terminal sur le réseau.</t>
        </is>
      </c>
      <c r="C27" s="109" t="n"/>
      <c r="D27" s="109" t="n"/>
      <c r="E27" s="109" t="n"/>
      <c r="F27" s="109" t="n"/>
    </row>
    <row r="28" ht="39.75" customHeight="1">
      <c r="A28" s="81" t="inlineStr">
        <is>
          <t>📋 CAHIER DE TEXTE
Contenu de la séance
👆 CLIC = copier pour Pronote</t>
        </is>
      </c>
      <c r="B28" s="103" t="inlineStr">
        <is>
          <t>Séance 1 : l'adresse IP — identité chiffrée des terminaux (relevé des adresses réelles de la salle). Cahier Nathan p.13-20.</t>
        </is>
      </c>
      <c r="C28" s="109" t="n"/>
      <c r="D28" s="109" t="n"/>
      <c r="E28" s="109" t="n"/>
      <c r="F28" s="109" t="n"/>
    </row>
    <row r="29" ht="39.75" customHeight="1">
      <c r="A29" s="81" t="inlineStr">
        <is>
          <t>📋 CAHIER DE TEXTE
Travail à faire
👆 CLIC = copier pour Pronote</t>
        </is>
      </c>
      <c r="B29" s="103" t="inlineStr">
        <is>
          <t>QCM réseaux en ligne, partie IP : https://pll-process.github.io/en-ligne-pour-le-cycle-4/theme-2-structure-fonctionnement-comportement/C4-decrire-et-caracteriser-lorganisation/4e/4e_C4.7/qcm_xxl_40_reseaux_ip_nfc_rfid_zigbee.html ≈ 15 min (choisir le mode ciblé).</t>
        </is>
      </c>
      <c r="C29" s="109" t="n"/>
      <c r="D29" s="109" t="n"/>
      <c r="E29" s="109" t="n"/>
      <c r="F29" s="109" t="n"/>
    </row>
    <row r="30" ht="15" customHeight="1">
      <c r="A30" s="82" t="inlineStr">
        <is>
          <t>Suivi enseignant</t>
        </is>
      </c>
      <c r="B30" s="83" t="inlineStr">
        <is>
          <t>Fait le : ____________</t>
        </is>
      </c>
      <c r="C30" s="104" t="inlineStr">
        <is>
          <t xml:space="preserve">Report / aléa / remarques : </t>
        </is>
      </c>
      <c r="D30" s="109" t="n"/>
      <c r="E30" s="109" t="n"/>
      <c r="F30" s="109" t="n"/>
    </row>
    <row r="32" ht="15" customHeight="1">
      <c r="A32" s="106" t="inlineStr">
        <is>
          <t>■ Séance 2 — semaine S18 — 🏫 En classe — Faire dialoguer deux terminaux (C4.7, C4.8)</t>
        </is>
      </c>
    </row>
    <row r="33" ht="27.75" customHeight="1">
      <c r="A33" s="72" t="inlineStr">
        <is>
          <t>Question directrice</t>
        </is>
      </c>
      <c r="B33" s="101" t="inlineStr">
        <is>
          <t>Que se passe-t-il exactement quand un poste « parle » à un autre ?</t>
        </is>
      </c>
      <c r="C33" s="109" t="n"/>
      <c r="D33" s="109" t="n"/>
      <c r="E33" s="109" t="n"/>
      <c r="F33" s="109" t="n"/>
    </row>
    <row r="34" ht="27.75" customHeight="1">
      <c r="A34" s="72" t="inlineStr">
        <is>
          <t>Activités &amp; supports</t>
        </is>
      </c>
      <c r="B34" s="101" t="inlineStr">
        <is>
          <t>Simulateur de réseau : construire un mini-réseau (2 postes, commutateur), configurer les IP, envoyer un message, observer le chemin.</t>
        </is>
      </c>
      <c r="C34" s="109" t="n"/>
      <c r="D34" s="109" t="n"/>
      <c r="E34" s="109" t="n"/>
      <c r="F34" s="109" t="n"/>
    </row>
    <row r="35" ht="27.75" customHeight="1">
      <c r="A35" s="72" t="inlineStr">
        <is>
          <t>Démarche / organisation</t>
        </is>
      </c>
      <c r="B35" s="101" t="inlineStr">
        <is>
          <t>Binômes au simulateur ; défi : faire échouer la communication (IP en double, mauvaise passerelle) puis réparer.</t>
        </is>
      </c>
      <c r="C35" s="109" t="n"/>
      <c r="D35" s="109" t="n"/>
      <c r="E35" s="109" t="n"/>
      <c r="F35" s="109" t="n"/>
    </row>
    <row r="36" ht="27.75" customHeight="1">
      <c r="A36" s="72" t="inlineStr">
        <is>
          <t>Bilan / trace écrite</t>
        </is>
      </c>
      <c r="B36" s="101" t="inlineStr">
        <is>
          <t>La communication exige des adresses cohérentes ; la simulation permet de VALIDER avant de câbler.</t>
        </is>
      </c>
      <c r="C36" s="109" t="n"/>
      <c r="D36" s="109" t="n"/>
      <c r="E36" s="109" t="n"/>
      <c r="F36" s="109" t="n"/>
    </row>
    <row r="37" ht="39.75" customHeight="1">
      <c r="A37" s="81" t="inlineStr">
        <is>
          <t>📋 CAHIER DE TEXTE
Contenu de la séance
👆 CLIC = copier pour Pronote</t>
        </is>
      </c>
      <c r="B37" s="103" t="inlineStr">
        <is>
          <t>Séance 2 : simulation de réseau — configuration des adresses IP et dialogue entre deux terminaux ; pannes provoquées et réparées.</t>
        </is>
      </c>
      <c r="C37" s="109" t="n"/>
      <c r="D37" s="109" t="n"/>
      <c r="E37" s="109" t="n"/>
      <c r="F37" s="109" t="n"/>
    </row>
    <row r="38" ht="39.75" customHeight="1">
      <c r="A38" s="81" t="inlineStr">
        <is>
          <t>📋 CAHIER DE TEXTE
Travail à faire
👆 CLIC = copier pour Pronote</t>
        </is>
      </c>
      <c r="B38" s="103" t="inlineStr">
        <is>
          <t>Refaire chez toi le mini-réseau au simulateur (lien ENT) OU schéma d'adressage papier à compléter. ≈ 20 min.</t>
        </is>
      </c>
      <c r="C38" s="109" t="n"/>
      <c r="D38" s="109" t="n"/>
      <c r="E38" s="109" t="n"/>
      <c r="F38" s="109" t="n"/>
    </row>
    <row r="39" ht="15" customHeight="1">
      <c r="A39" s="82" t="inlineStr">
        <is>
          <t>Suivi enseignant</t>
        </is>
      </c>
      <c r="B39" s="83" t="inlineStr">
        <is>
          <t>Fait le : ____________</t>
        </is>
      </c>
      <c r="C39" s="104" t="inlineStr">
        <is>
          <t xml:space="preserve">Report / aléa / remarques : </t>
        </is>
      </c>
      <c r="D39" s="109" t="n"/>
      <c r="E39" s="109" t="n"/>
      <c r="F39" s="109" t="n"/>
    </row>
    <row r="41" ht="15" customHeight="1">
      <c r="A41" s="106" t="inlineStr">
        <is>
          <t>■ Séance 3 — semaine S19 — 🔁 Hybride — Connecter l'objet (IoT) au réseau (C4.9)</t>
        </is>
      </c>
    </row>
    <row r="42" ht="27.75" customHeight="1">
      <c r="A42" s="72" t="inlineStr">
        <is>
          <t>Question directrice</t>
        </is>
      </c>
      <c r="B42" s="101" t="inlineStr">
        <is>
          <t>Comment le jardin envoie-t-il ses mesures au serveur ?</t>
        </is>
      </c>
      <c r="C42" s="109" t="n"/>
      <c r="D42" s="109" t="n"/>
      <c r="E42" s="109" t="n"/>
      <c r="F42" s="109" t="n"/>
    </row>
    <row r="43" ht="27.75" customHeight="1">
      <c r="A43" s="72" t="inlineStr">
        <is>
          <t>Activités &amp; supports</t>
        </is>
      </c>
      <c r="B43" s="101" t="inlineStr">
        <is>
          <t>Ajout d'un objet connecté au réseau simulé (VittaScience IoT / mBlock) : l'objet publie une mesure, un poste la consulte.</t>
        </is>
      </c>
      <c r="C43" s="109" t="n"/>
      <c r="D43" s="109" t="n"/>
      <c r="E43" s="109" t="n"/>
      <c r="F43" s="109" t="n"/>
    </row>
    <row r="44" ht="27.75" customHeight="1">
      <c r="A44" s="72" t="inlineStr">
        <is>
          <t>Démarche / organisation</t>
        </is>
      </c>
      <c r="B44" s="101" t="inlineStr">
        <is>
          <t>Démonstration + binômes ; poursuite à la maison en simulation.</t>
        </is>
      </c>
      <c r="C44" s="109" t="n"/>
      <c r="D44" s="109" t="n"/>
      <c r="E44" s="109" t="n"/>
      <c r="F44" s="109" t="n"/>
    </row>
    <row r="45" ht="27.75" customHeight="1">
      <c r="A45" s="72" t="inlineStr">
        <is>
          <t>Bilan / trace écrite</t>
        </is>
      </c>
      <c r="B45" s="101" t="inlineStr">
        <is>
          <t>Objet connecté = un terminal comme un autre : adresse, règles, dialogue.</t>
        </is>
      </c>
      <c r="C45" s="109" t="n"/>
      <c r="D45" s="109" t="n"/>
      <c r="E45" s="109" t="n"/>
      <c r="F45" s="109" t="n"/>
    </row>
    <row r="46" ht="39.75" customHeight="1">
      <c r="A46" s="81" t="inlineStr">
        <is>
          <t>📋 CAHIER DE TEXTE
Contenu de la séance
👆 CLIC = copier pour Pronote</t>
        </is>
      </c>
      <c r="B46" s="103" t="inlineStr">
        <is>
          <t>Séance 3 : connecter le jardin au réseau du collège (simulation IoT) — l'objet publie ses mesures, un poste les consulte.</t>
        </is>
      </c>
      <c r="C46" s="109" t="n"/>
      <c r="D46" s="109" t="n"/>
      <c r="E46" s="109" t="n"/>
      <c r="F46" s="109" t="n"/>
    </row>
    <row r="47" ht="39.75" customHeight="1">
      <c r="A47" s="81" t="inlineStr">
        <is>
          <t>📋 CAHIER DE TEXTE
Travail à faire
👆 CLIC = copier pour Pronote</t>
        </is>
      </c>
      <c r="B47" s="103" t="inlineStr">
        <is>
          <t>Terminer la simulation IoT commencée en classe (lien ENT). ≈ 20 min.</t>
        </is>
      </c>
      <c r="C47" s="109" t="n"/>
      <c r="D47" s="109" t="n"/>
      <c r="E47" s="109" t="n"/>
      <c r="F47" s="109" t="n"/>
    </row>
    <row r="48" ht="15" customHeight="1">
      <c r="A48" s="82" t="inlineStr">
        <is>
          <t>Suivi enseignant</t>
        </is>
      </c>
      <c r="B48" s="83" t="inlineStr">
        <is>
          <t>Fait le : ____________</t>
        </is>
      </c>
      <c r="C48" s="104" t="inlineStr">
        <is>
          <t xml:space="preserve">Report / aléa / remarques : </t>
        </is>
      </c>
      <c r="D48" s="109" t="n"/>
      <c r="E48" s="109" t="n"/>
      <c r="F48" s="109" t="n"/>
    </row>
    <row r="50" ht="15" customHeight="1">
      <c r="A50" s="106" t="inlineStr">
        <is>
          <t>■ Séance 4 — semaine S21 — 🏠 puis 🏫 — Bilan réseau + évaluation</t>
        </is>
      </c>
    </row>
    <row r="51" ht="27.75" customHeight="1">
      <c r="A51" s="72" t="inlineStr">
        <is>
          <t>Question directrice</t>
        </is>
      </c>
      <c r="B51" s="101" t="inlineStr">
        <is>
          <t>Où en suis-je sur C4.7, C4.8, C4.9 ?</t>
        </is>
      </c>
      <c r="C51" s="109" t="n"/>
      <c r="D51" s="109" t="n"/>
      <c r="E51" s="109" t="n"/>
      <c r="F51" s="109" t="n"/>
    </row>
    <row r="52" ht="27.75" customHeight="1">
      <c r="A52" s="72" t="inlineStr">
        <is>
          <t>Activités &amp; supports</t>
        </is>
      </c>
      <c r="B52" s="101" t="inlineStr">
        <is>
          <t>Correction du QCM fait à la maison ; évaluation : configurer et valider un petit réseau en simulation (repère du référentiel).</t>
        </is>
      </c>
      <c r="C52" s="109" t="n"/>
      <c r="D52" s="109" t="n"/>
      <c r="E52" s="109" t="n"/>
      <c r="F52" s="109" t="n"/>
    </row>
    <row r="53" ht="27.75" customHeight="1">
      <c r="A53" s="72" t="inlineStr">
        <is>
          <t>Démarche / organisation</t>
        </is>
      </c>
      <c r="B53" s="101" t="inlineStr">
        <is>
          <t>Évaluation pratique 40 min + bilan.</t>
        </is>
      </c>
      <c r="C53" s="109" t="n"/>
      <c r="D53" s="109" t="n"/>
      <c r="E53" s="109" t="n"/>
      <c r="F53" s="109" t="n"/>
    </row>
    <row r="54" ht="27.75" customHeight="1">
      <c r="A54" s="72" t="inlineStr">
        <is>
          <t>Bilan / trace écrite</t>
        </is>
      </c>
      <c r="B54" s="101" t="inlineStr">
        <is>
          <t>Synthèse distribuée.</t>
        </is>
      </c>
      <c r="C54" s="109" t="n"/>
      <c r="D54" s="109" t="n"/>
      <c r="E54" s="109" t="n"/>
      <c r="F54" s="109" t="n"/>
    </row>
    <row r="55" ht="39.75" customHeight="1">
      <c r="A55" s="81" t="inlineStr">
        <is>
          <t>📋 CAHIER DE TEXTE
Contenu de la séance
👆 CLIC = copier pour Pronote</t>
        </is>
      </c>
      <c r="B55" s="103" t="inlineStr">
        <is>
          <t>Séance 4 : évaluation pratique — configurer un mini-réseau en simulation et le valider ; bilan de la séquence.</t>
        </is>
      </c>
      <c r="C55" s="109" t="n"/>
      <c r="D55" s="109" t="n"/>
      <c r="E55" s="109" t="n"/>
      <c r="F55" s="109" t="n"/>
    </row>
    <row r="56" ht="39.75" customHeight="1">
      <c r="A56" s="81" t="inlineStr">
        <is>
          <t>📋 CAHIER DE TEXTE
Travail à faire
👆 CLIC = copier pour Pronote</t>
        </is>
      </c>
      <c r="B56" s="103" t="inlineStr">
        <is>
          <t>Fait avant la séance : rejouer le QCM réseaux (questions IP) : https://pll-process.github.io/en-ligne-pour-le-cycle-4/theme-2-structure-fonctionnement-comportement/C4-decrire-et-caracteriser-lorganisation/4e/4e_C4.7/qcm_xxl_40_reseaux_ip_nfc_rfid_zigbee.html ≈ 15 min. Après : rien.</t>
        </is>
      </c>
      <c r="C56" s="109" t="n"/>
      <c r="D56" s="109" t="n"/>
      <c r="E56" s="109" t="n"/>
      <c r="F56" s="109" t="n"/>
    </row>
    <row r="57" ht="15" customHeight="1">
      <c r="A57" s="82" t="inlineStr">
        <is>
          <t>Suivi enseignant</t>
        </is>
      </c>
      <c r="B57" s="83" t="inlineStr">
        <is>
          <t>Fait le : ____________</t>
        </is>
      </c>
      <c r="C57" s="104" t="inlineStr">
        <is>
          <t xml:space="preserve">Report / aléa / remarques : </t>
        </is>
      </c>
      <c r="D57" s="109" t="n"/>
      <c r="E57" s="109" t="n"/>
      <c r="F57" s="109" t="n"/>
    </row>
  </sheetData>
  <mergeCells count="45">
    <mergeCell ref="A41:F41"/>
    <mergeCell ref="B4:F4"/>
    <mergeCell ref="C48:F48"/>
    <mergeCell ref="B7:F7"/>
    <mergeCell ref="B47:F47"/>
    <mergeCell ref="B54:F54"/>
    <mergeCell ref="C39:F39"/>
    <mergeCell ref="B25:F25"/>
    <mergeCell ref="B46:F46"/>
    <mergeCell ref="A50:F50"/>
    <mergeCell ref="C57:F57"/>
    <mergeCell ref="B56:F56"/>
    <mergeCell ref="B27:F27"/>
    <mergeCell ref="B52:F52"/>
    <mergeCell ref="A2:F2"/>
    <mergeCell ref="B43:F43"/>
    <mergeCell ref="B12:F12"/>
    <mergeCell ref="B42:F42"/>
    <mergeCell ref="A23:F23"/>
    <mergeCell ref="A32:F32"/>
    <mergeCell ref="B11:F11"/>
    <mergeCell ref="C30:F30"/>
    <mergeCell ref="B14:F14"/>
    <mergeCell ref="B8:F8"/>
    <mergeCell ref="B13:F13"/>
    <mergeCell ref="B53:F53"/>
    <mergeCell ref="B44:F44"/>
    <mergeCell ref="B29:F29"/>
    <mergeCell ref="B38:F38"/>
    <mergeCell ref="B34:F34"/>
    <mergeCell ref="B10:F10"/>
    <mergeCell ref="B28:F28"/>
    <mergeCell ref="B37:F37"/>
    <mergeCell ref="B9:F9"/>
    <mergeCell ref="B55:F55"/>
    <mergeCell ref="B6:F6"/>
    <mergeCell ref="B24:F24"/>
    <mergeCell ref="B33:F33"/>
    <mergeCell ref="A1:F1"/>
    <mergeCell ref="B51:F51"/>
    <mergeCell ref="B5:F5"/>
    <mergeCell ref="B45:F45"/>
    <mergeCell ref="B36:F36"/>
    <mergeCell ref="B26:F26"/>
    <mergeCell ref="B35:F35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horizontalDpi="300" verticalDpi="300"/>
</worksheet>
</file>

<file path=xl/worksheets/sheet12.xml><?xml version="1.0" encoding="utf-8"?>
<worksheet xmlns="http://schemas.openxmlformats.org/spreadsheetml/2006/main">
  <sheetPr codeName="Feuil12">
    <tabColor rgb="FF2E75B6"/>
    <outlinePr summaryBelow="1" summaryRight="1"/>
    <pageSetUpPr/>
  </sheetPr>
  <dimension ref="A1:F61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105" t="inlineStr">
        <is>
          <t>GÉNÉRATEUR DE SÉQUENCE 2024 — S6 · Réparer sans notice : diagnostic, pièce et programme</t>
        </is>
      </c>
    </row>
    <row r="2" ht="15" customHeight="1">
      <c r="A2" s="91" t="inlineStr">
        <is>
          <t>Thème 2 · P4 · 4 séances de 1 h 30 · Responsable : Fable (Th. 2) · Pré-rempli par Fable — ✅ 2 séquences en ligne (« SOS jardin connecté » + « Ajuster le programme ») + 2 QCM 30 q · intègre le correctif 4e_C4.3</t>
        </is>
      </c>
    </row>
    <row r="3" ht="15" customHeight="1">
      <c r="E3" s="98" t="inlineStr">
        <is>
          <t>◀ Progression</t>
        </is>
      </c>
      <c r="F3" s="90" t="inlineStr">
        <is>
          <t>◀ Accueil</t>
        </is>
      </c>
    </row>
    <row r="4" ht="27.75" customHeight="1">
      <c r="A4" s="72" t="inlineStr">
        <is>
          <t>Problématique</t>
        </is>
      </c>
      <c r="B4" s="101" t="inlineStr">
        <is>
          <t>Comment diagnostiquer une panne sans protocole fourni, remplacer la pièce et corriger le programme ?</t>
        </is>
      </c>
      <c r="C4" s="109" t="n"/>
      <c r="D4" s="109" t="n"/>
      <c r="E4" s="109" t="n"/>
      <c r="F4" s="109" t="n"/>
    </row>
    <row r="5" ht="39" customHeight="1">
      <c r="A5" s="72" t="inlineStr">
        <is>
          <t>Situation déclenchante</t>
        </is>
      </c>
      <c r="B5" s="101" t="inlineStr">
        <is>
          <t>L'éclairage automatique du hall est en panne, sans notice ni SAV. Diagnostiquer, remplacer la pièce (et si elle n'existe plus : la refabriquer — quelle forme, quel procédé ?), corriger le programme.</t>
        </is>
      </c>
      <c r="C5" s="109" t="n"/>
      <c r="D5" s="109" t="n"/>
      <c r="E5" s="109" t="n"/>
      <c r="F5" s="109" t="n"/>
    </row>
    <row r="6" ht="27.75" customHeight="1">
      <c r="A6" s="72" t="inlineStr">
        <is>
          <t>Prérequis</t>
        </is>
      </c>
      <c r="B6" s="101" t="inlineStr">
        <is>
          <t>5e : panne visuelle + protocole fourni (SOS panne). Montée 4e : SANS notice, avec hypothèses.</t>
        </is>
      </c>
      <c r="C6" s="109" t="n"/>
      <c r="D6" s="109" t="n"/>
      <c r="E6" s="109" t="n"/>
      <c r="F6" s="109" t="n"/>
    </row>
    <row r="7" ht="39" customHeight="1">
      <c r="A7" s="72" t="inlineStr">
        <is>
          <t>Éléments pour la synthèse (objectifs)</t>
        </is>
      </c>
      <c r="B7" s="101" t="inlineStr">
        <is>
          <t>Vérifier l'ORIGINE d'un dysfonctionnement (hypothèses → tests) · remplacer sans protocole fourni · forme d'une pièce ↔ procédé de réalisation (C4.3) · analyser les données d'un programme, le compléter, le corriger et le tester.</t>
        </is>
      </c>
      <c r="C7" s="109" t="n"/>
      <c r="D7" s="109" t="n"/>
      <c r="E7" s="109" t="n"/>
      <c r="F7" s="109" t="n"/>
    </row>
    <row r="8" ht="27.75" customHeight="1">
      <c r="A8" s="72" t="inlineStr">
        <is>
          <t>Piste d'évaluation</t>
        </is>
      </c>
      <c r="B8" s="101" t="inlineStr">
        <is>
          <t>Repère du référentiel : rapport de diagnostic + programme corrigé. QCM existants (Éclairage automatique, Algorigrammes domotique). Sommative séance 4.</t>
        </is>
      </c>
      <c r="C8" s="109" t="n"/>
      <c r="D8" s="109" t="n"/>
      <c r="E8" s="109" t="n"/>
      <c r="F8" s="109" t="n"/>
    </row>
    <row r="9" ht="27.75" customHeight="1">
      <c r="A9" s="72" t="inlineStr">
        <is>
          <t>Domaines du socle mobilisés</t>
        </is>
      </c>
      <c r="B9" s="101" t="inlineStr">
        <is>
          <t>D1.3, D2, D3, D4, D5  (détail par code ci-dessous)</t>
        </is>
      </c>
      <c r="C9" s="109" t="n"/>
      <c r="D9" s="109" t="n"/>
      <c r="E9" s="109" t="n"/>
      <c r="F9" s="109" t="n"/>
    </row>
    <row r="10" ht="27.75" customHeight="1">
      <c r="A10" s="72" t="inlineStr">
        <is>
          <t>CRCN — compétences numériques (Pix)</t>
        </is>
      </c>
      <c r="B10" s="101" t="inlineStr">
        <is>
          <t>3.4 Programmer (Niv. 2-3 : compléter, corriger, tester) · 5.1 Résoudre des problèmes techniques (Niv. 2)</t>
        </is>
      </c>
      <c r="C10" s="109" t="n"/>
      <c r="D10" s="109" t="n"/>
      <c r="E10" s="109" t="n"/>
      <c r="F10" s="109" t="n"/>
    </row>
    <row r="11" ht="27.75" customHeight="1">
      <c r="A11" s="72" t="inlineStr">
        <is>
          <t>Versions 🅰 / 🅱 / 🅲</t>
        </is>
      </c>
      <c r="B11" s="101" t="inlineStr">
        <is>
          <t>🅰 objets réels en panne + impression 3D de la pièce · 🅱 séquences en ligne avec poste de diagnostic et banc de test (✅ LOTs 10-11) · 🅲 étude de cas papier Nathan.</t>
        </is>
      </c>
      <c r="C11" s="109" t="n"/>
      <c r="D11" s="109" t="n"/>
      <c r="E11" s="109" t="n"/>
      <c r="F11" s="109" t="n"/>
    </row>
    <row r="12" ht="27.75" customHeight="1">
      <c r="A12" s="72" t="inlineStr">
        <is>
          <t>Liens EPI / parcours</t>
        </is>
      </c>
      <c r="B12" s="101" t="inlineStr">
        <is>
          <t>EDD (réparer plutôt que jeter, indice de réparabilité) · parcours Avenir (maintenance).</t>
        </is>
      </c>
      <c r="C12" s="109" t="n"/>
      <c r="D12" s="109" t="n"/>
      <c r="E12" s="109" t="n"/>
      <c r="F12" s="109" t="n"/>
    </row>
    <row r="13" ht="27.75" customHeight="1">
      <c r="A13" s="72" t="inlineStr">
        <is>
          <t>Cahier Nathan 4e</t>
        </is>
      </c>
      <c r="B13" s="101" t="inlineStr">
        <is>
          <t>Prob. 8 p.61-66 (prolonger la durée de vie) · Prob. 6 p.45-52 (programmer) · Prob. 4 p.29-36 (matériaux et formes → C4.3)</t>
        </is>
      </c>
      <c r="C13" s="109" t="n"/>
      <c r="D13" s="109" t="n"/>
      <c r="E13" s="109" t="n"/>
      <c r="F13" s="109" t="n"/>
    </row>
    <row r="14" ht="27.75" customHeight="1">
      <c r="A14" s="72" t="inlineStr">
        <is>
          <t>Ressources en ligne</t>
        </is>
      </c>
      <c r="B14" s="101" t="inlineStr">
        <is>
          <t>✅ Séquence « SOS jardin connecté » (diagnostic prouvé, remplacement, choix du procédé) : https://pll-process.github.io/en-ligne-pour-le-cycle-4/theme-2-structure-fonctionnement-comportement/C5-identifier-un-dysfonctionnement-dun-objet/4e/4e_C5.1/sequence_4e_C5.1-C5.3_depanner_jardin.html · QCM 30 q : https://pll-process.github.io/en-ligne-pour-le-cycle-4/theme-2-structure-fonctionnement-comportement/C5-identifier-un-dysfonctionnement-dun-objet/4e/4e_C5.1/qcm_4e_C5.1-C5.3_depanner_jardin.html · Séquence « Ajuster le programme du jardin » (hystérésis 35/45, banc de test) : https://pll-process.github.io/en-ligne-pour-le-cycle-4/theme-2-structure-fonctionnement-comportement/C6-comprendre-et-modifier-un-programme-associe/4e/4e_C6.1/sequence_4e_C6.1-C6.3_ajuster_programme_jardin.html · QCM 30 q : https://pll-process.github.io/en-ligne-pour-le-cycle-4/theme-2-structure-fonctionnement-comportement/C6-comprendre-et-modifier-un-programme-associe/4e/4e_C6.1/qcm_4e_C6.1-C6.3_ajuster_programme_jardin.html · En complément : QCM « Éclairage automatique », « Algorigrammes domotique » (existants, liens dans le déroulé).</t>
        </is>
      </c>
      <c r="C14" s="109" t="n"/>
      <c r="D14" s="109" t="n"/>
      <c r="E14" s="109" t="n"/>
      <c r="F14" s="109" t="n"/>
    </row>
    <row r="16" ht="15" customHeight="1">
      <c r="A16" s="48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6" t="inlineStr">
        <is>
          <t>4e_C5.1</t>
        </is>
      </c>
      <c r="B18" s="35" t="inlineStr">
        <is>
          <t>Proposer un protocole permettant de vérifier l’origine d’un dysfonctionnement.</t>
        </is>
      </c>
      <c r="C18" s="35" t="inlineStr">
        <is>
          <t>D1.3, D2, D4</t>
        </is>
      </c>
      <c r="D18" s="35" t="inlineStr">
        <is>
          <t>Séance 1</t>
        </is>
      </c>
      <c r="E18" s="35" t="inlineStr">
        <is>
          <t>Formative → LSU</t>
        </is>
      </c>
    </row>
    <row r="19" ht="30" customHeight="1">
      <c r="A19" s="66" t="inlineStr">
        <is>
          <t>4e_C5.2</t>
        </is>
      </c>
      <c r="B19" s="35" t="inlineStr">
        <is>
          <t>Remplacer une pièce défectueuse sans protocole fourni (la pièce de remplacement étant fournie).</t>
        </is>
      </c>
      <c r="C19" s="35" t="inlineStr">
        <is>
          <t>D2, D3, D4</t>
        </is>
      </c>
      <c r="D19" s="35" t="inlineStr">
        <is>
          <t>Séances 1-2</t>
        </is>
      </c>
      <c r="E19" s="35" t="inlineStr">
        <is>
          <t>Rapport de diagnostic → LSU</t>
        </is>
      </c>
    </row>
    <row r="20" ht="30" customHeight="1">
      <c r="A20" s="66" t="inlineStr">
        <is>
          <t>4e_C5.3</t>
        </is>
      </c>
      <c r="B20" s="35" t="inlineStr">
        <is>
          <t>Choisir les procédés de réalisation et les mettre en œuvre.</t>
        </is>
      </c>
      <c r="C20" s="35" t="inlineStr">
        <is>
          <t>D2, D3, D4</t>
        </is>
      </c>
      <c r="D20" s="35" t="inlineStr">
        <is>
          <t>Séance 2</t>
        </is>
      </c>
      <c r="E20" s="35" t="inlineStr">
        <is>
          <t>Formative → LSU</t>
        </is>
      </c>
    </row>
    <row r="21" ht="30" customHeight="1">
      <c r="A21" s="66" t="inlineStr">
        <is>
          <t>4e_C4.3</t>
        </is>
      </c>
      <c r="B21" s="35" t="inlineStr">
        <is>
          <t>Mettre en relation la forme d’une pièce avec le procédé de réalisation.</t>
        </is>
      </c>
      <c r="C21" s="35" t="inlineStr">
        <is>
          <t>D3, D4, D5</t>
        </is>
      </c>
      <c r="D21" s="35" t="inlineStr">
        <is>
          <t>Séance 2</t>
        </is>
      </c>
      <c r="E21" s="35" t="inlineStr">
        <is>
          <t>Choix forme/procédé justifié → LSU (correctif : code réintégré)</t>
        </is>
      </c>
    </row>
    <row r="22" ht="30" customHeight="1">
      <c r="A22" s="66" t="inlineStr">
        <is>
          <t>4e_C6.1</t>
        </is>
      </c>
      <c r="B22" s="35" t="inlineStr">
        <is>
          <t>Analyser les données et en déduire des modifications à apporter au programme.</t>
        </is>
      </c>
      <c r="C22" s="35" t="inlineStr">
        <is>
          <t>D1.3, D2, D4</t>
        </is>
      </c>
      <c r="D22" s="35" t="inlineStr">
        <is>
          <t>Séance 3</t>
        </is>
      </c>
      <c r="E22" s="35" t="inlineStr">
        <is>
          <t>Formative → LSU</t>
        </is>
      </c>
    </row>
    <row r="23" ht="30" customHeight="1">
      <c r="A23" s="66" t="inlineStr">
        <is>
          <t>4e_C6.2</t>
        </is>
      </c>
      <c r="B23" s="35" t="inlineStr">
        <is>
          <t>Compléter un programme pour répondre à une fonctionnalité d’un OST.</t>
        </is>
      </c>
      <c r="C23" s="35" t="inlineStr">
        <is>
          <t>D1.3, D2, D4</t>
        </is>
      </c>
      <c r="D23" s="35" t="inlineStr">
        <is>
          <t>Séance 3</t>
        </is>
      </c>
      <c r="E23" s="35" t="inlineStr">
        <is>
          <t>Programme complété → LSU</t>
        </is>
      </c>
    </row>
    <row r="24" ht="30" customHeight="1">
      <c r="A24" s="66" t="inlineStr">
        <is>
          <t>4e_C6.3</t>
        </is>
      </c>
      <c r="B24" s="35" t="inlineStr">
        <is>
          <t>Tester et valider, dans un environnement simulé ou réel, une modification du programme.</t>
        </is>
      </c>
      <c r="C24" s="35" t="inlineStr">
        <is>
          <t>D1.3, D2, D4</t>
        </is>
      </c>
      <c r="D24" s="35" t="inlineStr">
        <is>
          <t>Séances 3-4</t>
        </is>
      </c>
      <c r="E24" s="35" t="inlineStr">
        <is>
          <t>Programme corrigé testé → LSU</t>
        </is>
      </c>
    </row>
    <row r="26" ht="15" customHeight="1">
      <c r="A26" s="48" t="inlineStr">
        <is>
          <t>Déroulé, séance par séance — avec cahier de texte Pronote prêt à coller</t>
        </is>
      </c>
    </row>
    <row r="27" ht="15" customHeight="1">
      <c r="A27" s="106" t="inlineStr">
        <is>
          <t>■ Séance 1 — semaine S22 — 🏫 En classe — Diagnostiquer sans notice (C5.1, C5.2)</t>
        </is>
      </c>
    </row>
    <row r="28" ht="27.75" customHeight="1">
      <c r="A28" s="72" t="inlineStr">
        <is>
          <t>Question directrice</t>
        </is>
      </c>
      <c r="B28" s="101" t="inlineStr">
        <is>
          <t>Par où commencer quand rien n'est fourni ?</t>
        </is>
      </c>
      <c r="C28" s="109" t="n"/>
      <c r="D28" s="109" t="n"/>
      <c r="E28" s="109" t="n"/>
      <c r="F28" s="109" t="n"/>
    </row>
    <row r="29" ht="27.75" customHeight="1">
      <c r="A29" s="72" t="inlineStr">
        <is>
          <t>Activités &amp; supports</t>
        </is>
      </c>
      <c r="B29" s="101" t="inlineStr">
        <is>
          <t>Objets en panne non documentés : hypothèses, tests ordonnés (alimentation → capteur → carte → actionneur), localisation. Nathan Prob. 8 p.61-66.</t>
        </is>
      </c>
      <c r="C29" s="109" t="n"/>
      <c r="D29" s="109" t="n"/>
      <c r="E29" s="109" t="n"/>
      <c r="F29" s="109" t="n"/>
    </row>
    <row r="30" ht="27.75" customHeight="1">
      <c r="A30" s="72" t="inlineStr">
        <is>
          <t>Démarche / organisation</t>
        </is>
      </c>
      <c r="B30" s="101" t="inlineStr">
        <is>
          <t>Résolution de problème en îlots ; grille d'hypothèses.</t>
        </is>
      </c>
      <c r="C30" s="109" t="n"/>
      <c r="D30" s="109" t="n"/>
      <c r="E30" s="109" t="n"/>
      <c r="F30" s="109" t="n"/>
    </row>
    <row r="31" ht="27.75" customHeight="1">
      <c r="A31" s="72" t="inlineStr">
        <is>
          <t>Bilan / trace écrite</t>
        </is>
      </c>
      <c r="B31" s="101" t="inlineStr">
        <is>
          <t>Démarche : observer → hypothèses → tester DANS L'ORDRE → conclure.</t>
        </is>
      </c>
      <c r="C31" s="109" t="n"/>
      <c r="D31" s="109" t="n"/>
      <c r="E31" s="109" t="n"/>
      <c r="F31" s="109" t="n"/>
    </row>
    <row r="32" ht="39.75" customHeight="1">
      <c r="A32" s="81" t="inlineStr">
        <is>
          <t>📋 CAHIER DE TEXTE
Contenu de la séance
👆 CLIC = copier pour Pronote</t>
        </is>
      </c>
      <c r="B32" s="103" t="inlineStr">
        <is>
          <t>Séance 1 : diagnostiquer une panne SANS notice — hypothèses et tests ordonnés (objets réels). Cahier Nathan p.61-66.</t>
        </is>
      </c>
      <c r="C32" s="109" t="n"/>
      <c r="D32" s="109" t="n"/>
      <c r="E32" s="109" t="n"/>
      <c r="F32" s="109" t="n"/>
    </row>
    <row r="33" ht="39.75" customHeight="1">
      <c r="A33" s="81" t="inlineStr">
        <is>
          <t>📋 CAHIER DE TEXTE
Travail à faire
👆 CLIC = copier pour Pronote</t>
        </is>
      </c>
      <c r="B33" s="103" t="inlineStr">
        <is>
          <t>Compléter la grille d'hypothèses du cas étudié ; lire Nathan p.62-63. ≈ 15 min.</t>
        </is>
      </c>
      <c r="C33" s="109" t="n"/>
      <c r="D33" s="109" t="n"/>
      <c r="E33" s="109" t="n"/>
      <c r="F33" s="109" t="n"/>
    </row>
    <row r="34" ht="15" customHeight="1">
      <c r="A34" s="82" t="inlineStr">
        <is>
          <t>Suivi enseignant</t>
        </is>
      </c>
      <c r="B34" s="83" t="inlineStr">
        <is>
          <t>Fait le : ____________</t>
        </is>
      </c>
      <c r="C34" s="104" t="inlineStr">
        <is>
          <t xml:space="preserve">Report / aléa / remarques : </t>
        </is>
      </c>
      <c r="D34" s="109" t="n"/>
      <c r="E34" s="109" t="n"/>
      <c r="F34" s="109" t="n"/>
    </row>
    <row r="36" ht="15" customHeight="1">
      <c r="A36" s="106" t="inlineStr">
        <is>
          <t>■ Séance 2 — semaine S23 — 🏫 En classe — Remplacer la pièce : forme et procédé (C5.3, C4.3)</t>
        </is>
      </c>
    </row>
    <row r="37" ht="27.75" customHeight="1">
      <c r="A37" s="72" t="inlineStr">
        <is>
          <t>Question directrice</t>
        </is>
      </c>
      <c r="B37" s="101" t="inlineStr">
        <is>
          <t>La pièce n'existe plus : quelle forme lui donner, comment la fabriquer ?</t>
        </is>
      </c>
      <c r="C37" s="109" t="n"/>
      <c r="D37" s="109" t="n"/>
      <c r="E37" s="109" t="n"/>
      <c r="F37" s="109" t="n"/>
    </row>
    <row r="38" ht="39" customHeight="1">
      <c r="A38" s="72" t="inlineStr">
        <is>
          <t>Activités &amp; supports</t>
        </is>
      </c>
      <c r="B38" s="101" t="inlineStr">
        <is>
          <t>Relier la FORME de la pièce de remplacement au PROCÉDÉ (impression 3D : formes complexes ; découpe : formes planes ; pliage…). Choix justifié + lancement d'impression. Nathan Prob. 4 p.29-36.</t>
        </is>
      </c>
      <c r="C38" s="109" t="n"/>
      <c r="D38" s="109" t="n"/>
      <c r="E38" s="109" t="n"/>
      <c r="F38" s="109" t="n"/>
    </row>
    <row r="39" ht="27.75" customHeight="1">
      <c r="A39" s="72" t="inlineStr">
        <is>
          <t>Démarche / organisation</t>
        </is>
      </c>
      <c r="B39" s="101" t="inlineStr">
        <is>
          <t>Binômes ; abaque forme↔procédé fournie.</t>
        </is>
      </c>
      <c r="C39" s="109" t="n"/>
      <c r="D39" s="109" t="n"/>
      <c r="E39" s="109" t="n"/>
      <c r="F39" s="109" t="n"/>
    </row>
    <row r="40" ht="27.75" customHeight="1">
      <c r="A40" s="72" t="inlineStr">
        <is>
          <t>Bilan / trace écrite</t>
        </is>
      </c>
      <c r="B40" s="101" t="inlineStr">
        <is>
          <t>Une forme n'est pas gratuite : elle dépend du procédé — et réciproquement (correctif C4.3 réintégré ici).</t>
        </is>
      </c>
      <c r="C40" s="109" t="n"/>
      <c r="D40" s="109" t="n"/>
      <c r="E40" s="109" t="n"/>
      <c r="F40" s="109" t="n"/>
    </row>
    <row r="41" ht="39.75" customHeight="1">
      <c r="A41" s="81" t="inlineStr">
        <is>
          <t>📋 CAHIER DE TEXTE
Contenu de la séance
👆 CLIC = copier pour Pronote</t>
        </is>
      </c>
      <c r="B41" s="103" t="inlineStr">
        <is>
          <t>Séance 2 : remplacer la pièce — relier sa forme au procédé de fabrication (impression 3D / découpe), choix justifié. Nathan p.29-36.</t>
        </is>
      </c>
      <c r="C41" s="109" t="n"/>
      <c r="D41" s="109" t="n"/>
      <c r="E41" s="109" t="n"/>
      <c r="F41" s="109" t="n"/>
    </row>
    <row r="42" ht="39.75" customHeight="1">
      <c r="A42" s="81" t="inlineStr">
        <is>
          <t>📋 CAHIER DE TEXTE
Travail à faire
👆 CLIC = copier pour Pronote</t>
        </is>
      </c>
      <c r="B42" s="103" t="inlineStr">
        <is>
          <t>Terminer la justification écrite du choix forme/procédé. ≈ 10 min.</t>
        </is>
      </c>
      <c r="C42" s="109" t="n"/>
      <c r="D42" s="109" t="n"/>
      <c r="E42" s="109" t="n"/>
      <c r="F42" s="109" t="n"/>
    </row>
    <row r="43" ht="15" customHeight="1">
      <c r="A43" s="82" t="inlineStr">
        <is>
          <t>Suivi enseignant</t>
        </is>
      </c>
      <c r="B43" s="83" t="inlineStr">
        <is>
          <t>Fait le : ____________</t>
        </is>
      </c>
      <c r="C43" s="104" t="inlineStr">
        <is>
          <t xml:space="preserve">Report / aléa / remarques : </t>
        </is>
      </c>
      <c r="D43" s="109" t="n"/>
      <c r="E43" s="109" t="n"/>
      <c r="F43" s="109" t="n"/>
    </row>
    <row r="45" ht="15" customHeight="1">
      <c r="A45" s="106" t="inlineStr">
        <is>
          <t>■ Séance 3 — semaine S24 — 🏫 En classe — Corriger le programme (C6.1, C6.2)</t>
        </is>
      </c>
    </row>
    <row r="46" ht="27.75" customHeight="1">
      <c r="A46" s="72" t="inlineStr">
        <is>
          <t>Question directrice</t>
        </is>
      </c>
      <c r="B46" s="101" t="inlineStr">
        <is>
          <t>La pièce est réparée mais l'objet déraille encore : et si c'était le programme ?</t>
        </is>
      </c>
      <c r="C46" s="109" t="n"/>
      <c r="D46" s="109" t="n"/>
      <c r="E46" s="109" t="n"/>
      <c r="F46" s="109" t="n"/>
    </row>
    <row r="47" ht="51.75" customHeight="1">
      <c r="A47" s="72" t="inlineStr">
        <is>
          <t>Activités &amp; supports</t>
        </is>
      </c>
      <c r="B47" s="101" t="inlineStr">
        <is>
          <t>Analyser les données du programme de l'éclairage, compléter les blocs manquants, corriger l'erreur. QCM « Algorigrammes domotique » : https://pll-process.github.io/en-ligne-pour-le-cycle-4/theme-2-structure-fonctionnement-comportement/C6-comprendre-et-modifier-un-programme-associe/4e/4e_C6.2/qcm_algorigrammes_domotique.html</t>
        </is>
      </c>
      <c r="C47" s="109" t="n"/>
      <c r="D47" s="109" t="n"/>
      <c r="E47" s="109" t="n"/>
      <c r="F47" s="109" t="n"/>
    </row>
    <row r="48" ht="27.75" customHeight="1">
      <c r="A48" s="72" t="inlineStr">
        <is>
          <t>Démarche / organisation</t>
        </is>
      </c>
      <c r="B48" s="101" t="inlineStr">
        <is>
          <t>Binômes sur postes (VittaScience/mBlock).</t>
        </is>
      </c>
      <c r="C48" s="109" t="n"/>
      <c r="D48" s="109" t="n"/>
      <c r="E48" s="109" t="n"/>
      <c r="F48" s="109" t="n"/>
    </row>
    <row r="49" ht="27.75" customHeight="1">
      <c r="A49" s="72" t="inlineStr">
        <is>
          <t>Bilan / trace écrite</t>
        </is>
      </c>
      <c r="B49" s="101" t="inlineStr">
        <is>
          <t>Données utilisées/produites ; compléter ≠ réécrire : on respecte la structure.</t>
        </is>
      </c>
      <c r="C49" s="109" t="n"/>
      <c r="D49" s="109" t="n"/>
      <c r="E49" s="109" t="n"/>
      <c r="F49" s="109" t="n"/>
    </row>
    <row r="50" ht="39.75" customHeight="1">
      <c r="A50" s="81" t="inlineStr">
        <is>
          <t>📋 CAHIER DE TEXTE
Contenu de la séance
👆 CLIC = copier pour Pronote</t>
        </is>
      </c>
      <c r="B50" s="103" t="inlineStr">
        <is>
          <t>Séance 3 : corriger le programme de l'éclairage automatique (données, blocs manquants, erreur corrigée).</t>
        </is>
      </c>
      <c r="C50" s="109" t="n"/>
      <c r="D50" s="109" t="n"/>
      <c r="E50" s="109" t="n"/>
      <c r="F50" s="109" t="n"/>
    </row>
    <row r="51" ht="39.75" customHeight="1">
      <c r="A51" s="81" t="inlineStr">
        <is>
          <t>📋 CAHIER DE TEXTE
Travail à faire
👆 CLIC = copier pour Pronote</t>
        </is>
      </c>
      <c r="B51" s="103" t="inlineStr">
        <is>
          <t>QCM « Algorigrammes domotique » : https://pll-process.github.io/en-ligne-pour-le-cycle-4/theme-2-structure-fonctionnement-comportement/C6-comprendre-et-modifier-un-programme-associe/4e/4e_C6.2/qcm_algorigrammes_domotique.html ≈ 15 min, corrections incluses.</t>
        </is>
      </c>
      <c r="C51" s="109" t="n"/>
      <c r="D51" s="109" t="n"/>
      <c r="E51" s="109" t="n"/>
      <c r="F51" s="109" t="n"/>
    </row>
    <row r="52" ht="15" customHeight="1">
      <c r="A52" s="82" t="inlineStr">
        <is>
          <t>Suivi enseignant</t>
        </is>
      </c>
      <c r="B52" s="83" t="inlineStr">
        <is>
          <t>Fait le : ____________</t>
        </is>
      </c>
      <c r="C52" s="104" t="inlineStr">
        <is>
          <t xml:space="preserve">Report / aléa / remarques : </t>
        </is>
      </c>
      <c r="D52" s="109" t="n"/>
      <c r="E52" s="109" t="n"/>
      <c r="F52" s="109" t="n"/>
    </row>
    <row r="54" ht="15" customHeight="1">
      <c r="A54" s="106" t="inlineStr">
        <is>
          <t>■ Séance 4 — semaine S25 — 🔁 Hybride — Tester, prouver, rendre compte (C6.3)</t>
        </is>
      </c>
    </row>
    <row r="55" ht="27.75" customHeight="1">
      <c r="A55" s="72" t="inlineStr">
        <is>
          <t>Question directrice</t>
        </is>
      </c>
      <c r="B55" s="101" t="inlineStr">
        <is>
          <t>Comment PROUVER que la réparation complète fonctionne ?</t>
        </is>
      </c>
      <c r="C55" s="109" t="n"/>
      <c r="D55" s="109" t="n"/>
      <c r="E55" s="109" t="n"/>
      <c r="F55" s="109" t="n"/>
    </row>
    <row r="56" ht="51.75" customHeight="1">
      <c r="A56" s="72" t="inlineStr">
        <is>
          <t>Activités &amp; supports</t>
        </is>
      </c>
      <c r="B56" s="101" t="inlineStr">
        <is>
          <t>Plan de tests du programme corrigé ; rédaction du rapport de diagnostic (repère du référentiel) ; QCM « Éclairage automatique » à la maison : https://pll-process.github.io/en-ligne-pour-le-cycle-4/theme-2-structure-fonctionnement-comportement/C6-comprendre-et-modifier-un-programme-associe/4e/4e_C6.2/qcm_eclairage_automatique.html</t>
        </is>
      </c>
      <c r="C56" s="109" t="n"/>
      <c r="D56" s="109" t="n"/>
      <c r="E56" s="109" t="n"/>
      <c r="F56" s="109" t="n"/>
    </row>
    <row r="57" ht="27.75" customHeight="1">
      <c r="A57" s="72" t="inlineStr">
        <is>
          <t>Démarche / organisation</t>
        </is>
      </c>
      <c r="B57" s="101" t="inlineStr">
        <is>
          <t>Individuel (rapport) + tests en binômes ; évaluation sommative courte.</t>
        </is>
      </c>
      <c r="C57" s="109" t="n"/>
      <c r="D57" s="109" t="n"/>
      <c r="E57" s="109" t="n"/>
      <c r="F57" s="109" t="n"/>
    </row>
    <row r="58" ht="27.75" customHeight="1">
      <c r="A58" s="72" t="inlineStr">
        <is>
          <t>Bilan / trace écrite</t>
        </is>
      </c>
      <c r="B58" s="101" t="inlineStr">
        <is>
          <t>Un rapport dit : symptôme, cause PROUVÉE, intervention, test final.</t>
        </is>
      </c>
      <c r="C58" s="109" t="n"/>
      <c r="D58" s="109" t="n"/>
      <c r="E58" s="109" t="n"/>
      <c r="F58" s="109" t="n"/>
    </row>
    <row r="59" ht="39.75" customHeight="1">
      <c r="A59" s="81" t="inlineStr">
        <is>
          <t>📋 CAHIER DE TEXTE
Contenu de la séance
👆 CLIC = copier pour Pronote</t>
        </is>
      </c>
      <c r="B59" s="103" t="inlineStr">
        <is>
          <t>Séance 4 : tester le programme corrigé et rédiger le rapport de diagnostic complet ; évaluation.</t>
        </is>
      </c>
      <c r="C59" s="109" t="n"/>
      <c r="D59" s="109" t="n"/>
      <c r="E59" s="109" t="n"/>
      <c r="F59" s="109" t="n"/>
    </row>
    <row r="60" ht="39.75" customHeight="1">
      <c r="A60" s="81" t="inlineStr">
        <is>
          <t>📋 CAHIER DE TEXTE
Travail à faire
👆 CLIC = copier pour Pronote</t>
        </is>
      </c>
      <c r="B60" s="103" t="inlineStr">
        <is>
          <t>Fait avant la séance : QCM « Éclairage automatique » : https://pll-process.github.io/en-ligne-pour-le-cycle-4/theme-2-structure-fonctionnement-comportement/C6-comprendre-et-modifier-un-programme-associe/4e/4e_C6.2/qcm_eclairage_automatique.html ≈ 15 min. Après : rien.</t>
        </is>
      </c>
      <c r="C60" s="109" t="n"/>
      <c r="D60" s="109" t="n"/>
      <c r="E60" s="109" t="n"/>
      <c r="F60" s="109" t="n"/>
    </row>
    <row r="61" ht="15" customHeight="1">
      <c r="A61" s="82" t="inlineStr">
        <is>
          <t>Suivi enseignant</t>
        </is>
      </c>
      <c r="B61" s="83" t="inlineStr">
        <is>
          <t>Fait le : ____________</t>
        </is>
      </c>
      <c r="C61" s="104" t="inlineStr">
        <is>
          <t xml:space="preserve">Report / aléa / remarques : </t>
        </is>
      </c>
      <c r="D61" s="109" t="n"/>
      <c r="E61" s="109" t="n"/>
      <c r="F61" s="109" t="n"/>
    </row>
  </sheetData>
  <mergeCells count="45">
    <mergeCell ref="B4:F4"/>
    <mergeCell ref="C52:F52"/>
    <mergeCell ref="A54:F54"/>
    <mergeCell ref="B7:F7"/>
    <mergeCell ref="C61:F61"/>
    <mergeCell ref="B47:F47"/>
    <mergeCell ref="B59:F59"/>
    <mergeCell ref="A27:F27"/>
    <mergeCell ref="B31:F31"/>
    <mergeCell ref="B46:F46"/>
    <mergeCell ref="B58:F58"/>
    <mergeCell ref="B56:F56"/>
    <mergeCell ref="A2:F2"/>
    <mergeCell ref="B12:F12"/>
    <mergeCell ref="B39:F39"/>
    <mergeCell ref="B48:F48"/>
    <mergeCell ref="B42:F42"/>
    <mergeCell ref="C34:F34"/>
    <mergeCell ref="B11:F11"/>
    <mergeCell ref="B60:F60"/>
    <mergeCell ref="B14:F14"/>
    <mergeCell ref="B8:F8"/>
    <mergeCell ref="B57:F57"/>
    <mergeCell ref="B13:F13"/>
    <mergeCell ref="B29:F29"/>
    <mergeCell ref="B38:F38"/>
    <mergeCell ref="B10:F10"/>
    <mergeCell ref="B28:F28"/>
    <mergeCell ref="B37:F37"/>
    <mergeCell ref="B40:F40"/>
    <mergeCell ref="B9:F9"/>
    <mergeCell ref="B49:F49"/>
    <mergeCell ref="B30:F30"/>
    <mergeCell ref="B55:F55"/>
    <mergeCell ref="B6:F6"/>
    <mergeCell ref="A36:F36"/>
    <mergeCell ref="B33:F33"/>
    <mergeCell ref="C43:F43"/>
    <mergeCell ref="A45:F45"/>
    <mergeCell ref="A1:F1"/>
    <mergeCell ref="B51:F51"/>
    <mergeCell ref="B5:F5"/>
    <mergeCell ref="B32:F32"/>
    <mergeCell ref="B50:F50"/>
    <mergeCell ref="B41:F41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horizontalDpi="300" verticalDpi="300"/>
</worksheet>
</file>

<file path=xl/worksheets/sheet13.xml><?xml version="1.0" encoding="utf-8"?>
<worksheet xmlns="http://schemas.openxmlformats.org/spreadsheetml/2006/main">
  <sheetPr codeName="Feuil13">
    <tabColor rgb="FF538135"/>
    <outlinePr summaryBelow="1" summaryRight="1"/>
    <pageSetUpPr/>
  </sheetPr>
  <dimension ref="A1:F86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107" t="inlineStr">
        <is>
          <t>GÉNÉRATEUR DE SÉQUENCE 2024 — S7 · Projet : ajouter une nouvelle fonction à un objet connecté</t>
        </is>
      </c>
    </row>
    <row r="2" ht="15" customHeight="1">
      <c r="A2" s="91" t="inlineStr">
        <is>
          <t>Thème 3 · P4/P5 · 6 séances de 1 h 30 · Responsable : IA Thème 3 · CANEVAS À REMPLIR par IA Thème 3 (règle : l'IA du thème est seule à modifier)</t>
        </is>
      </c>
    </row>
    <row r="3" ht="15" customHeight="1">
      <c r="E3" s="98" t="inlineStr">
        <is>
          <t>◀ Progression</t>
        </is>
      </c>
      <c r="F3" s="90" t="inlineStr">
        <is>
          <t>◀ Accueil</t>
        </is>
      </c>
    </row>
    <row r="4" ht="27.75" customHeight="1">
      <c r="A4" s="76" t="inlineStr">
        <is>
          <t>Problématique</t>
        </is>
      </c>
      <c r="B4" s="101" t="inlineStr">
        <is>
          <t>Comment concevoir, réaliser et programmer une nouvelle fonctionnalité ?</t>
        </is>
      </c>
      <c r="C4" s="109" t="n"/>
      <c r="D4" s="109" t="n"/>
      <c r="E4" s="109" t="n"/>
      <c r="F4" s="109" t="n"/>
    </row>
    <row r="5" ht="27.75" customHeight="1">
      <c r="A5" s="76" t="inlineStr">
        <is>
          <t>Situation déclenchante</t>
        </is>
      </c>
      <c r="B5" s="101" t="inlineStr">
        <is>
          <t>⚠ À compléter par IA Thème 3 (canevas pré-rempli par Fable — codes, problématique et repères Nathan posés).</t>
        </is>
      </c>
      <c r="C5" s="109" t="n"/>
      <c r="D5" s="109" t="n"/>
      <c r="E5" s="109" t="n"/>
      <c r="F5" s="109" t="n"/>
    </row>
    <row r="6" ht="27.75" customHeight="1">
      <c r="A6" s="76" t="inlineStr">
        <is>
          <t>Prérequis</t>
        </is>
      </c>
      <c r="B6" s="101" t="inlineStr">
        <is>
          <t>—</t>
        </is>
      </c>
      <c r="C6" s="109" t="n"/>
      <c r="D6" s="109" t="n"/>
      <c r="E6" s="109" t="n"/>
      <c r="F6" s="109" t="n"/>
    </row>
    <row r="7" ht="27.75" customHeight="1">
      <c r="A7" s="76" t="inlineStr">
        <is>
          <t>Éléments pour la synthèse (objectifs)</t>
        </is>
      </c>
      <c r="B7" s="101" t="inlineStr">
        <is>
          <t>⚠ À compléter par IA Thème 3 (canevas pré-rempli par Fable — codes, problématique et repères Nathan posés).</t>
        </is>
      </c>
      <c r="C7" s="109" t="n"/>
      <c r="D7" s="109" t="n"/>
      <c r="E7" s="109" t="n"/>
      <c r="F7" s="109" t="n"/>
    </row>
    <row r="8" ht="27.75" customHeight="1">
      <c r="A8" s="76" t="inlineStr">
        <is>
          <t>Piste d'évaluation</t>
        </is>
      </c>
      <c r="B8" s="101" t="inlineStr">
        <is>
          <t>Revue de projet + prototype fonctionnel + programme</t>
        </is>
      </c>
      <c r="C8" s="109" t="n"/>
      <c r="D8" s="109" t="n"/>
      <c r="E8" s="109" t="n"/>
      <c r="F8" s="109" t="n"/>
    </row>
    <row r="9" ht="27.75" customHeight="1">
      <c r="A9" s="76" t="inlineStr">
        <is>
          <t>Domaines du socle mobilisés</t>
        </is>
      </c>
      <c r="B9" s="101" t="inlineStr">
        <is>
          <t>D1.3, D2, D3, D4, D5  (détail par code ci-dessous)</t>
        </is>
      </c>
      <c r="C9" s="109" t="n"/>
      <c r="D9" s="109" t="n"/>
      <c r="E9" s="109" t="n"/>
      <c r="F9" s="109" t="n"/>
    </row>
    <row r="10" ht="27.75" customHeight="1">
      <c r="A10" s="76" t="inlineStr">
        <is>
          <t>CRCN — compétences numériques (Pix)</t>
        </is>
      </c>
      <c r="B10" s="101" t="inlineStr">
        <is>
          <t>3.4 Programmer (Niv. 2-3) · 2.3 Collaborer (Niv. 2) · 3.2 Documents visuels (Niv. 2)</t>
        </is>
      </c>
      <c r="C10" s="109" t="n"/>
      <c r="D10" s="109" t="n"/>
      <c r="E10" s="109" t="n"/>
      <c r="F10" s="109" t="n"/>
    </row>
    <row r="11" ht="27.75" customHeight="1">
      <c r="A11" s="76" t="inlineStr">
        <is>
          <t>Versions 🅰 / 🅱 / 🅲</t>
        </is>
      </c>
      <c r="B11" s="101" t="inlineStr">
        <is>
          <t>⚠ À compléter par IA Thème 3 (canevas pré-rempli par Fable — codes, problématique et repères Nathan posés).</t>
        </is>
      </c>
      <c r="C11" s="109" t="n"/>
      <c r="D11" s="109" t="n"/>
      <c r="E11" s="109" t="n"/>
      <c r="F11" s="109" t="n"/>
    </row>
    <row r="12" ht="27.75" customHeight="1">
      <c r="A12" s="76" t="inlineStr">
        <is>
          <t>Liens EPI / parcours</t>
        </is>
      </c>
      <c r="B12" s="101" t="inlineStr">
        <is>
          <t>⚠ À compléter par IA Thème 3 (canevas pré-rempli par Fable — codes, problématique et repères Nathan posés).</t>
        </is>
      </c>
      <c r="C12" s="109" t="n"/>
      <c r="D12" s="109" t="n"/>
      <c r="E12" s="109" t="n"/>
      <c r="F12" s="109" t="n"/>
    </row>
    <row r="13" ht="27.75" customHeight="1">
      <c r="A13" s="76" t="inlineStr">
        <is>
          <t>Cahier Nathan 4e</t>
        </is>
      </c>
      <c r="B13" s="101" t="inlineStr">
        <is>
          <t>Prob. 9 p.67-72 (réaliser/modifier un prototype) · Prob. 10 p.73-78 · Prob. 6 p.45-52</t>
        </is>
      </c>
      <c r="C13" s="109" t="n"/>
      <c r="D13" s="109" t="n"/>
      <c r="E13" s="109" t="n"/>
      <c r="F13" s="109" t="n"/>
    </row>
    <row r="14" ht="27.75" customHeight="1">
      <c r="A14" s="76" t="inlineStr">
        <is>
          <t>Ressources en ligne</t>
        </is>
      </c>
      <c r="B14" s="101" t="inlineStr">
        <is>
          <t>🔜 À produire (Thème 3)</t>
        </is>
      </c>
      <c r="C14" s="109" t="n"/>
      <c r="D14" s="109" t="n"/>
      <c r="E14" s="109" t="n"/>
      <c r="F14" s="109" t="n"/>
    </row>
    <row r="16" ht="15" customHeight="1">
      <c r="A16" s="48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6" t="inlineStr">
        <is>
          <t>4e_C7.1</t>
        </is>
      </c>
      <c r="B18" s="35" t="inlineStr">
        <is>
          <t>Organiser un processus de conception et de réalisation dans une durée, avec des tâches identifiées.</t>
        </is>
      </c>
      <c r="C18" s="35" t="inlineStr">
        <is>
          <t>D2, D4, D5</t>
        </is>
      </c>
      <c r="D18" s="35" t="inlineStr">
        <is>
          <t>—</t>
        </is>
      </c>
      <c r="E18" s="35" t="inlineStr">
        <is>
          <t>→ LSU</t>
        </is>
      </c>
    </row>
    <row r="19" ht="30" customHeight="1">
      <c r="A19" s="66" t="inlineStr">
        <is>
          <t>4e_C7.2</t>
        </is>
      </c>
      <c r="B19" s="35" t="inlineStr">
        <is>
          <t>Proposer et fabriquer une solution pour ajouter une nouvelle fonction à un OST (croquis, schéma, graphique, algorithme, modélisation).</t>
        </is>
      </c>
      <c r="C19" s="35" t="inlineStr">
        <is>
          <t>D2, D3, D4</t>
        </is>
      </c>
      <c r="D19" s="35" t="inlineStr">
        <is>
          <t>—</t>
        </is>
      </c>
      <c r="E19" s="35" t="inlineStr">
        <is>
          <t>→ LSU</t>
        </is>
      </c>
    </row>
    <row r="20" ht="30" customHeight="1">
      <c r="A20" s="66" t="inlineStr">
        <is>
          <t>4e_C7.3</t>
        </is>
      </c>
      <c r="B20" s="35" t="inlineStr">
        <is>
          <t>Comparer différents matériaux pour choisir le plus adapté.</t>
        </is>
      </c>
      <c r="C20" s="35" t="inlineStr">
        <is>
          <t>D3, D4, D5</t>
        </is>
      </c>
      <c r="D20" s="35" t="inlineStr">
        <is>
          <t>—</t>
        </is>
      </c>
      <c r="E20" s="35" t="inlineStr">
        <is>
          <t>→ LSU</t>
        </is>
      </c>
    </row>
    <row r="21" ht="30" customHeight="1">
      <c r="A21" s="66" t="inlineStr">
        <is>
          <t>4e_C7.4</t>
        </is>
      </c>
      <c r="B21" s="35" t="inlineStr">
        <is>
          <t>Comparer différentes sources d’énergie pour choisir la plus adaptée.</t>
        </is>
      </c>
      <c r="C21" s="35" t="inlineStr">
        <is>
          <t>D3, D4, D5</t>
        </is>
      </c>
      <c r="D21" s="35" t="inlineStr">
        <is>
          <t>—</t>
        </is>
      </c>
      <c r="E21" s="35" t="inlineStr">
        <is>
          <t>→ LSU</t>
        </is>
      </c>
    </row>
    <row r="22" ht="30" customHeight="1">
      <c r="A22" s="66" t="inlineStr">
        <is>
          <t>4e_C7.5</t>
        </is>
      </c>
      <c r="B22" s="35" t="inlineStr">
        <is>
          <t>Identifier les constituants manquants dans un prototype et le compléter.</t>
        </is>
      </c>
      <c r="C22" s="35" t="inlineStr">
        <is>
          <t>D2, D3, D4</t>
        </is>
      </c>
      <c r="D22" s="35" t="inlineStr">
        <is>
          <t>—</t>
        </is>
      </c>
      <c r="E22" s="35" t="inlineStr">
        <is>
          <t>→ LSU</t>
        </is>
      </c>
    </row>
    <row r="23" ht="30" customHeight="1">
      <c r="A23" s="66" t="inlineStr">
        <is>
          <t>4e_C7.6</t>
        </is>
      </c>
      <c r="B23" s="35" t="inlineStr">
        <is>
          <t>Modifier une forme à l’aide d’une modélisation.</t>
        </is>
      </c>
      <c r="C23" s="35" t="inlineStr">
        <is>
          <t>D2, D3, D4</t>
        </is>
      </c>
      <c r="D23" s="35" t="inlineStr">
        <is>
          <t>—</t>
        </is>
      </c>
      <c r="E23" s="35" t="inlineStr">
        <is>
          <t>→ LSU</t>
        </is>
      </c>
    </row>
    <row r="24" ht="30" customHeight="1">
      <c r="A24" s="66" t="inlineStr">
        <is>
          <t>4e_C7.7</t>
        </is>
      </c>
      <c r="B24" s="35" t="inlineStr">
        <is>
          <t>Choisir les moyens et produire la forme voulue.</t>
        </is>
      </c>
      <c r="C24" s="35" t="inlineStr">
        <is>
          <t>D2, D3, D4</t>
        </is>
      </c>
      <c r="D24" s="35" t="inlineStr">
        <is>
          <t>—</t>
        </is>
      </c>
      <c r="E24" s="35" t="inlineStr">
        <is>
          <t>→ LSU</t>
        </is>
      </c>
    </row>
    <row r="25" ht="30" customHeight="1">
      <c r="A25" s="66" t="inlineStr">
        <is>
          <t>4e_C7.8</t>
        </is>
      </c>
      <c r="B25" s="35" t="inlineStr">
        <is>
          <t>Interfacer un objet technique avec un réseau.</t>
        </is>
      </c>
      <c r="C25" s="35" t="inlineStr">
        <is>
          <t>D2, D3, D4</t>
        </is>
      </c>
      <c r="D25" s="35" t="inlineStr">
        <is>
          <t>—</t>
        </is>
      </c>
      <c r="E25" s="35" t="inlineStr">
        <is>
          <t>→ LSU</t>
        </is>
      </c>
    </row>
    <row r="26" ht="30" customHeight="1">
      <c r="A26" s="66" t="inlineStr">
        <is>
          <t>4e_C8.1</t>
        </is>
      </c>
      <c r="B26" s="35" t="inlineStr">
        <is>
          <t>Paramétrer une simulation fournie pour valider la tenue mécanique d’un matériau.</t>
        </is>
      </c>
      <c r="C26" s="35" t="inlineStr">
        <is>
          <t>D1.3, D2, D4</t>
        </is>
      </c>
      <c r="D26" s="35" t="inlineStr">
        <is>
          <t>—</t>
        </is>
      </c>
      <c r="E26" s="35" t="inlineStr">
        <is>
          <t>→ LSU</t>
        </is>
      </c>
    </row>
    <row r="27" ht="30" customHeight="1">
      <c r="A27" s="66" t="inlineStr">
        <is>
          <t>4e_C8.2</t>
        </is>
      </c>
      <c r="B27" s="35" t="inlineStr">
        <is>
          <t>Proposer un protocole de test pour valider la tenue mécanique d’un matériau.</t>
        </is>
      </c>
      <c r="C27" s="35" t="inlineStr">
        <is>
          <t>D1.3, D2, D3, D4</t>
        </is>
      </c>
      <c r="D27" s="35" t="inlineStr">
        <is>
          <t>—</t>
        </is>
      </c>
      <c r="E27" s="35" t="inlineStr">
        <is>
          <t>→ LSU</t>
        </is>
      </c>
    </row>
    <row r="28" ht="30" customHeight="1">
      <c r="A28" s="66" t="inlineStr">
        <is>
          <t>4e_C8.3</t>
        </is>
      </c>
      <c r="B28" s="35" t="inlineStr">
        <is>
          <t>Proposer un protocole de test pour valider le comportement et les performances d’un objet technique.</t>
        </is>
      </c>
      <c r="C28" s="35" t="inlineStr">
        <is>
          <t>D1.3, D2, D3, D4, D5</t>
        </is>
      </c>
      <c r="D28" s="35" t="inlineStr">
        <is>
          <t>—</t>
        </is>
      </c>
      <c r="E28" s="35" t="inlineStr">
        <is>
          <t>→ LSU</t>
        </is>
      </c>
    </row>
    <row r="29" ht="30" customHeight="1">
      <c r="A29" s="66" t="inlineStr">
        <is>
          <t>4e_C9.1</t>
        </is>
      </c>
      <c r="B29" s="35" t="inlineStr">
        <is>
          <t>Modifier un algorithme permettant de répondre au besoin ou au problème posé.</t>
        </is>
      </c>
      <c r="C29" s="35" t="inlineStr">
        <is>
          <t>D1.3, D2, D4</t>
        </is>
      </c>
      <c r="D29" s="35" t="inlineStr">
        <is>
          <t>—</t>
        </is>
      </c>
      <c r="E29" s="35" t="inlineStr">
        <is>
          <t>→ LSU</t>
        </is>
      </c>
    </row>
    <row r="30" ht="30" customHeight="1">
      <c r="A30" s="66" t="inlineStr">
        <is>
          <t>4e_C9.2</t>
        </is>
      </c>
      <c r="B30" s="35" t="inlineStr">
        <is>
          <t>Traduire un algorithme permettant de répondre à un besoin ou à un problème simple en un programme.</t>
        </is>
      </c>
      <c r="C30" s="35" t="inlineStr">
        <is>
          <t>D1.3, D2, D4</t>
        </is>
      </c>
      <c r="D30" s="35" t="inlineStr">
        <is>
          <t>—</t>
        </is>
      </c>
      <c r="E30" s="35" t="inlineStr">
        <is>
          <t>→ LSU</t>
        </is>
      </c>
    </row>
    <row r="31" ht="30" customHeight="1">
      <c r="A31" s="66" t="inlineStr">
        <is>
          <t>4e_C9.3</t>
        </is>
      </c>
      <c r="B31" s="35" t="inlineStr">
        <is>
          <t>Réaliser et mettre au point un programme commandant un système réel incluant éventuellement une interaction entre un humain et une machine.</t>
        </is>
      </c>
      <c r="C31" s="35" t="inlineStr">
        <is>
          <t>D1.3, D2, D4</t>
        </is>
      </c>
      <c r="D31" s="35" t="inlineStr">
        <is>
          <t>—</t>
        </is>
      </c>
      <c r="E31" s="35" t="inlineStr">
        <is>
          <t>→ LSU</t>
        </is>
      </c>
    </row>
    <row r="33" ht="15" customHeight="1">
      <c r="A33" s="48" t="inlineStr">
        <is>
          <t>Déroulé, séance par séance — avec cahier de texte Pronote prêt à coller</t>
        </is>
      </c>
    </row>
    <row r="34" ht="15" customHeight="1">
      <c r="A34" s="108" t="inlineStr">
        <is>
          <t>■ Séance 1 — semaine S26 — — — [titre de la séance 1 — à compléter]</t>
        </is>
      </c>
    </row>
    <row r="35" ht="27.75" customHeight="1">
      <c r="A35" s="76" t="inlineStr">
        <is>
          <t>Question directrice</t>
        </is>
      </c>
      <c r="B35" s="101" t="inlineStr">
        <is>
          <t>[question directrice]</t>
        </is>
      </c>
      <c r="C35" s="109" t="n"/>
      <c r="D35" s="109" t="n"/>
      <c r="E35" s="109" t="n"/>
      <c r="F35" s="109" t="n"/>
    </row>
    <row r="36" ht="27.75" customHeight="1">
      <c r="A36" s="76" t="inlineStr">
        <is>
          <t>Activités &amp; supports</t>
        </is>
      </c>
      <c r="B36" s="101" t="inlineStr">
        <is>
          <t>[activités — repères Nathan : Prob. 9 p.67-72 (réaliser/modifier un prototype) · Prob. 10 p.73-78 · Prob. 6 p.45-52]</t>
        </is>
      </c>
      <c r="C36" s="109" t="n"/>
      <c r="D36" s="109" t="n"/>
      <c r="E36" s="109" t="n"/>
      <c r="F36" s="109" t="n"/>
    </row>
    <row r="37" ht="27.75" customHeight="1">
      <c r="A37" s="76" t="inlineStr">
        <is>
          <t>Démarche / organisation</t>
        </is>
      </c>
      <c r="B37" s="101" t="inlineStr">
        <is>
          <t>[démarche]</t>
        </is>
      </c>
      <c r="C37" s="109" t="n"/>
      <c r="D37" s="109" t="n"/>
      <c r="E37" s="109" t="n"/>
      <c r="F37" s="109" t="n"/>
    </row>
    <row r="38" ht="27.75" customHeight="1">
      <c r="A38" s="76" t="inlineStr">
        <is>
          <t>Bilan / trace écrite</t>
        </is>
      </c>
      <c r="B38" s="101" t="inlineStr">
        <is>
          <t>[trace écrite]</t>
        </is>
      </c>
      <c r="C38" s="109" t="n"/>
      <c r="D38" s="109" t="n"/>
      <c r="E38" s="109" t="n"/>
      <c r="F38" s="109" t="n"/>
    </row>
    <row r="39" ht="39.75" customHeight="1">
      <c r="A39" s="81" t="inlineStr">
        <is>
          <t>📋 CAHIER DE TEXTE
Contenu de la séance
👆 CLIC = copier pour Pronote</t>
        </is>
      </c>
      <c r="B39" s="103" t="inlineStr">
        <is>
          <t>[Cahier de texte — contenu de la séance 1 : à rédiger par IA Thème 3 — phrase(s) prêtes à coller dans Pronote.]</t>
        </is>
      </c>
      <c r="C39" s="109" t="n"/>
      <c r="D39" s="109" t="n"/>
      <c r="E39" s="109" t="n"/>
      <c r="F39" s="109" t="n"/>
    </row>
    <row r="40" ht="39.75" customHeight="1">
      <c r="A40" s="81" t="inlineStr">
        <is>
          <t>📋 CAHIER DE TEXTE
Travail à faire
👆 CLIC = copier pour Pronote</t>
        </is>
      </c>
      <c r="B40" s="103" t="inlineStr">
        <is>
          <t>[Cahier de texte — travail à faire : à rédiger — support (lien ou pages Nathan), durée estimée, « faisable sur téléphone » si c'est le cas.]</t>
        </is>
      </c>
      <c r="C40" s="109" t="n"/>
      <c r="D40" s="109" t="n"/>
      <c r="E40" s="109" t="n"/>
      <c r="F40" s="109" t="n"/>
    </row>
    <row r="41" ht="15" customHeight="1">
      <c r="A41" s="82" t="inlineStr">
        <is>
          <t>Suivi enseignant</t>
        </is>
      </c>
      <c r="B41" s="83" t="inlineStr">
        <is>
          <t>Fait le : ____________</t>
        </is>
      </c>
      <c r="C41" s="104" t="inlineStr">
        <is>
          <t xml:space="preserve">Report / aléa / remarques : </t>
        </is>
      </c>
      <c r="D41" s="109" t="n"/>
      <c r="E41" s="109" t="n"/>
      <c r="F41" s="109" t="n"/>
    </row>
    <row r="43" ht="15" customHeight="1">
      <c r="A43" s="108" t="inlineStr">
        <is>
          <t>■ Séance 2 — semaine S29 — — — [titre de la séance 2 — à compléter]</t>
        </is>
      </c>
    </row>
    <row r="44" ht="27.75" customHeight="1">
      <c r="A44" s="76" t="inlineStr">
        <is>
          <t>Question directrice</t>
        </is>
      </c>
      <c r="B44" s="101" t="inlineStr">
        <is>
          <t>[question directrice]</t>
        </is>
      </c>
      <c r="C44" s="109" t="n"/>
      <c r="D44" s="109" t="n"/>
      <c r="E44" s="109" t="n"/>
      <c r="F44" s="109" t="n"/>
    </row>
    <row r="45" ht="27.75" customHeight="1">
      <c r="A45" s="76" t="inlineStr">
        <is>
          <t>Activités &amp; supports</t>
        </is>
      </c>
      <c r="B45" s="101" t="inlineStr">
        <is>
          <t>[activités — repères Nathan : Prob. 9 p.67-72 (réaliser/modifier un prototype) · Prob. 10 p.73-78 · Prob. 6 p.45-52]</t>
        </is>
      </c>
      <c r="C45" s="109" t="n"/>
      <c r="D45" s="109" t="n"/>
      <c r="E45" s="109" t="n"/>
      <c r="F45" s="109" t="n"/>
    </row>
    <row r="46" ht="27.75" customHeight="1">
      <c r="A46" s="76" t="inlineStr">
        <is>
          <t>Démarche / organisation</t>
        </is>
      </c>
      <c r="B46" s="101" t="inlineStr">
        <is>
          <t>[démarche]</t>
        </is>
      </c>
      <c r="C46" s="109" t="n"/>
      <c r="D46" s="109" t="n"/>
      <c r="E46" s="109" t="n"/>
      <c r="F46" s="109" t="n"/>
    </row>
    <row r="47" ht="27.75" customHeight="1">
      <c r="A47" s="76" t="inlineStr">
        <is>
          <t>Bilan / trace écrite</t>
        </is>
      </c>
      <c r="B47" s="101" t="inlineStr">
        <is>
          <t>[trace écrite]</t>
        </is>
      </c>
      <c r="C47" s="109" t="n"/>
      <c r="D47" s="109" t="n"/>
      <c r="E47" s="109" t="n"/>
      <c r="F47" s="109" t="n"/>
    </row>
    <row r="48" ht="39.75" customHeight="1">
      <c r="A48" s="81" t="inlineStr">
        <is>
          <t>📋 CAHIER DE TEXTE
Contenu de la séance
👆 CLIC = copier pour Pronote</t>
        </is>
      </c>
      <c r="B48" s="103" t="inlineStr">
        <is>
          <t>[Cahier de texte — contenu de la séance 2 : à rédiger par IA Thème 3 — phrase(s) prêtes à coller dans Pronote.]</t>
        </is>
      </c>
      <c r="C48" s="109" t="n"/>
      <c r="D48" s="109" t="n"/>
      <c r="E48" s="109" t="n"/>
      <c r="F48" s="109" t="n"/>
    </row>
    <row r="49" ht="39.75" customHeight="1">
      <c r="A49" s="81" t="inlineStr">
        <is>
          <t>📋 CAHIER DE TEXTE
Travail à faire
👆 CLIC = copier pour Pronote</t>
        </is>
      </c>
      <c r="B49" s="103" t="inlineStr">
        <is>
          <t>[Cahier de texte — travail à faire : à rédiger — support (lien ou pages Nathan), durée estimée, « faisable sur téléphone » si c'est le cas.]</t>
        </is>
      </c>
      <c r="C49" s="109" t="n"/>
      <c r="D49" s="109" t="n"/>
      <c r="E49" s="109" t="n"/>
      <c r="F49" s="109" t="n"/>
    </row>
    <row r="50" ht="15" customHeight="1">
      <c r="A50" s="82" t="inlineStr">
        <is>
          <t>Suivi enseignant</t>
        </is>
      </c>
      <c r="B50" s="83" t="inlineStr">
        <is>
          <t>Fait le : ____________</t>
        </is>
      </c>
      <c r="C50" s="104" t="inlineStr">
        <is>
          <t xml:space="preserve">Report / aléa / remarques : </t>
        </is>
      </c>
      <c r="D50" s="109" t="n"/>
      <c r="E50" s="109" t="n"/>
      <c r="F50" s="109" t="n"/>
    </row>
    <row r="52" ht="15" customHeight="1">
      <c r="A52" s="108" t="inlineStr">
        <is>
          <t>■ Séance 3 — semaine S30 — — — [titre de la séance 3 — à compléter]</t>
        </is>
      </c>
    </row>
    <row r="53" ht="27.75" customHeight="1">
      <c r="A53" s="76" t="inlineStr">
        <is>
          <t>Question directrice</t>
        </is>
      </c>
      <c r="B53" s="101" t="inlineStr">
        <is>
          <t>[question directrice]</t>
        </is>
      </c>
      <c r="C53" s="109" t="n"/>
      <c r="D53" s="109" t="n"/>
      <c r="E53" s="109" t="n"/>
      <c r="F53" s="109" t="n"/>
    </row>
    <row r="54" ht="27.75" customHeight="1">
      <c r="A54" s="76" t="inlineStr">
        <is>
          <t>Activités &amp; supports</t>
        </is>
      </c>
      <c r="B54" s="101" t="inlineStr">
        <is>
          <t>[activités — repères Nathan : Prob. 9 p.67-72 (réaliser/modifier un prototype) · Prob. 10 p.73-78 · Prob. 6 p.45-52]</t>
        </is>
      </c>
      <c r="C54" s="109" t="n"/>
      <c r="D54" s="109" t="n"/>
      <c r="E54" s="109" t="n"/>
      <c r="F54" s="109" t="n"/>
    </row>
    <row r="55" ht="27.75" customHeight="1">
      <c r="A55" s="76" t="inlineStr">
        <is>
          <t>Démarche / organisation</t>
        </is>
      </c>
      <c r="B55" s="101" t="inlineStr">
        <is>
          <t>[démarche]</t>
        </is>
      </c>
      <c r="C55" s="109" t="n"/>
      <c r="D55" s="109" t="n"/>
      <c r="E55" s="109" t="n"/>
      <c r="F55" s="109" t="n"/>
    </row>
    <row r="56" ht="27.75" customHeight="1">
      <c r="A56" s="76" t="inlineStr">
        <is>
          <t>Bilan / trace écrite</t>
        </is>
      </c>
      <c r="B56" s="101" t="inlineStr">
        <is>
          <t>[trace écrite]</t>
        </is>
      </c>
      <c r="C56" s="109" t="n"/>
      <c r="D56" s="109" t="n"/>
      <c r="E56" s="109" t="n"/>
      <c r="F56" s="109" t="n"/>
    </row>
    <row r="57" ht="39.75" customHeight="1">
      <c r="A57" s="81" t="inlineStr">
        <is>
          <t>📋 CAHIER DE TEXTE
Contenu de la séance
👆 CLIC = copier pour Pronote</t>
        </is>
      </c>
      <c r="B57" s="103" t="inlineStr">
        <is>
          <t>[Cahier de texte — contenu de la séance 3 : à rédiger par IA Thème 3 — phrase(s) prêtes à coller dans Pronote.]</t>
        </is>
      </c>
      <c r="C57" s="109" t="n"/>
      <c r="D57" s="109" t="n"/>
      <c r="E57" s="109" t="n"/>
      <c r="F57" s="109" t="n"/>
    </row>
    <row r="58" ht="39.75" customHeight="1">
      <c r="A58" s="81" t="inlineStr">
        <is>
          <t>📋 CAHIER DE TEXTE
Travail à faire
👆 CLIC = copier pour Pronote</t>
        </is>
      </c>
      <c r="B58" s="103" t="inlineStr">
        <is>
          <t>[Cahier de texte — travail à faire : à rédiger — support (lien ou pages Nathan), durée estimée, « faisable sur téléphone » si c'est le cas.]</t>
        </is>
      </c>
      <c r="C58" s="109" t="n"/>
      <c r="D58" s="109" t="n"/>
      <c r="E58" s="109" t="n"/>
      <c r="F58" s="109" t="n"/>
    </row>
    <row r="59" ht="15" customHeight="1">
      <c r="A59" s="82" t="inlineStr">
        <is>
          <t>Suivi enseignant</t>
        </is>
      </c>
      <c r="B59" s="83" t="inlineStr">
        <is>
          <t>Fait le : ____________</t>
        </is>
      </c>
      <c r="C59" s="104" t="inlineStr">
        <is>
          <t xml:space="preserve">Report / aléa / remarques : </t>
        </is>
      </c>
      <c r="D59" s="109" t="n"/>
      <c r="E59" s="109" t="n"/>
      <c r="F59" s="109" t="n"/>
    </row>
    <row r="61" ht="15" customHeight="1">
      <c r="A61" s="108" t="inlineStr">
        <is>
          <t>■ Séance 4 — semaine S31 — — — [titre de la séance 4 — à compléter]</t>
        </is>
      </c>
    </row>
    <row r="62" ht="27.75" customHeight="1">
      <c r="A62" s="76" t="inlineStr">
        <is>
          <t>Question directrice</t>
        </is>
      </c>
      <c r="B62" s="101" t="inlineStr">
        <is>
          <t>[question directrice]</t>
        </is>
      </c>
      <c r="C62" s="109" t="n"/>
      <c r="D62" s="109" t="n"/>
      <c r="E62" s="109" t="n"/>
      <c r="F62" s="109" t="n"/>
    </row>
    <row r="63" ht="27.75" customHeight="1">
      <c r="A63" s="76" t="inlineStr">
        <is>
          <t>Activités &amp; supports</t>
        </is>
      </c>
      <c r="B63" s="101" t="inlineStr">
        <is>
          <t>[activités — repères Nathan : Prob. 9 p.67-72 (réaliser/modifier un prototype) · Prob. 10 p.73-78 · Prob. 6 p.45-52]</t>
        </is>
      </c>
      <c r="C63" s="109" t="n"/>
      <c r="D63" s="109" t="n"/>
      <c r="E63" s="109" t="n"/>
      <c r="F63" s="109" t="n"/>
    </row>
    <row r="64" ht="27.75" customHeight="1">
      <c r="A64" s="76" t="inlineStr">
        <is>
          <t>Démarche / organisation</t>
        </is>
      </c>
      <c r="B64" s="101" t="inlineStr">
        <is>
          <t>[démarche]</t>
        </is>
      </c>
      <c r="C64" s="109" t="n"/>
      <c r="D64" s="109" t="n"/>
      <c r="E64" s="109" t="n"/>
      <c r="F64" s="109" t="n"/>
    </row>
    <row r="65" ht="27.75" customHeight="1">
      <c r="A65" s="76" t="inlineStr">
        <is>
          <t>Bilan / trace écrite</t>
        </is>
      </c>
      <c r="B65" s="101" t="inlineStr">
        <is>
          <t>[trace écrite]</t>
        </is>
      </c>
      <c r="C65" s="109" t="n"/>
      <c r="D65" s="109" t="n"/>
      <c r="E65" s="109" t="n"/>
      <c r="F65" s="109" t="n"/>
    </row>
    <row r="66" ht="39.75" customHeight="1">
      <c r="A66" s="81" t="inlineStr">
        <is>
          <t>📋 CAHIER DE TEXTE
Contenu de la séance
👆 CLIC = copier pour Pronote</t>
        </is>
      </c>
      <c r="B66" s="103" t="inlineStr">
        <is>
          <t>[Cahier de texte — contenu de la séance 4 : à rédiger par IA Thème 3 — phrase(s) prêtes à coller dans Pronote.]</t>
        </is>
      </c>
      <c r="C66" s="109" t="n"/>
      <c r="D66" s="109" t="n"/>
      <c r="E66" s="109" t="n"/>
      <c r="F66" s="109" t="n"/>
    </row>
    <row r="67" ht="39.75" customHeight="1">
      <c r="A67" s="81" t="inlineStr">
        <is>
          <t>📋 CAHIER DE TEXTE
Travail à faire
👆 CLIC = copier pour Pronote</t>
        </is>
      </c>
      <c r="B67" s="103" t="inlineStr">
        <is>
          <t>[Cahier de texte — travail à faire : à rédiger — support (lien ou pages Nathan), durée estimée, « faisable sur téléphone » si c'est le cas.]</t>
        </is>
      </c>
      <c r="C67" s="109" t="n"/>
      <c r="D67" s="109" t="n"/>
      <c r="E67" s="109" t="n"/>
      <c r="F67" s="109" t="n"/>
    </row>
    <row r="68" ht="15" customHeight="1">
      <c r="A68" s="82" t="inlineStr">
        <is>
          <t>Suivi enseignant</t>
        </is>
      </c>
      <c r="B68" s="83" t="inlineStr">
        <is>
          <t>Fait le : ____________</t>
        </is>
      </c>
      <c r="C68" s="104" t="inlineStr">
        <is>
          <t xml:space="preserve">Report / aléa / remarques : </t>
        </is>
      </c>
      <c r="D68" s="109" t="n"/>
      <c r="E68" s="109" t="n"/>
      <c r="F68" s="109" t="n"/>
    </row>
    <row r="70" ht="15" customHeight="1">
      <c r="A70" s="108" t="inlineStr">
        <is>
          <t>■ Séance 5 — semaine S32 — — — [titre de la séance 5 — à compléter]</t>
        </is>
      </c>
    </row>
    <row r="71" ht="27.75" customHeight="1">
      <c r="A71" s="76" t="inlineStr">
        <is>
          <t>Question directrice</t>
        </is>
      </c>
      <c r="B71" s="101" t="inlineStr">
        <is>
          <t>[question directrice]</t>
        </is>
      </c>
      <c r="C71" s="109" t="n"/>
      <c r="D71" s="109" t="n"/>
      <c r="E71" s="109" t="n"/>
      <c r="F71" s="109" t="n"/>
    </row>
    <row r="72" ht="27.75" customHeight="1">
      <c r="A72" s="76" t="inlineStr">
        <is>
          <t>Activités &amp; supports</t>
        </is>
      </c>
      <c r="B72" s="101" t="inlineStr">
        <is>
          <t>[activités — repères Nathan : Prob. 9 p.67-72 (réaliser/modifier un prototype) · Prob. 10 p.73-78 · Prob. 6 p.45-52]</t>
        </is>
      </c>
      <c r="C72" s="109" t="n"/>
      <c r="D72" s="109" t="n"/>
      <c r="E72" s="109" t="n"/>
      <c r="F72" s="109" t="n"/>
    </row>
    <row r="73" ht="27.75" customHeight="1">
      <c r="A73" s="76" t="inlineStr">
        <is>
          <t>Démarche / organisation</t>
        </is>
      </c>
      <c r="B73" s="101" t="inlineStr">
        <is>
          <t>[démarche]</t>
        </is>
      </c>
      <c r="C73" s="109" t="n"/>
      <c r="D73" s="109" t="n"/>
      <c r="E73" s="109" t="n"/>
      <c r="F73" s="109" t="n"/>
    </row>
    <row r="74" ht="27.75" customHeight="1">
      <c r="A74" s="76" t="inlineStr">
        <is>
          <t>Bilan / trace écrite</t>
        </is>
      </c>
      <c r="B74" s="101" t="inlineStr">
        <is>
          <t>[trace écrite]</t>
        </is>
      </c>
      <c r="C74" s="109" t="n"/>
      <c r="D74" s="109" t="n"/>
      <c r="E74" s="109" t="n"/>
      <c r="F74" s="109" t="n"/>
    </row>
    <row r="75" ht="39.75" customHeight="1">
      <c r="A75" s="81" t="inlineStr">
        <is>
          <t>📋 CAHIER DE TEXTE
Contenu de la séance
👆 CLIC = copier pour Pronote</t>
        </is>
      </c>
      <c r="B75" s="103" t="inlineStr">
        <is>
          <t>[Cahier de texte — contenu de la séance 5 : à rédiger par IA Thème 3 — phrase(s) prêtes à coller dans Pronote.]</t>
        </is>
      </c>
      <c r="C75" s="109" t="n"/>
      <c r="D75" s="109" t="n"/>
      <c r="E75" s="109" t="n"/>
      <c r="F75" s="109" t="n"/>
    </row>
    <row r="76" ht="39.75" customHeight="1">
      <c r="A76" s="81" t="inlineStr">
        <is>
          <t>📋 CAHIER DE TEXTE
Travail à faire
👆 CLIC = copier pour Pronote</t>
        </is>
      </c>
      <c r="B76" s="103" t="inlineStr">
        <is>
          <t>[Cahier de texte — travail à faire : à rédiger — support (lien ou pages Nathan), durée estimée, « faisable sur téléphone » si c'est le cas.]</t>
        </is>
      </c>
      <c r="C76" s="109" t="n"/>
      <c r="D76" s="109" t="n"/>
      <c r="E76" s="109" t="n"/>
      <c r="F76" s="109" t="n"/>
    </row>
    <row r="77" ht="15" customHeight="1">
      <c r="A77" s="82" t="inlineStr">
        <is>
          <t>Suivi enseignant</t>
        </is>
      </c>
      <c r="B77" s="83" t="inlineStr">
        <is>
          <t>Fait le : ____________</t>
        </is>
      </c>
      <c r="C77" s="104" t="inlineStr">
        <is>
          <t xml:space="preserve">Report / aléa / remarques : </t>
        </is>
      </c>
      <c r="D77" s="109" t="n"/>
      <c r="E77" s="109" t="n"/>
      <c r="F77" s="109" t="n"/>
    </row>
    <row r="79" ht="15" customHeight="1">
      <c r="A79" s="108" t="inlineStr">
        <is>
          <t>■ Séance 6 — semaine S33 — — — [titre de la séance 6 — à compléter]</t>
        </is>
      </c>
    </row>
    <row r="80" ht="27.75" customHeight="1">
      <c r="A80" s="76" t="inlineStr">
        <is>
          <t>Question directrice</t>
        </is>
      </c>
      <c r="B80" s="101" t="inlineStr">
        <is>
          <t>[question directrice]</t>
        </is>
      </c>
      <c r="C80" s="109" t="n"/>
      <c r="D80" s="109" t="n"/>
      <c r="E80" s="109" t="n"/>
      <c r="F80" s="109" t="n"/>
    </row>
    <row r="81" ht="27.75" customHeight="1">
      <c r="A81" s="76" t="inlineStr">
        <is>
          <t>Activités &amp; supports</t>
        </is>
      </c>
      <c r="B81" s="101" t="inlineStr">
        <is>
          <t>[activités — repères Nathan : Prob. 9 p.67-72 (réaliser/modifier un prototype) · Prob. 10 p.73-78 · Prob. 6 p.45-52]</t>
        </is>
      </c>
      <c r="C81" s="109" t="n"/>
      <c r="D81" s="109" t="n"/>
      <c r="E81" s="109" t="n"/>
      <c r="F81" s="109" t="n"/>
    </row>
    <row r="82" ht="27.75" customHeight="1">
      <c r="A82" s="76" t="inlineStr">
        <is>
          <t>Démarche / organisation</t>
        </is>
      </c>
      <c r="B82" s="101" t="inlineStr">
        <is>
          <t>[démarche]</t>
        </is>
      </c>
      <c r="C82" s="109" t="n"/>
      <c r="D82" s="109" t="n"/>
      <c r="E82" s="109" t="n"/>
      <c r="F82" s="109" t="n"/>
    </row>
    <row r="83" ht="27.75" customHeight="1">
      <c r="A83" s="76" t="inlineStr">
        <is>
          <t>Bilan / trace écrite</t>
        </is>
      </c>
      <c r="B83" s="101" t="inlineStr">
        <is>
          <t>[trace écrite]</t>
        </is>
      </c>
      <c r="C83" s="109" t="n"/>
      <c r="D83" s="109" t="n"/>
      <c r="E83" s="109" t="n"/>
      <c r="F83" s="109" t="n"/>
    </row>
    <row r="84" ht="39.75" customHeight="1">
      <c r="A84" s="81" t="inlineStr">
        <is>
          <t>📋 CAHIER DE TEXTE
Contenu de la séance
👆 CLIC = copier pour Pronote</t>
        </is>
      </c>
      <c r="B84" s="103" t="inlineStr">
        <is>
          <t>[Cahier de texte — contenu de la séance 6 : à rédiger par IA Thème 3 — phrase(s) prêtes à coller dans Pronote.]</t>
        </is>
      </c>
      <c r="C84" s="109" t="n"/>
      <c r="D84" s="109" t="n"/>
      <c r="E84" s="109" t="n"/>
      <c r="F84" s="109" t="n"/>
    </row>
    <row r="85" ht="39.75" customHeight="1">
      <c r="A85" s="81" t="inlineStr">
        <is>
          <t>📋 CAHIER DE TEXTE
Travail à faire
👆 CLIC = copier pour Pronote</t>
        </is>
      </c>
      <c r="B85" s="103" t="inlineStr">
        <is>
          <t>[Cahier de texte — travail à faire : à rédiger — support (lien ou pages Nathan), durée estimée, « faisable sur téléphone » si c'est le cas.]</t>
        </is>
      </c>
      <c r="C85" s="109" t="n"/>
      <c r="D85" s="109" t="n"/>
      <c r="E85" s="109" t="n"/>
      <c r="F85" s="109" t="n"/>
    </row>
    <row r="86" ht="15" customHeight="1">
      <c r="A86" s="82" t="inlineStr">
        <is>
          <t>Suivi enseignant</t>
        </is>
      </c>
      <c r="B86" s="83" t="inlineStr">
        <is>
          <t>Fait le : ____________</t>
        </is>
      </c>
      <c r="C86" s="104" t="inlineStr">
        <is>
          <t xml:space="preserve">Report / aléa / remarques : </t>
        </is>
      </c>
      <c r="D86" s="109" t="n"/>
      <c r="E86" s="109" t="n"/>
      <c r="F86" s="109" t="n"/>
    </row>
  </sheetData>
  <mergeCells count="61">
    <mergeCell ref="B4:F4"/>
    <mergeCell ref="B75:F75"/>
    <mergeCell ref="B7:F7"/>
    <mergeCell ref="B47:F47"/>
    <mergeCell ref="B62:F62"/>
    <mergeCell ref="B81:F81"/>
    <mergeCell ref="B54:F54"/>
    <mergeCell ref="B72:F72"/>
    <mergeCell ref="B66:F66"/>
    <mergeCell ref="B46:F46"/>
    <mergeCell ref="B71:F71"/>
    <mergeCell ref="B56:F56"/>
    <mergeCell ref="B58:F58"/>
    <mergeCell ref="A2:F2"/>
    <mergeCell ref="B12:F12"/>
    <mergeCell ref="B39:F39"/>
    <mergeCell ref="B48:F48"/>
    <mergeCell ref="C77:F77"/>
    <mergeCell ref="B11:F11"/>
    <mergeCell ref="C86:F86"/>
    <mergeCell ref="B67:F67"/>
    <mergeCell ref="C68:F68"/>
    <mergeCell ref="B14:F14"/>
    <mergeCell ref="B8:F8"/>
    <mergeCell ref="B57:F57"/>
    <mergeCell ref="B13:F13"/>
    <mergeCell ref="A43:F43"/>
    <mergeCell ref="B82:F82"/>
    <mergeCell ref="B53:F53"/>
    <mergeCell ref="B44:F44"/>
    <mergeCell ref="B73:F73"/>
    <mergeCell ref="A52:F52"/>
    <mergeCell ref="B38:F38"/>
    <mergeCell ref="B10:F10"/>
    <mergeCell ref="B37:F37"/>
    <mergeCell ref="A34:F34"/>
    <mergeCell ref="B84:F84"/>
    <mergeCell ref="C41:F41"/>
    <mergeCell ref="B40:F40"/>
    <mergeCell ref="C50:F50"/>
    <mergeCell ref="B74:F74"/>
    <mergeCell ref="B9:F9"/>
    <mergeCell ref="B49:F49"/>
    <mergeCell ref="B65:F65"/>
    <mergeCell ref="B83:F83"/>
    <mergeCell ref="B55:F55"/>
    <mergeCell ref="B6:F6"/>
    <mergeCell ref="B64:F64"/>
    <mergeCell ref="A1:F1"/>
    <mergeCell ref="A70:F70"/>
    <mergeCell ref="A79:F79"/>
    <mergeCell ref="B80:F80"/>
    <mergeCell ref="B76:F76"/>
    <mergeCell ref="C59:F59"/>
    <mergeCell ref="A61:F61"/>
    <mergeCell ref="B63:F63"/>
    <mergeCell ref="B85:F85"/>
    <mergeCell ref="B45:F45"/>
    <mergeCell ref="B36:F36"/>
    <mergeCell ref="B5:F5"/>
    <mergeCell ref="B35:F35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horizontalDpi="300" verticalDpi="300"/>
</worksheet>
</file>

<file path=xl/worksheets/sheet14.xml><?xml version="1.0" encoding="utf-8"?>
<worksheet xmlns="http://schemas.openxmlformats.org/spreadsheetml/2006/main">
  <sheetPr codeName="Feuil14">
    <tabColor rgb="FF808080"/>
    <outlinePr summaryBelow="1" summaryRight="1"/>
    <pageSetUpPr/>
  </sheetPr>
  <dimension ref="A1:B41"/>
  <sheetViews>
    <sheetView showGridLines="0" zoomScaleNormal="100" workbookViewId="0">
      <selection activeCell="A1" sqref="A1"/>
    </sheetView>
  </sheetViews>
  <sheetFormatPr baseColWidth="10" defaultColWidth="8.69140625" defaultRowHeight="14.6"/>
  <cols>
    <col width="8" customWidth="1" min="1" max="1"/>
    <col width="56" customWidth="1" min="2" max="2"/>
  </cols>
  <sheetData>
    <row r="1" ht="15.75" customHeight="1">
      <c r="A1" s="15" t="inlineStr">
        <is>
          <t>⚙ MOTEUR DE LA PROGRESSION 4e — ordre officiel des 37 créneaux (28 séances + 9 tampons)</t>
        </is>
      </c>
    </row>
    <row r="2" ht="15" customHeight="1">
      <c r="A2" s="91" t="inlineStr">
        <is>
          <t>Ne modifier qu'en Conseil. Le Calendrier place ces créneaux, dans l'ordre, sur les semaines sans imprévu.</t>
        </is>
      </c>
    </row>
    <row r="4" ht="15" customHeight="1">
      <c r="A4" s="84" t="inlineStr">
        <is>
          <t>N°</t>
        </is>
      </c>
      <c r="B4" s="84" t="inlineStr">
        <is>
          <t>Créneau</t>
        </is>
      </c>
    </row>
    <row r="5" ht="15" customHeight="1">
      <c r="A5" s="85" t="n">
        <v>1</v>
      </c>
      <c r="B5" s="85" t="inlineStr">
        <is>
          <t>S1 · séance 1</t>
        </is>
      </c>
    </row>
    <row r="6" ht="15" customHeight="1">
      <c r="A6" s="85" t="n">
        <v>2</v>
      </c>
      <c r="B6" s="85" t="inlineStr">
        <is>
          <t>S1 · séance 2</t>
        </is>
      </c>
    </row>
    <row r="7" ht="15" customHeight="1">
      <c r="A7" s="85" t="n">
        <v>3</v>
      </c>
      <c r="B7" s="85" t="inlineStr">
        <is>
          <t>S1 · séance 3</t>
        </is>
      </c>
    </row>
    <row r="8" ht="15" customHeight="1">
      <c r="A8" s="85" t="n">
        <v>4</v>
      </c>
      <c r="B8" s="85" t="inlineStr">
        <is>
          <t>S2 · séance 1</t>
        </is>
      </c>
    </row>
    <row r="9" ht="15" customHeight="1">
      <c r="A9" s="85" t="n">
        <v>5</v>
      </c>
      <c r="B9" s="85" t="inlineStr">
        <is>
          <t>S2 · séance 2</t>
        </is>
      </c>
    </row>
    <row r="10" ht="15" customHeight="1">
      <c r="A10" s="85" t="n">
        <v>6</v>
      </c>
      <c r="B10" s="85" t="inlineStr">
        <is>
          <t>S3 · séance 1</t>
        </is>
      </c>
    </row>
    <row r="11" ht="15" customHeight="1">
      <c r="A11" s="85" t="n">
        <v>7</v>
      </c>
      <c r="B11" s="85" t="inlineStr">
        <is>
          <t>S3 · séance 2</t>
        </is>
      </c>
    </row>
    <row r="12" ht="15" customHeight="1">
      <c r="A12" s="86" t="n">
        <v>8</v>
      </c>
      <c r="B12" s="86" t="inlineStr">
        <is>
          <t>⏳ TAMPON P1 — rattrapage / remédiation</t>
        </is>
      </c>
    </row>
    <row r="13" ht="15" customHeight="1">
      <c r="A13" s="85" t="n">
        <v>9</v>
      </c>
      <c r="B13" s="85" t="inlineStr">
        <is>
          <t>S3 · séance 3</t>
        </is>
      </c>
    </row>
    <row r="14" ht="15" customHeight="1">
      <c r="A14" s="85" t="n">
        <v>10</v>
      </c>
      <c r="B14" s="85" t="inlineStr">
        <is>
          <t>S3 · séance 4</t>
        </is>
      </c>
    </row>
    <row r="15" ht="15" customHeight="1">
      <c r="A15" s="85" t="n">
        <v>11</v>
      </c>
      <c r="B15" s="85" t="inlineStr">
        <is>
          <t>S4 · séance 1</t>
        </is>
      </c>
    </row>
    <row r="16" ht="15" customHeight="1">
      <c r="A16" s="85" t="n">
        <v>12</v>
      </c>
      <c r="B16" s="85" t="inlineStr">
        <is>
          <t>S4 · séance 2</t>
        </is>
      </c>
    </row>
    <row r="17" ht="15" customHeight="1">
      <c r="A17" s="85" t="n">
        <v>13</v>
      </c>
      <c r="B17" s="85" t="inlineStr">
        <is>
          <t>S4 · séance 3</t>
        </is>
      </c>
    </row>
    <row r="18" ht="15" customHeight="1">
      <c r="A18" s="85" t="n">
        <v>14</v>
      </c>
      <c r="B18" s="85" t="inlineStr">
        <is>
          <t>S4 · séance 4</t>
        </is>
      </c>
    </row>
    <row r="19" ht="15" customHeight="1">
      <c r="A19" s="86" t="n">
        <v>15</v>
      </c>
      <c r="B19" s="86" t="inlineStr">
        <is>
          <t>⏳ TAMPON P2 — rattrapage / remédiation</t>
        </is>
      </c>
    </row>
    <row r="20" ht="15" customHeight="1">
      <c r="A20" s="85" t="n">
        <v>16</v>
      </c>
      <c r="B20" s="85" t="inlineStr">
        <is>
          <t>S4 · séance 5</t>
        </is>
      </c>
    </row>
    <row r="21" ht="15" customHeight="1">
      <c r="A21" s="85" t="n">
        <v>17</v>
      </c>
      <c r="B21" s="85" t="inlineStr">
        <is>
          <t>S5 · séance 1</t>
        </is>
      </c>
    </row>
    <row r="22" ht="15" customHeight="1">
      <c r="A22" s="85" t="n">
        <v>18</v>
      </c>
      <c r="B22" s="85" t="inlineStr">
        <is>
          <t>S5 · séance 2</t>
        </is>
      </c>
    </row>
    <row r="23" ht="15" customHeight="1">
      <c r="A23" s="85" t="n">
        <v>19</v>
      </c>
      <c r="B23" s="85" t="inlineStr">
        <is>
          <t>S5 · séance 3</t>
        </is>
      </c>
    </row>
    <row r="24" ht="15" customHeight="1">
      <c r="A24" s="86" t="n">
        <v>20</v>
      </c>
      <c r="B24" s="86" t="inlineStr">
        <is>
          <t>⏳ TAMPON P3 — rattrapage / remédiation</t>
        </is>
      </c>
    </row>
    <row r="25" ht="15" customHeight="1">
      <c r="A25" s="85" t="n">
        <v>21</v>
      </c>
      <c r="B25" s="85" t="inlineStr">
        <is>
          <t>S5 · séance 4</t>
        </is>
      </c>
    </row>
    <row r="26" ht="15" customHeight="1">
      <c r="A26" s="85" t="n">
        <v>22</v>
      </c>
      <c r="B26" s="85" t="inlineStr">
        <is>
          <t>S6 · séance 1</t>
        </is>
      </c>
    </row>
    <row r="27" ht="15" customHeight="1">
      <c r="A27" s="85" t="n">
        <v>23</v>
      </c>
      <c r="B27" s="85" t="inlineStr">
        <is>
          <t>S6 · séance 2</t>
        </is>
      </c>
    </row>
    <row r="28" ht="15" customHeight="1">
      <c r="A28" s="85" t="n">
        <v>24</v>
      </c>
      <c r="B28" s="85" t="inlineStr">
        <is>
          <t>S6 · séance 3</t>
        </is>
      </c>
    </row>
    <row r="29" ht="15" customHeight="1">
      <c r="A29" s="85" t="n">
        <v>25</v>
      </c>
      <c r="B29" s="85" t="inlineStr">
        <is>
          <t>S6 · séance 4</t>
        </is>
      </c>
    </row>
    <row r="30" ht="15" customHeight="1">
      <c r="A30" s="85" t="n">
        <v>26</v>
      </c>
      <c r="B30" s="85" t="inlineStr">
        <is>
          <t>S7 · séance 1</t>
        </is>
      </c>
    </row>
    <row r="31" ht="15" customHeight="1">
      <c r="A31" s="86" t="n">
        <v>27</v>
      </c>
      <c r="B31" s="86" t="inlineStr">
        <is>
          <t>⏳ TAMPON P4 — réserve a</t>
        </is>
      </c>
    </row>
    <row r="32" ht="15" customHeight="1">
      <c r="A32" s="86" t="n">
        <v>28</v>
      </c>
      <c r="B32" s="86" t="inlineStr">
        <is>
          <t>⏳ TAMPON P4 — réserve b</t>
        </is>
      </c>
    </row>
    <row r="33" ht="15" customHeight="1">
      <c r="A33" s="85" t="n">
        <v>29</v>
      </c>
      <c r="B33" s="85" t="inlineStr">
        <is>
          <t>S7 · séance 2</t>
        </is>
      </c>
    </row>
    <row r="34" ht="15" customHeight="1">
      <c r="A34" s="85" t="n">
        <v>30</v>
      </c>
      <c r="B34" s="85" t="inlineStr">
        <is>
          <t>S7 · séance 3</t>
        </is>
      </c>
    </row>
    <row r="35" ht="15" customHeight="1">
      <c r="A35" s="85" t="n">
        <v>31</v>
      </c>
      <c r="B35" s="85" t="inlineStr">
        <is>
          <t>S7 · séance 4</t>
        </is>
      </c>
    </row>
    <row r="36" ht="15" customHeight="1">
      <c r="A36" s="85" t="n">
        <v>32</v>
      </c>
      <c r="B36" s="85" t="inlineStr">
        <is>
          <t>S7 · séance 5</t>
        </is>
      </c>
    </row>
    <row r="37" ht="15" customHeight="1">
      <c r="A37" s="85" t="n">
        <v>33</v>
      </c>
      <c r="B37" s="85" t="inlineStr">
        <is>
          <t>S7 · séance 6</t>
        </is>
      </c>
    </row>
    <row r="38" ht="15" customHeight="1">
      <c r="A38" s="86" t="n">
        <v>34</v>
      </c>
      <c r="B38" s="86" t="inlineStr">
        <is>
          <t>⏳ TAMPON P5 — réserve a</t>
        </is>
      </c>
    </row>
    <row r="39" ht="15" customHeight="1">
      <c r="A39" s="86" t="n">
        <v>35</v>
      </c>
      <c r="B39" s="86" t="inlineStr">
        <is>
          <t>⏳ TAMPON P5 — réserve b (revue de projet de secours)</t>
        </is>
      </c>
    </row>
    <row r="40" ht="15" customHeight="1">
      <c r="A40" s="86" t="n">
        <v>36</v>
      </c>
      <c r="B40" s="86" t="inlineStr">
        <is>
          <t>⏳ TAMPON P5 — réserve c (bilan de l'année)</t>
        </is>
      </c>
    </row>
    <row r="41" ht="15" customHeight="1">
      <c r="A41" s="86" t="n">
        <v>37</v>
      </c>
      <c r="B41" s="86" t="inlineStr">
        <is>
          <t>⏳ TAMPON P5 — réserve d (fin des cours)</t>
        </is>
      </c>
    </row>
  </sheetData>
  <pageMargins left="0.75" right="0.75" top="1" bottom="1" header="0.511811023622047" footer="0.511811023622047"/>
  <pageSetup orientation="portrait" paperSize="9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:language xmlns:dc="http://purl.org/dc/elements/1.1/">en-US</dc:language>
  <dcterms:created xmlns:dcterms="http://purl.org/dc/terms/" xmlns:xsi="http://www.w3.org/2001/XMLSchema-instance" xsi:type="dcterms:W3CDTF">2026-07-23T04:01:10Z</dcterms:created>
  <dcterms:modified xmlns:dcterms="http://purl.org/dc/terms/" xmlns:xsi="http://www.w3.org/2001/XMLSchema-instance" xsi:type="dcterms:W3CDTF">2026-07-29T23:10:33Z</dcterms:modified>
  <cp:lastModifiedBy>PhaseLockedLoop</cp:lastModifiedBy>
  <cp:revision>0</cp:revision>
</cp:coreProperties>
</file>